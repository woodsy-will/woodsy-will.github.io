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_Metrics" sheetId="2" state="visible" r:id="rId2"/>
    <sheet xmlns:r="http://schemas.openxmlformats.org/officeDocument/2006/relationships" name="Species_Composition" sheetId="3" state="visible" r:id="rId3"/>
    <sheet xmlns:r="http://schemas.openxmlformats.org/officeDocument/2006/relationships" name="Diameter_Distribution" sheetId="4" state="visible" r:id="rId4"/>
    <sheet xmlns:r="http://schemas.openxmlformats.org/officeDocument/2006/relationships" name="Prescription" sheetId="5" state="visible" r:id="rId5"/>
    <sheet xmlns:r="http://schemas.openxmlformats.org/officeDocument/2006/relationships" name="Sampling_Stats" sheetId="6" state="visible" r:id="rId6"/>
    <sheet xmlns:r="http://schemas.openxmlformats.org/officeDocument/2006/relationships" name="Plot_Summary" sheetId="7" state="visible" r:id="rId7"/>
    <sheet xmlns:r="http://schemas.openxmlformats.org/officeDocument/2006/relationships" name="Tree_List" sheetId="8" state="visible" r:id="rId8"/>
    <sheet xmlns:r="http://schemas.openxmlformats.org/officeDocument/2006/relationships" name="QC_Flags" sheetId="9" state="visible" r:id="rId9"/>
    <sheet xmlns:r="http://schemas.openxmlformats.org/officeDocument/2006/relationships" name="Methods" sheetId="10" state="visible" r:id="rId10"/>
  </sheets>
  <definedNames>
    <definedName name="_xlnm._FilterDatabase" localSheetId="6" hidden="1">'Plot_Summary'!$A$4:$T$146</definedName>
    <definedName name="_xlnm._FilterDatabase" localSheetId="7" hidden="1">'Tree_List'!$A$4:$P$2021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"/>
    <numFmt numFmtId="166" formatCode="0.0%"/>
    <numFmt numFmtId="167" formatCode="0.00000"/>
    <numFmt numFmtId="168" formatCode="0.000"/>
  </numFmts>
  <fonts count="6">
    <font>
      <name val="Calibri"/>
      <family val="2"/>
      <color theme="1"/>
      <sz val="11"/>
      <scheme val="minor"/>
    </font>
    <font>
      <b val="1"/>
      <color rgb="002D5016"/>
      <sz val="14"/>
    </font>
    <font>
      <i val="1"/>
      <color rgb="00666666"/>
    </font>
    <font>
      <b val="1"/>
      <color rgb="00B0000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EEF3E8"/>
      </patternFill>
    </fill>
  </fills>
  <borders count="2">
    <border>
      <left/>
      <right/>
      <top/>
      <bottom/>
      <diagonal/>
    </border>
    <border>
      <bottom style="thin">
        <color rgb="00C8C8C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9" fontId="0" fillId="3" borderId="1" pivotButton="0" quotePrefix="0" xfId="0"/>
    <xf numFmtId="3" fontId="0" fillId="3" borderId="1" pivotButton="0" quotePrefix="0" xfId="0"/>
    <xf numFmtId="166" fontId="0" fillId="3" borderId="1" pivotButton="0" quotePrefix="0" xfId="0"/>
    <xf numFmtId="1" fontId="5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9" fontId="5" fillId="3" borderId="1" pivotButton="0" quotePrefix="0" xfId="0"/>
    <xf numFmtId="3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7" fontId="0" fillId="0" borderId="1" pivotButton="0" quotePrefix="0" xfId="0"/>
    <xf numFmtId="167" fontId="0" fillId="3" borderId="1" pivotButton="0" quotePrefix="0" xfId="0"/>
    <xf numFmtId="0" fontId="4" fillId="2" borderId="0" applyAlignment="1" pivotButton="0" quotePrefix="0" xfId="0">
      <alignment horizontal="center" wrapText="1"/>
    </xf>
    <xf numFmtId="168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8" fontId="0" fillId="0" borderId="1" pivotButton="0" quotePrefix="0" xfId="0"/>
    <xf numFmtId="168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E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Basal area by species and unit (sq ft/ac)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'Species_Composition'!B4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'Species_Composition'!$A$5:$A$11</f>
            </numRef>
          </cat>
          <val>
            <numRef>
              <f>'Species_Composition'!$B$5:$B$11</f>
            </numRef>
          </val>
        </ser>
        <ser>
          <idx val="1"/>
          <order val="1"/>
          <tx>
            <strRef>
              <f>'Species_Composition'!C4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'Species_Composition'!$A$5:$A$11</f>
            </numRef>
          </cat>
          <val>
            <numRef>
              <f>'Species_Composition'!$C$5:$C$11</f>
            </numRef>
          </val>
        </ser>
        <ser>
          <idx val="2"/>
          <order val="2"/>
          <tx>
            <strRef>
              <f>'Species_Composition'!D4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'Species_Composition'!$A$5:$A$11</f>
            </numRef>
          </cat>
          <val>
            <numRef>
              <f>'Species_Composition'!$D$5:$D$11</f>
            </numRef>
          </val>
        </ser>
        <ser>
          <idx val="3"/>
          <order val="3"/>
          <tx>
            <strRef>
              <f>'Species_Composition'!E4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'Species_Composition'!$A$5:$A$11</f>
            </numRef>
          </cat>
          <val>
            <numRef>
              <f>'Species_Composition'!$E$5:$E$11</f>
            </numRef>
          </val>
        </ser>
        <ser>
          <idx val="4"/>
          <order val="4"/>
          <tx>
            <strRef>
              <f>'Species_Composition'!F4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'Species_Composition'!$A$5:$A$11</f>
            </numRef>
          </cat>
          <val>
            <numRef>
              <f>'Species_Composition'!$F$5:$F$11</f>
            </numRef>
          </val>
        </ser>
        <ser>
          <idx val="5"/>
          <order val="5"/>
          <tx>
            <strRef>
              <f>'Species_Composition'!G4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'Species_Composition'!$A$5:$A$11</f>
            </numRef>
          </cat>
          <val>
            <numRef>
              <f>'Species_Composition'!$G$5:$G$11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sq ft / ac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Trees per acre by DBH class, all 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'Diameter_Distribution'!I4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'Diameter_Distribution'!$A$5:$A$31</f>
            </numRef>
          </cat>
          <val>
            <numRef>
              <f>'Diameter_Distribution'!$I$5:$I$31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DBH class (in)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trees / ac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8" customWidth="1" min="4" max="4"/>
    <col width="7" customWidth="1" min="5" max="5"/>
    <col width="11" customWidth="1" min="6" max="6"/>
    <col width="12" customWidth="1" min="7" max="7"/>
    <col width="9" customWidth="1" min="8" max="8"/>
    <col width="8" customWidth="1" min="9" max="9"/>
    <col width="11" customWidth="1" min="10" max="10"/>
    <col width="10" customWidth="1" min="11" max="11"/>
    <col width="12" customWidth="1" min="12" max="12"/>
    <col width="13" customWidth="1" min="13" max="13"/>
    <col width="14" customWidth="1" min="14" max="14"/>
    <col width="11" customWidth="1" min="15" max="15"/>
  </cols>
  <sheetData>
    <row r="1">
      <c r="A1" s="1" t="inlineStr">
        <is>
          <t>North Fork Deer Creek THP - Forest Inventory Summary</t>
        </is>
      </c>
    </row>
    <row r="2">
      <c r="A2" s="2" t="inlineStr">
        <is>
          <t>Section 31, T17N R10E MDB&amp;M, Nevada County, California  |  BAF 20 cruise on a 400 ft grid  |  2026-09-06</t>
        </is>
      </c>
    </row>
    <row r="3">
      <c r="A3" s="3" t="inlineStr">
        <is>
          <t>DEMONSTRATION: the cruise data are simulated (no field measurements). Methods and workbook structure are real; numbers are not.</t>
        </is>
      </c>
    </row>
    <row r="5">
      <c r="A5" s="4" t="inlineStr">
        <is>
          <t>Unit</t>
        </is>
      </c>
      <c r="B5" s="4" t="inlineStr">
        <is>
          <t>Silviculture</t>
        </is>
      </c>
      <c r="C5" s="4" t="inlineStr">
        <is>
          <t>Yarding</t>
        </is>
      </c>
      <c r="D5" s="4" t="inlineStr">
        <is>
          <t>Acres</t>
        </is>
      </c>
      <c r="E5" s="4" t="inlineStr">
        <is>
          <t>Plots</t>
        </is>
      </c>
      <c r="F5" s="4" t="inlineStr">
        <is>
          <t>Trees/ac (&gt;=5 in)</t>
        </is>
      </c>
      <c r="G5" s="4" t="inlineStr">
        <is>
          <t>Basal area (sq ft/ac)</t>
        </is>
      </c>
      <c r="H5" s="4" t="inlineStr">
        <is>
          <t>QMD (in)</t>
        </is>
      </c>
      <c r="I5" s="4" t="inlineStr">
        <is>
          <t>SDI</t>
        </is>
      </c>
      <c r="J5" s="4" t="inlineStr">
        <is>
          <t>% of max SDI</t>
        </is>
      </c>
      <c r="K5" s="4" t="inlineStr">
        <is>
          <t>Net MBF/ac</t>
        </is>
      </c>
      <c r="L5" s="4" t="inlineStr">
        <is>
          <t>Net MBF total</t>
        </is>
      </c>
      <c r="M5" s="4" t="inlineStr">
        <is>
          <t>Harvest net MBF</t>
        </is>
      </c>
      <c r="N5" s="4" t="inlineStr">
        <is>
          <t>BA margin of error (95 %)</t>
        </is>
      </c>
      <c r="O5" s="4" t="inlineStr">
        <is>
          <t>Meets 20 % target</t>
        </is>
      </c>
    </row>
    <row r="6">
      <c r="A6" s="5" t="n">
        <v>1</v>
      </c>
      <c r="B6" s="6" t="inlineStr">
        <is>
          <t>Commercial Thin</t>
        </is>
      </c>
      <c r="C6" s="6" t="inlineStr">
        <is>
          <t>Tractor</t>
        </is>
      </c>
      <c r="D6" s="7" t="n">
        <v>174.6348316789966</v>
      </c>
      <c r="E6" s="5" t="n">
        <v>41</v>
      </c>
      <c r="F6" s="5" t="n">
        <v>315.4937980060062</v>
      </c>
      <c r="G6" s="5" t="n">
        <v>242.4390243902439</v>
      </c>
      <c r="H6" s="8" t="n">
        <v>11.86993344593354</v>
      </c>
      <c r="I6" s="5" t="n">
        <v>378.6689028861277</v>
      </c>
      <c r="J6" s="9" t="n">
        <v>0.7211910142131066</v>
      </c>
      <c r="K6" s="8" t="n">
        <v>27.86827586926829</v>
      </c>
      <c r="L6" s="10" t="n">
        <v>4866.771665613511</v>
      </c>
      <c r="M6" s="10" t="n">
        <v>605.6023451449582</v>
      </c>
      <c r="N6" s="11" t="n">
        <v>0.1127798849869938</v>
      </c>
      <c r="O6" s="6" t="inlineStr">
        <is>
          <t>Yes</t>
        </is>
      </c>
    </row>
    <row r="7">
      <c r="A7" s="12" t="n">
        <v>2</v>
      </c>
      <c r="B7" s="13" t="inlineStr">
        <is>
          <t>Commercial Thin</t>
        </is>
      </c>
      <c r="C7" s="13" t="inlineStr">
        <is>
          <t>Tractor</t>
        </is>
      </c>
      <c r="D7" s="14" t="n">
        <v>184.4195404629801</v>
      </c>
      <c r="E7" s="12" t="n">
        <v>47</v>
      </c>
      <c r="F7" s="12" t="n">
        <v>287.7417648414449</v>
      </c>
      <c r="G7" s="12" t="n">
        <v>229.3617021276596</v>
      </c>
      <c r="H7" s="15" t="n">
        <v>12.08930774647596</v>
      </c>
      <c r="I7" s="12" t="n">
        <v>356.6792256271729</v>
      </c>
      <c r="J7" s="16" t="n">
        <v>0.6761334110405518</v>
      </c>
      <c r="K7" s="15" t="n">
        <v>26.86332914708936</v>
      </c>
      <c r="L7" s="17" t="n">
        <v>4954.122816612</v>
      </c>
      <c r="M7" s="17" t="n">
        <v>420.2049790694978</v>
      </c>
      <c r="N7" s="18" t="n">
        <v>0.1100362676739198</v>
      </c>
      <c r="O7" s="13" t="inlineStr">
        <is>
          <t>Yes</t>
        </is>
      </c>
    </row>
    <row r="8">
      <c r="A8" s="5" t="n">
        <v>3</v>
      </c>
      <c r="B8" s="6" t="inlineStr">
        <is>
          <t>Commercial Thin</t>
        </is>
      </c>
      <c r="C8" s="6" t="inlineStr">
        <is>
          <t>Tractor</t>
        </is>
      </c>
      <c r="D8" s="7" t="n">
        <v>28.66629253859832</v>
      </c>
      <c r="E8" s="5" t="n">
        <v>6</v>
      </c>
      <c r="F8" s="5" t="n">
        <v>258.2752094131845</v>
      </c>
      <c r="G8" s="5" t="n">
        <v>246.6666666666667</v>
      </c>
      <c r="H8" s="8" t="n">
        <v>13.23293881708191</v>
      </c>
      <c r="I8" s="5" t="n">
        <v>377.0668066471573</v>
      </c>
      <c r="J8" s="9" t="n">
        <v>0.6767631261675878</v>
      </c>
      <c r="K8" s="8" t="n">
        <v>29.9754275874</v>
      </c>
      <c r="L8" s="10" t="n">
        <v>859.284376189979</v>
      </c>
      <c r="M8" s="10" t="n">
        <v>129.4332658951019</v>
      </c>
      <c r="N8" s="11" t="n">
        <v>0.4712036285922532</v>
      </c>
      <c r="O8" s="6" t="inlineStr">
        <is>
          <t>No</t>
        </is>
      </c>
    </row>
    <row r="9">
      <c r="A9" s="12" t="n">
        <v>4</v>
      </c>
      <c r="B9" s="13" t="inlineStr">
        <is>
          <t>Commercial Thin</t>
        </is>
      </c>
      <c r="C9" s="13" t="inlineStr">
        <is>
          <t>Tractor</t>
        </is>
      </c>
      <c r="D9" s="14" t="n">
        <v>41.53404461210165</v>
      </c>
      <c r="E9" s="12" t="n">
        <v>14</v>
      </c>
      <c r="F9" s="12" t="n">
        <v>335.3674197255115</v>
      </c>
      <c r="G9" s="12" t="n">
        <v>258.5714285714286</v>
      </c>
      <c r="H9" s="15" t="n">
        <v>11.88973748508279</v>
      </c>
      <c r="I9" s="12" t="n">
        <v>404.9582316931141</v>
      </c>
      <c r="J9" s="16" t="n">
        <v>0.7256453810162724</v>
      </c>
      <c r="K9" s="15" t="n">
        <v>30.33037693928571</v>
      </c>
      <c r="L9" s="17" t="n">
        <v>1259.743228898152</v>
      </c>
      <c r="M9" s="17" t="n">
        <v>172.1695179052905</v>
      </c>
      <c r="N9" s="18" t="n">
        <v>0.1738185007932053</v>
      </c>
      <c r="O9" s="13" t="inlineStr">
        <is>
          <t>Yes</t>
        </is>
      </c>
    </row>
    <row r="10">
      <c r="A10" s="5" t="n">
        <v>5</v>
      </c>
      <c r="B10" s="6" t="inlineStr">
        <is>
          <t>Selection</t>
        </is>
      </c>
      <c r="C10" s="6" t="inlineStr">
        <is>
          <t>Cable</t>
        </is>
      </c>
      <c r="D10" s="7" t="n">
        <v>31.1254981903806</v>
      </c>
      <c r="E10" s="5" t="n">
        <v>9</v>
      </c>
      <c r="F10" s="5" t="n">
        <v>236.5564028437518</v>
      </c>
      <c r="G10" s="5" t="n">
        <v>193.3333333333333</v>
      </c>
      <c r="H10" s="8" t="n">
        <v>12.24132557772282</v>
      </c>
      <c r="I10" s="5" t="n">
        <v>289.007388210235</v>
      </c>
      <c r="J10" s="9" t="n">
        <v>0.5356549376712918</v>
      </c>
      <c r="K10" s="8" t="n">
        <v>26.5889165736</v>
      </c>
      <c r="L10" s="10" t="n">
        <v>827.5932746957677</v>
      </c>
      <c r="M10" s="10" t="n">
        <v>169.8321545187159</v>
      </c>
      <c r="N10" s="11" t="n">
        <v>0.3105253112003059</v>
      </c>
      <c r="O10" s="6" t="inlineStr">
        <is>
          <t>No</t>
        </is>
      </c>
    </row>
    <row r="11">
      <c r="A11" s="12" t="n">
        <v>6</v>
      </c>
      <c r="B11" s="13" t="inlineStr">
        <is>
          <t>Selection</t>
        </is>
      </c>
      <c r="C11" s="13" t="inlineStr">
        <is>
          <t>Cable</t>
        </is>
      </c>
      <c r="D11" s="14" t="n">
        <v>26.63992190139055</v>
      </c>
      <c r="E11" s="12" t="n">
        <v>9</v>
      </c>
      <c r="F11" s="12" t="n">
        <v>264.1696007405357</v>
      </c>
      <c r="G11" s="12" t="n">
        <v>246.6666666666667</v>
      </c>
      <c r="H11" s="15" t="n">
        <v>13.08447331448042</v>
      </c>
      <c r="I11" s="12" t="n">
        <v>365.7962040443673</v>
      </c>
      <c r="J11" s="16" t="n">
        <v>0.7469348537329794</v>
      </c>
      <c r="K11" s="15" t="n">
        <v>33.72748170520001</v>
      </c>
      <c r="L11" s="17" t="n">
        <v>898.4974785571069</v>
      </c>
      <c r="M11" s="17" t="n">
        <v>186.5459136172003</v>
      </c>
      <c r="N11" s="18" t="n">
        <v>0.4180850272469296</v>
      </c>
      <c r="O11" s="13" t="inlineStr">
        <is>
          <t>No</t>
        </is>
      </c>
    </row>
    <row r="12">
      <c r="A12" s="5" t="n">
        <v>7</v>
      </c>
      <c r="B12" s="6" t="inlineStr">
        <is>
          <t>Selection</t>
        </is>
      </c>
      <c r="C12" s="6" t="inlineStr">
        <is>
          <t>Cable</t>
        </is>
      </c>
      <c r="D12" s="7" t="n">
        <v>47.4519829512048</v>
      </c>
      <c r="E12" s="5" t="n">
        <v>16</v>
      </c>
      <c r="F12" s="5" t="n">
        <v>216.464732443053</v>
      </c>
      <c r="G12" s="5" t="n">
        <v>211.25</v>
      </c>
      <c r="H12" s="8" t="n">
        <v>13.37664549174033</v>
      </c>
      <c r="I12" s="5" t="n">
        <v>305.6453803404862</v>
      </c>
      <c r="J12" s="9" t="n">
        <v>0.5145340101358916</v>
      </c>
      <c r="K12" s="8" t="n">
        <v>32.891964916725</v>
      </c>
      <c r="L12" s="10" t="n">
        <v>1560.788958460061</v>
      </c>
      <c r="M12" s="10" t="n">
        <v>394.1907587541112</v>
      </c>
      <c r="N12" s="11" t="n">
        <v>0.2688287128695061</v>
      </c>
      <c r="O12" s="6" t="inlineStr">
        <is>
          <t>No</t>
        </is>
      </c>
    </row>
    <row r="13">
      <c r="A13" s="19" t="inlineStr">
        <is>
          <t>All</t>
        </is>
      </c>
      <c r="B13" s="20" t="inlineStr"/>
      <c r="C13" s="20" t="inlineStr"/>
      <c r="D13" s="21" t="n">
        <v>534.4721123356527</v>
      </c>
      <c r="E13" s="19" t="n">
        <v>142</v>
      </c>
      <c r="F13" s="19" t="n">
        <v>288.446186605029</v>
      </c>
      <c r="G13" s="19" t="n">
        <v>233.9890511841611</v>
      </c>
      <c r="H13" s="22" t="n">
        <v>12.19572998623829</v>
      </c>
      <c r="I13" s="19" t="n">
        <v>360.6920095951452</v>
      </c>
      <c r="J13" s="23" t="n">
        <v>0.6736825668621836</v>
      </c>
      <c r="K13" s="22" t="n">
        <v>28.48942245552379</v>
      </c>
      <c r="L13" s="24" t="n">
        <v>15226.80179902658</v>
      </c>
      <c r="M13" s="24" t="n">
        <v>2077.978934904876</v>
      </c>
      <c r="N13" s="25" t="n">
        <v>0.06502504805313354</v>
      </c>
      <c r="O13" s="20" t="inlineStr">
        <is>
          <t>Yes</t>
        </is>
      </c>
    </row>
    <row r="15">
      <c r="A15" s="26" t="inlineStr">
        <is>
          <t>Notes</t>
        </is>
      </c>
    </row>
    <row r="16">
      <c r="A16" t="inlineStr">
        <is>
          <t>Trees/ac, basal area, SDI and volume are means of per-acre plot values (BAF 20 prism, trees &gt;= 5 in; 1/100-ac subplot for 1-4.9 in).</t>
        </is>
      </c>
    </row>
    <row r="17">
      <c r="A17" t="inlineStr">
        <is>
          <t>SDI is the summation form (sum of TPA x (DBH/10)^1.6). Max SDI is the basal-area-weighted FVS Western Sierra species maximum.</t>
        </is>
      </c>
    </row>
    <row r="18">
      <c r="A18" t="inlineStr">
        <is>
          <t>Volume: merchantable cubic feet = form factor x basal area x total height x 0.90 for live trees &gt;= 10 in; Scribner board feet = cubic feet x a DBH-dependent ratio (3.8 at 10 in to 6.2 at 36 in+); net = gross less recorded defect. This is an approximation for demonstration; a production cruise would use regional volume equations (e.g. NVEL Region 5).</t>
        </is>
      </c>
    </row>
    <row r="19">
      <c r="A19" t="inlineStr">
        <is>
          <t>Harvest volume is from a simulated marking: Thin from below to 40 % of max SDI; retain all sugar pine and black oak &gt;= 16 in (thinning units); Single-tree selection, trees &gt;= 12 in: remove ~40 % of white fir / incense-cedar BA, ~18 % of pine / Douglas-fir; retain sugar pine and black oak (selection units).</t>
        </is>
      </c>
    </row>
    <row r="20">
      <c r="A20" t="inlineStr">
        <is>
          <t>Margin of error is the 95 % confidence half-width as a percent of mean basal area per acre; the 20 % target is the usual THP cruise standard.</t>
        </is>
      </c>
    </row>
  </sheetData>
  <conditionalFormatting sqref="J6:J13">
    <cfRule type="colorScale" priority="1">
      <colorScale>
        <cfvo type="num" val="0.25"/>
        <cfvo type="num" val="0.8"/>
        <color rgb="00CDE2FB"/>
        <color rgb="000D366B"/>
      </colorScale>
    </cfRule>
  </conditionalFormatting>
  <conditionalFormatting sqref="N6:N13">
    <cfRule type="cellIs" priority="2" operator="greaterThan" dxfId="0">
      <formula>0.2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Stand metrics by harvest unit</t>
        </is>
      </c>
    </row>
    <row r="2">
      <c r="A2" s="2" t="inlineStr">
        <is>
          <t>Per-acre plot means; live trees unless noted</t>
        </is>
      </c>
    </row>
    <row r="4">
      <c r="A4" s="4" t="inlineStr">
        <is>
          <t>Unit</t>
        </is>
      </c>
      <c r="B4" s="4" t="inlineStr">
        <is>
          <t>Acres</t>
        </is>
      </c>
      <c r="C4" s="4" t="inlineStr">
        <is>
          <t>Plots</t>
        </is>
      </c>
      <c r="D4" s="4" t="inlineStr">
        <is>
          <t>Trees tallied</t>
        </is>
      </c>
      <c r="E4" s="4" t="inlineStr">
        <is>
          <t>TPA &gt;=5 in</t>
        </is>
      </c>
      <c r="F4" s="4" t="inlineStr">
        <is>
          <t>TPA 1-4.9 in (regen)</t>
        </is>
      </c>
      <c r="G4" s="4" t="inlineStr">
        <is>
          <t>Sawtimber TPA (&gt;=10 in)</t>
        </is>
      </c>
      <c r="H4" s="4" t="inlineStr">
        <is>
          <t>BA sq ft/ac</t>
        </is>
      </c>
      <c r="I4" s="4" t="inlineStr">
        <is>
          <t>QMD in</t>
        </is>
      </c>
      <c r="J4" s="4" t="inlineStr">
        <is>
          <t>SDI</t>
        </is>
      </c>
      <c r="K4" s="4" t="inlineStr">
        <is>
          <t>Max SDI</t>
        </is>
      </c>
      <c r="L4" s="4" t="inlineStr">
        <is>
          <t>% max SDI</t>
        </is>
      </c>
      <c r="M4" s="4" t="inlineStr">
        <is>
          <t>Dom/codom mean ht ft</t>
        </is>
      </c>
      <c r="N4" s="4" t="inlineStr">
        <is>
          <t>Merch cu ft/ac</t>
        </is>
      </c>
      <c r="O4" s="4" t="inlineStr">
        <is>
          <t>Gross bf/ac</t>
        </is>
      </c>
      <c r="P4" s="4" t="inlineStr">
        <is>
          <t>Net bf/ac</t>
        </is>
      </c>
      <c r="Q4" s="4" t="inlineStr">
        <is>
          <t>Net MBF total</t>
        </is>
      </c>
      <c r="R4" s="4" t="inlineStr">
        <is>
          <t>Snags/ac</t>
        </is>
      </c>
    </row>
    <row r="5">
      <c r="A5" s="5" t="n">
        <v>1</v>
      </c>
      <c r="B5" s="8" t="n">
        <v>174.6348316789966</v>
      </c>
      <c r="C5" s="5" t="n">
        <v>41</v>
      </c>
      <c r="D5" s="5" t="n">
        <v>620</v>
      </c>
      <c r="E5" s="5" t="n">
        <v>315.4937980060062</v>
      </c>
      <c r="F5" s="5" t="n">
        <v>217.0731707317073</v>
      </c>
      <c r="G5" s="5" t="n">
        <v>125.1988745854072</v>
      </c>
      <c r="H5" s="5" t="n">
        <v>242.4390243902439</v>
      </c>
      <c r="I5" s="8" t="n">
        <v>11.86993344593354</v>
      </c>
      <c r="J5" s="5" t="n">
        <v>378.6689028861277</v>
      </c>
      <c r="K5" s="5" t="n">
        <v>525.0604838709677</v>
      </c>
      <c r="L5" s="9" t="n">
        <v>0.7211910142131066</v>
      </c>
      <c r="M5" s="5" t="n">
        <v>100.87</v>
      </c>
      <c r="N5" s="10" t="n">
        <v>6061.741463414634</v>
      </c>
      <c r="O5" s="10" t="n">
        <v>29540.05440585366</v>
      </c>
      <c r="P5" s="10" t="n">
        <v>27868.27586926829</v>
      </c>
      <c r="Q5" s="10" t="n">
        <v>4866.771665613511</v>
      </c>
      <c r="R5" s="8" t="n">
        <v>16.23766909274615</v>
      </c>
    </row>
    <row r="6">
      <c r="A6" s="12" t="n">
        <v>2</v>
      </c>
      <c r="B6" s="15" t="n">
        <v>184.4195404629801</v>
      </c>
      <c r="C6" s="12" t="n">
        <v>47</v>
      </c>
      <c r="D6" s="12" t="n">
        <v>675</v>
      </c>
      <c r="E6" s="12" t="n">
        <v>287.7417648414449</v>
      </c>
      <c r="F6" s="12" t="n">
        <v>208.5106382978723</v>
      </c>
      <c r="G6" s="12" t="n">
        <v>122.999664478303</v>
      </c>
      <c r="H6" s="12" t="n">
        <v>229.3617021276596</v>
      </c>
      <c r="I6" s="15" t="n">
        <v>12.08930774647596</v>
      </c>
      <c r="J6" s="12" t="n">
        <v>356.6792256271729</v>
      </c>
      <c r="K6" s="12" t="n">
        <v>527.5278810408922</v>
      </c>
      <c r="L6" s="16" t="n">
        <v>0.6761334110405518</v>
      </c>
      <c r="M6" s="12" t="n">
        <v>103.3302325581395</v>
      </c>
      <c r="N6" s="17" t="n">
        <v>5819.522553191489</v>
      </c>
      <c r="O6" s="17" t="n">
        <v>28652.82708255319</v>
      </c>
      <c r="P6" s="17" t="n">
        <v>26863.32914708936</v>
      </c>
      <c r="Q6" s="17" t="n">
        <v>4954.122816612</v>
      </c>
      <c r="R6" s="15" t="n">
        <v>13.29147144846523</v>
      </c>
    </row>
    <row r="7">
      <c r="A7" s="5" t="n">
        <v>3</v>
      </c>
      <c r="B7" s="8" t="n">
        <v>28.66629253859832</v>
      </c>
      <c r="C7" s="5" t="n">
        <v>6</v>
      </c>
      <c r="D7" s="5" t="n">
        <v>91</v>
      </c>
      <c r="E7" s="5" t="n">
        <v>258.2752094131845</v>
      </c>
      <c r="F7" s="5" t="n">
        <v>183.3333333333333</v>
      </c>
      <c r="G7" s="5" t="n">
        <v>145.2926150504914</v>
      </c>
      <c r="H7" s="5" t="n">
        <v>246.6666666666667</v>
      </c>
      <c r="I7" s="8" t="n">
        <v>13.23293881708191</v>
      </c>
      <c r="J7" s="5" t="n">
        <v>377.0668066471573</v>
      </c>
      <c r="K7" s="5" t="n">
        <v>557.1621621621621</v>
      </c>
      <c r="L7" s="9" t="n">
        <v>0.6767631261675878</v>
      </c>
      <c r="M7" s="5" t="n">
        <v>106.92</v>
      </c>
      <c r="N7" s="10" t="n">
        <v>6645.959999999999</v>
      </c>
      <c r="O7" s="10" t="n">
        <v>32261.07725999999</v>
      </c>
      <c r="P7" s="10" t="n">
        <v>29975.4275874</v>
      </c>
      <c r="Q7" s="10" t="n">
        <v>859.284376189979</v>
      </c>
      <c r="R7" s="8" t="n">
        <v>12.29183832782219</v>
      </c>
    </row>
    <row r="8">
      <c r="A8" s="12" t="n">
        <v>4</v>
      </c>
      <c r="B8" s="15" t="n">
        <v>41.53404461210165</v>
      </c>
      <c r="C8" s="12" t="n">
        <v>14</v>
      </c>
      <c r="D8" s="12" t="n">
        <v>220</v>
      </c>
      <c r="E8" s="12" t="n">
        <v>335.3674197255115</v>
      </c>
      <c r="F8" s="12" t="n">
        <v>228.5714285714286</v>
      </c>
      <c r="G8" s="12" t="n">
        <v>138.9395470134045</v>
      </c>
      <c r="H8" s="12" t="n">
        <v>258.5714285714286</v>
      </c>
      <c r="I8" s="15" t="n">
        <v>11.88973748508279</v>
      </c>
      <c r="J8" s="12" t="n">
        <v>404.9582316931141</v>
      </c>
      <c r="K8" s="12" t="n">
        <v>558.0662983425414</v>
      </c>
      <c r="L8" s="16" t="n">
        <v>0.7256453810162724</v>
      </c>
      <c r="M8" s="12" t="n">
        <v>100.0649350649351</v>
      </c>
      <c r="N8" s="17" t="n">
        <v>6710.374285714286</v>
      </c>
      <c r="O8" s="17" t="n">
        <v>32322.43923428571</v>
      </c>
      <c r="P8" s="17" t="n">
        <v>30330.37693928571</v>
      </c>
      <c r="Q8" s="17" t="n">
        <v>1259.743228898152</v>
      </c>
      <c r="R8" s="15" t="n">
        <v>8.850826404291015</v>
      </c>
    </row>
    <row r="9">
      <c r="A9" s="5" t="n">
        <v>5</v>
      </c>
      <c r="B9" s="8" t="n">
        <v>31.1254981903806</v>
      </c>
      <c r="C9" s="5" t="n">
        <v>9</v>
      </c>
      <c r="D9" s="5" t="n">
        <v>101</v>
      </c>
      <c r="E9" s="5" t="n">
        <v>236.5564028437518</v>
      </c>
      <c r="F9" s="5" t="n">
        <v>100</v>
      </c>
      <c r="G9" s="5" t="n">
        <v>72.67045816213465</v>
      </c>
      <c r="H9" s="5" t="n">
        <v>193.3333333333333</v>
      </c>
      <c r="I9" s="8" t="n">
        <v>12.24132557772282</v>
      </c>
      <c r="J9" s="5" t="n">
        <v>289.007388210235</v>
      </c>
      <c r="K9" s="5" t="n">
        <v>539.5402298850576</v>
      </c>
      <c r="L9" s="9" t="n">
        <v>0.5356549376712918</v>
      </c>
      <c r="M9" s="5" t="n">
        <v>123.1034482758621</v>
      </c>
      <c r="N9" s="10" t="n">
        <v>5380.6</v>
      </c>
      <c r="O9" s="10" t="n">
        <v>28578.62347999999</v>
      </c>
      <c r="P9" s="10" t="n">
        <v>26588.9165736</v>
      </c>
      <c r="Q9" s="10" t="n">
        <v>827.5932746957677</v>
      </c>
      <c r="R9" s="8" t="n">
        <v>31.41387017569147</v>
      </c>
    </row>
    <row r="10">
      <c r="A10" s="12" t="n">
        <v>6</v>
      </c>
      <c r="B10" s="15" t="n">
        <v>26.63992190139055</v>
      </c>
      <c r="C10" s="12" t="n">
        <v>9</v>
      </c>
      <c r="D10" s="12" t="n">
        <v>124</v>
      </c>
      <c r="E10" s="12" t="n">
        <v>264.1696007405357</v>
      </c>
      <c r="F10" s="12" t="n">
        <v>77.77777777777777</v>
      </c>
      <c r="G10" s="12" t="n">
        <v>107.4679952341589</v>
      </c>
      <c r="H10" s="12" t="n">
        <v>246.6666666666667</v>
      </c>
      <c r="I10" s="15" t="n">
        <v>13.08447331448042</v>
      </c>
      <c r="J10" s="12" t="n">
        <v>365.7962040443673</v>
      </c>
      <c r="K10" s="12" t="n">
        <v>489.7297297297298</v>
      </c>
      <c r="L10" s="16" t="n">
        <v>0.7469348537329794</v>
      </c>
      <c r="M10" s="12" t="n">
        <v>113</v>
      </c>
      <c r="N10" s="17" t="n">
        <v>6881.2</v>
      </c>
      <c r="O10" s="17" t="n">
        <v>35707.40492</v>
      </c>
      <c r="P10" s="17" t="n">
        <v>33727.48170520001</v>
      </c>
      <c r="Q10" s="17" t="n">
        <v>898.4974785571069</v>
      </c>
      <c r="R10" s="15" t="n">
        <v>15.09701281667656</v>
      </c>
    </row>
    <row r="11">
      <c r="A11" s="5" t="n">
        <v>7</v>
      </c>
      <c r="B11" s="8" t="n">
        <v>47.4519829512048</v>
      </c>
      <c r="C11" s="5" t="n">
        <v>16</v>
      </c>
      <c r="D11" s="5" t="n">
        <v>186</v>
      </c>
      <c r="E11" s="5" t="n">
        <v>216.464732443053</v>
      </c>
      <c r="F11" s="5" t="n">
        <v>75</v>
      </c>
      <c r="G11" s="5" t="n">
        <v>86.12188776167386</v>
      </c>
      <c r="H11" s="5" t="n">
        <v>211.25</v>
      </c>
      <c r="I11" s="8" t="n">
        <v>13.37664549174033</v>
      </c>
      <c r="J11" s="5" t="n">
        <v>305.6453803404862</v>
      </c>
      <c r="K11" s="5" t="n">
        <v>594.0236686390533</v>
      </c>
      <c r="L11" s="9" t="n">
        <v>0.5145340101358916</v>
      </c>
      <c r="M11" s="5" t="n">
        <v>125.4833333333333</v>
      </c>
      <c r="N11" s="10" t="n">
        <v>6623.2575</v>
      </c>
      <c r="O11" s="10" t="n">
        <v>35016.4773675</v>
      </c>
      <c r="P11" s="10" t="n">
        <v>32891.964916725</v>
      </c>
      <c r="Q11" s="10" t="n">
        <v>1560.788958460061</v>
      </c>
      <c r="R11" s="8" t="n">
        <v>10.02503973447662</v>
      </c>
    </row>
    <row r="12">
      <c r="A12" s="12" t="inlineStr">
        <is>
          <t>All</t>
        </is>
      </c>
      <c r="B12" s="15" t="n">
        <v>534.4721123356527</v>
      </c>
      <c r="C12" s="12" t="n">
        <v>142</v>
      </c>
      <c r="D12" s="12" t="n">
        <v>2017</v>
      </c>
      <c r="E12" s="12" t="n">
        <v>288.446186605029</v>
      </c>
      <c r="F12" s="12" t="n">
        <v>186.8280790848337</v>
      </c>
      <c r="G12" s="12" t="n">
        <v>119.1733750634596</v>
      </c>
      <c r="H12" s="12" t="n">
        <v>233.9890511841611</v>
      </c>
      <c r="I12" s="15" t="n">
        <v>12.19572998623829</v>
      </c>
      <c r="J12" s="12" t="n">
        <v>360.6920095951452</v>
      </c>
      <c r="K12" s="12" t="n">
        <v>535.4035080277395</v>
      </c>
      <c r="L12" s="16" t="n">
        <v>0.6736825668621836</v>
      </c>
      <c r="M12" s="12" t="n"/>
      <c r="N12" s="17" t="n">
        <v>6110.934520932329</v>
      </c>
      <c r="O12" s="17" t="n">
        <v>30333.70315982231</v>
      </c>
      <c r="P12" s="17" t="n">
        <v>28489.42245552379</v>
      </c>
      <c r="Q12" s="17" t="n">
        <v>15226.80179902658</v>
      </c>
      <c r="R12" s="15" t="n">
        <v>14.71078687237615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Species composition by unit</t>
        </is>
      </c>
    </row>
    <row r="2">
      <c r="A2" s="2" t="inlineStr">
        <is>
          <t>Basal area per acre (sq ft) and share of stand basal area, trees &gt;= 5 in</t>
        </is>
      </c>
    </row>
    <row r="4">
      <c r="A4" s="4" t="inlineStr">
        <is>
          <t>Unit</t>
        </is>
      </c>
      <c r="B4" s="4" t="inlineStr">
        <is>
          <t>Ponderosa pine BA</t>
        </is>
      </c>
      <c r="C4" s="4" t="inlineStr">
        <is>
          <t>Douglas-fir BA</t>
        </is>
      </c>
      <c r="D4" s="4" t="inlineStr">
        <is>
          <t>White fir BA</t>
        </is>
      </c>
      <c r="E4" s="4" t="inlineStr">
        <is>
          <t>Incense-cedar BA</t>
        </is>
      </c>
      <c r="F4" s="4" t="inlineStr">
        <is>
          <t>Sugar pine BA</t>
        </is>
      </c>
      <c r="G4" s="4" t="inlineStr">
        <is>
          <t>California black oak BA</t>
        </is>
      </c>
      <c r="H4" s="4" t="inlineStr">
        <is>
          <t>Total BA</t>
        </is>
      </c>
      <c r="I4" s="4" t="inlineStr">
        <is>
          <t>PP %</t>
        </is>
      </c>
      <c r="J4" s="4" t="inlineStr">
        <is>
          <t>DF %</t>
        </is>
      </c>
      <c r="K4" s="4" t="inlineStr">
        <is>
          <t>WF %</t>
        </is>
      </c>
      <c r="L4" s="4" t="inlineStr">
        <is>
          <t>IC %</t>
        </is>
      </c>
      <c r="M4" s="4" t="inlineStr">
        <is>
          <t>SP %</t>
        </is>
      </c>
      <c r="N4" s="4" t="inlineStr">
        <is>
          <t>BO %</t>
        </is>
      </c>
      <c r="O4" s="4" t="inlineStr">
        <is>
          <t>PP net bf/ac</t>
        </is>
      </c>
      <c r="P4" s="4" t="inlineStr">
        <is>
          <t>DF net bf/ac</t>
        </is>
      </c>
      <c r="Q4" s="4" t="inlineStr">
        <is>
          <t>WF net bf/ac</t>
        </is>
      </c>
      <c r="R4" s="4" t="inlineStr">
        <is>
          <t>IC net bf/ac</t>
        </is>
      </c>
      <c r="S4" s="4" t="inlineStr">
        <is>
          <t>SP net bf/ac</t>
        </is>
      </c>
      <c r="T4" s="4" t="inlineStr">
        <is>
          <t>BO net bf/ac</t>
        </is>
      </c>
    </row>
    <row r="5">
      <c r="A5" s="6" t="n">
        <v>1</v>
      </c>
      <c r="B5" s="8" t="n">
        <v>73.17073170731707</v>
      </c>
      <c r="C5" s="8" t="n">
        <v>35.60975609756098</v>
      </c>
      <c r="D5" s="8" t="n">
        <v>41.95121951219512</v>
      </c>
      <c r="E5" s="8" t="n">
        <v>45.85365853658536</v>
      </c>
      <c r="F5" s="8" t="n">
        <v>15.12195121951219</v>
      </c>
      <c r="G5" s="8" t="n">
        <v>30.24390243902439</v>
      </c>
      <c r="H5" s="8" t="n">
        <v>242.4390243902439</v>
      </c>
      <c r="I5" s="9" t="n">
        <v>0.3018108651911469</v>
      </c>
      <c r="J5" s="9" t="n">
        <v>0.1468812877263581</v>
      </c>
      <c r="K5" s="9" t="n">
        <v>0.1730382293762575</v>
      </c>
      <c r="L5" s="9" t="n">
        <v>0.1891348088531187</v>
      </c>
      <c r="M5" s="9" t="n">
        <v>0.06237424547283702</v>
      </c>
      <c r="N5" s="9" t="n">
        <v>0.124748490945674</v>
      </c>
      <c r="O5" s="10" t="n">
        <v>9680.926742165853</v>
      </c>
      <c r="P5" s="10" t="n">
        <v>4580.695542380487</v>
      </c>
      <c r="Q5" s="10" t="n">
        <v>4947.809293580487</v>
      </c>
      <c r="R5" s="10" t="n">
        <v>4607.668055063415</v>
      </c>
      <c r="S5" s="10" t="n">
        <v>2424.388728556098</v>
      </c>
      <c r="T5" s="10" t="n">
        <v>1579.481884360976</v>
      </c>
    </row>
    <row r="6">
      <c r="A6" s="13" t="n">
        <v>2</v>
      </c>
      <c r="B6" s="15" t="n">
        <v>62.97872340425532</v>
      </c>
      <c r="C6" s="15" t="n">
        <v>44.25531914893617</v>
      </c>
      <c r="D6" s="15" t="n">
        <v>38.29787234042553</v>
      </c>
      <c r="E6" s="15" t="n">
        <v>42.12765957446808</v>
      </c>
      <c r="F6" s="15" t="n">
        <v>10.63829787234043</v>
      </c>
      <c r="G6" s="15" t="n">
        <v>30.63829787234043</v>
      </c>
      <c r="H6" s="15" t="n">
        <v>229.3617021276596</v>
      </c>
      <c r="I6" s="16" t="n">
        <v>0.274582560296846</v>
      </c>
      <c r="J6" s="16" t="n">
        <v>0.1929499072356215</v>
      </c>
      <c r="K6" s="16" t="n">
        <v>0.1669758812615955</v>
      </c>
      <c r="L6" s="16" t="n">
        <v>0.1836734693877551</v>
      </c>
      <c r="M6" s="16" t="n">
        <v>0.04638218923933209</v>
      </c>
      <c r="N6" s="16" t="n">
        <v>0.1335807050092764</v>
      </c>
      <c r="O6" s="17" t="n">
        <v>8508.480422936169</v>
      </c>
      <c r="P6" s="17" t="n">
        <v>5886.361973948935</v>
      </c>
      <c r="Q6" s="17" t="n">
        <v>4860.204212604255</v>
      </c>
      <c r="R6" s="17" t="n">
        <v>4110.962107863829</v>
      </c>
      <c r="S6" s="17" t="n">
        <v>2158.632021446808</v>
      </c>
      <c r="T6" s="17" t="n">
        <v>1256.415083693617</v>
      </c>
    </row>
    <row r="7">
      <c r="A7" s="6" t="n">
        <v>3</v>
      </c>
      <c r="B7" s="8" t="n">
        <v>53.33333333333334</v>
      </c>
      <c r="C7" s="8" t="n">
        <v>53.33333333333334</v>
      </c>
      <c r="D7" s="8" t="n">
        <v>63.33333333333334</v>
      </c>
      <c r="E7" s="8" t="n">
        <v>33.33333333333334</v>
      </c>
      <c r="F7" s="8" t="n">
        <v>16.66666666666667</v>
      </c>
      <c r="G7" s="8" t="n">
        <v>26.66666666666667</v>
      </c>
      <c r="H7" s="8" t="n">
        <v>246.6666666666667</v>
      </c>
      <c r="I7" s="9" t="n">
        <v>0.2162162162162162</v>
      </c>
      <c r="J7" s="9" t="n">
        <v>0.2162162162162162</v>
      </c>
      <c r="K7" s="9" t="n">
        <v>0.2567567567567567</v>
      </c>
      <c r="L7" s="9" t="n">
        <v>0.1351351351351351</v>
      </c>
      <c r="M7" s="9" t="n">
        <v>0.06756756756756757</v>
      </c>
      <c r="N7" s="9" t="n">
        <v>0.1081081081081081</v>
      </c>
      <c r="O7" s="10" t="n">
        <v>7790.929864199999</v>
      </c>
      <c r="P7" s="10" t="n">
        <v>6684.673879800001</v>
      </c>
      <c r="Q7" s="10" t="n">
        <v>7991.2886634</v>
      </c>
      <c r="R7" s="10" t="n">
        <v>3487.979829599999</v>
      </c>
      <c r="S7" s="10" t="n">
        <v>3172.3592922</v>
      </c>
      <c r="T7" s="10" t="n">
        <v>848.1960582</v>
      </c>
    </row>
    <row r="8">
      <c r="A8" s="13" t="n">
        <v>4</v>
      </c>
      <c r="B8" s="15" t="n">
        <v>51.42857142857143</v>
      </c>
      <c r="C8" s="15" t="n">
        <v>60</v>
      </c>
      <c r="D8" s="15" t="n">
        <v>68.57142857142857</v>
      </c>
      <c r="E8" s="15" t="n">
        <v>50</v>
      </c>
      <c r="F8" s="15" t="n">
        <v>11.42857142857143</v>
      </c>
      <c r="G8" s="15" t="n">
        <v>17.14285714285714</v>
      </c>
      <c r="H8" s="15" t="n">
        <v>258.5714285714286</v>
      </c>
      <c r="I8" s="16" t="n">
        <v>0.1988950276243094</v>
      </c>
      <c r="J8" s="16" t="n">
        <v>0.2320441988950276</v>
      </c>
      <c r="K8" s="16" t="n">
        <v>0.2651933701657458</v>
      </c>
      <c r="L8" s="16" t="n">
        <v>0.1933701657458564</v>
      </c>
      <c r="M8" s="16" t="n">
        <v>0.04419889502762431</v>
      </c>
      <c r="N8" s="16" t="n">
        <v>0.06629834254143646</v>
      </c>
      <c r="O8" s="17" t="n">
        <v>6131.147126399999</v>
      </c>
      <c r="P8" s="17" t="n">
        <v>8817.929762399999</v>
      </c>
      <c r="Q8" s="17" t="n">
        <v>7925.519865599999</v>
      </c>
      <c r="R8" s="17" t="n">
        <v>4702.7784168</v>
      </c>
      <c r="S8" s="17" t="n">
        <v>1893.8345616</v>
      </c>
      <c r="T8" s="17" t="n">
        <v>859.1672064857142</v>
      </c>
    </row>
    <row r="9">
      <c r="A9" s="6" t="n">
        <v>5</v>
      </c>
      <c r="B9" s="8" t="n">
        <v>40</v>
      </c>
      <c r="C9" s="8" t="n">
        <v>33.33333333333334</v>
      </c>
      <c r="D9" s="8" t="n">
        <v>42.22222222222222</v>
      </c>
      <c r="E9" s="8" t="n">
        <v>44.44444444444444</v>
      </c>
      <c r="F9" s="8" t="n">
        <v>11.11111111111111</v>
      </c>
      <c r="G9" s="8" t="n">
        <v>22.22222222222222</v>
      </c>
      <c r="H9" s="8" t="n">
        <v>193.3333333333333</v>
      </c>
      <c r="I9" s="9" t="n">
        <v>0.2068965517241379</v>
      </c>
      <c r="J9" s="9" t="n">
        <v>0.1724137931034483</v>
      </c>
      <c r="K9" s="9" t="n">
        <v>0.2183908045977011</v>
      </c>
      <c r="L9" s="9" t="n">
        <v>0.2298850574712643</v>
      </c>
      <c r="M9" s="9" t="n">
        <v>0.05747126436781608</v>
      </c>
      <c r="N9" s="9" t="n">
        <v>0.1149425287356322</v>
      </c>
      <c r="O9" s="10" t="n">
        <v>6835.896522</v>
      </c>
      <c r="P9" s="10" t="n">
        <v>4742.774988</v>
      </c>
      <c r="Q9" s="10" t="n">
        <v>6938.1897228</v>
      </c>
      <c r="R9" s="10" t="n">
        <v>4834.9764708</v>
      </c>
      <c r="S9" s="10" t="n">
        <v>2344.0207224</v>
      </c>
      <c r="T9" s="10" t="n">
        <v>893.0581476</v>
      </c>
    </row>
    <row r="10">
      <c r="A10" s="13" t="n">
        <v>6</v>
      </c>
      <c r="B10" s="15" t="n">
        <v>113.3333333333333</v>
      </c>
      <c r="C10" s="15" t="n">
        <v>33.33333333333334</v>
      </c>
      <c r="D10" s="15" t="n">
        <v>13.33333333333333</v>
      </c>
      <c r="E10" s="15" t="n">
        <v>51.11111111111111</v>
      </c>
      <c r="F10" s="15" t="n">
        <v>11.11111111111111</v>
      </c>
      <c r="G10" s="15" t="n">
        <v>24.44444444444444</v>
      </c>
      <c r="H10" s="15" t="n">
        <v>246.6666666666667</v>
      </c>
      <c r="I10" s="16" t="n">
        <v>0.4594594594594595</v>
      </c>
      <c r="J10" s="16" t="n">
        <v>0.1351351351351351</v>
      </c>
      <c r="K10" s="16" t="n">
        <v>0.05405405405405406</v>
      </c>
      <c r="L10" s="16" t="n">
        <v>0.2072072072072072</v>
      </c>
      <c r="M10" s="16" t="n">
        <v>0.04504504504504504</v>
      </c>
      <c r="N10" s="16" t="n">
        <v>0.0990990990990991</v>
      </c>
      <c r="O10" s="17" t="n">
        <v>16518.92151</v>
      </c>
      <c r="P10" s="17" t="n">
        <v>5692.55358</v>
      </c>
      <c r="Q10" s="17" t="n">
        <v>1531.1681532</v>
      </c>
      <c r="R10" s="17" t="n">
        <v>5565.4150104</v>
      </c>
      <c r="S10" s="17" t="n">
        <v>2652.6468612</v>
      </c>
      <c r="T10" s="17" t="n">
        <v>1766.7765904</v>
      </c>
    </row>
    <row r="11">
      <c r="A11" s="6" t="n">
        <v>7</v>
      </c>
      <c r="B11" s="8" t="n">
        <v>30</v>
      </c>
      <c r="C11" s="8" t="n">
        <v>55</v>
      </c>
      <c r="D11" s="8" t="n">
        <v>78.75</v>
      </c>
      <c r="E11" s="8" t="n">
        <v>17.5</v>
      </c>
      <c r="F11" s="8" t="n">
        <v>15</v>
      </c>
      <c r="G11" s="8" t="n">
        <v>15</v>
      </c>
      <c r="H11" s="8" t="n">
        <v>211.25</v>
      </c>
      <c r="I11" s="9" t="n">
        <v>0.1420118343195266</v>
      </c>
      <c r="J11" s="9" t="n">
        <v>0.2603550295857988</v>
      </c>
      <c r="K11" s="9" t="n">
        <v>0.3727810650887574</v>
      </c>
      <c r="L11" s="9" t="n">
        <v>0.08284023668639054</v>
      </c>
      <c r="M11" s="9" t="n">
        <v>0.07100591715976332</v>
      </c>
      <c r="N11" s="9" t="n">
        <v>0.07100591715976332</v>
      </c>
      <c r="O11" s="10" t="n">
        <v>5190.717730275</v>
      </c>
      <c r="P11" s="10" t="n">
        <v>9869.310386775</v>
      </c>
      <c r="Q11" s="10" t="n">
        <v>12983.897633175</v>
      </c>
      <c r="R11" s="10" t="n">
        <v>1542.9499785</v>
      </c>
      <c r="S11" s="10" t="n">
        <v>2637.90702945</v>
      </c>
      <c r="T11" s="10" t="n">
        <v>667.1821585499999</v>
      </c>
    </row>
    <row r="12">
      <c r="A12" s="13" t="inlineStr">
        <is>
          <t>All</t>
        </is>
      </c>
      <c r="B12" s="15" t="n">
        <v>63.13770343909052</v>
      </c>
      <c r="C12" s="15" t="n">
        <v>42.91437014361193</v>
      </c>
      <c r="D12" s="15" t="n">
        <v>45.76259558376174</v>
      </c>
      <c r="E12" s="15" t="n">
        <v>41.88135459936193</v>
      </c>
      <c r="F12" s="15" t="n">
        <v>12.92638724175126</v>
      </c>
      <c r="G12" s="15" t="n">
        <v>27.06042378251959</v>
      </c>
      <c r="H12" s="15" t="n">
        <v>233.9890511841611</v>
      </c>
      <c r="I12" s="16" t="n">
        <v>0.2698318708485125</v>
      </c>
      <c r="J12" s="16" t="n">
        <v>0.1834033256104627</v>
      </c>
      <c r="K12" s="16" t="n">
        <v>0.1955757987485675</v>
      </c>
      <c r="L12" s="16" t="n">
        <v>0.178988522699719</v>
      </c>
      <c r="M12" s="16" t="n">
        <v>0.05524355595415253</v>
      </c>
      <c r="N12" s="16" t="n">
        <v>0.115648247837125</v>
      </c>
      <c r="O12" s="17" t="n">
        <v>8675.642153492492</v>
      </c>
      <c r="P12" s="17" t="n">
        <v>6007.735411358723</v>
      </c>
      <c r="Q12" s="17" t="n">
        <v>5971.298430763131</v>
      </c>
      <c r="R12" s="17" t="n">
        <v>4172.496925418701</v>
      </c>
      <c r="S12" s="17" t="n">
        <v>2357.230695325132</v>
      </c>
      <c r="T12" s="17" t="n">
        <v>1261.173673605729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66" topLeftCell="A67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Diameter distribution</t>
        </is>
      </c>
    </row>
    <row r="2">
      <c r="A2" s="2" t="inlineStr">
        <is>
          <t>Trees per acre by 2 in DBH class (class = lower bound), live trees &gt;= 5 in</t>
        </is>
      </c>
    </row>
    <row r="4">
      <c r="A4" s="4" t="inlineStr">
        <is>
          <t>DBH class (in)</t>
        </is>
      </c>
      <c r="B4" s="4" t="inlineStr">
        <is>
          <t>Unit 1</t>
        </is>
      </c>
      <c r="C4" s="4" t="inlineStr">
        <is>
          <t>Unit 2</t>
        </is>
      </c>
      <c r="D4" s="4" t="inlineStr">
        <is>
          <t>Unit 3</t>
        </is>
      </c>
      <c r="E4" s="4" t="inlineStr">
        <is>
          <t>Unit 4</t>
        </is>
      </c>
      <c r="F4" s="4" t="inlineStr">
        <is>
          <t>Unit 5</t>
        </is>
      </c>
      <c r="G4" s="4" t="inlineStr">
        <is>
          <t>Unit 6</t>
        </is>
      </c>
      <c r="H4" s="4" t="inlineStr">
        <is>
          <t>Unit 7</t>
        </is>
      </c>
      <c r="I4" s="4" t="inlineStr">
        <is>
          <t>All units</t>
        </is>
      </c>
    </row>
    <row r="5">
      <c r="A5" s="6" t="inlineStr">
        <is>
          <t>4-5.9</t>
        </is>
      </c>
      <c r="B5" s="8" t="n">
        <v>91.59279930021772</v>
      </c>
      <c r="C5" s="8" t="n">
        <v>67.74813728106002</v>
      </c>
      <c r="D5" s="8" t="n">
        <v>24.44688913335778</v>
      </c>
      <c r="E5" s="8" t="n">
        <v>77.28348517607181</v>
      </c>
      <c r="F5" s="8" t="n">
        <v>74.71002210817407</v>
      </c>
      <c r="G5" s="8" t="n">
        <v>61.00579230424915</v>
      </c>
      <c r="H5" s="8" t="n">
        <v>45.83791712504584</v>
      </c>
      <c r="I5" s="8" t="n">
        <v>72.08186583217957</v>
      </c>
    </row>
    <row r="6">
      <c r="A6" s="13" t="inlineStr">
        <is>
          <t>6-7.9</t>
        </is>
      </c>
      <c r="B6" s="15" t="n">
        <v>62.59407622317926</v>
      </c>
      <c r="C6" s="15" t="n">
        <v>55.65191682153559</v>
      </c>
      <c r="D6" s="15" t="n">
        <v>41.50862925442249</v>
      </c>
      <c r="E6" s="15" t="n">
        <v>94.73550485433091</v>
      </c>
      <c r="F6" s="15" t="n">
        <v>35.10633820999475</v>
      </c>
      <c r="G6" s="15" t="n">
        <v>52.86683924374327</v>
      </c>
      <c r="H6" s="15" t="n">
        <v>61.93394963273744</v>
      </c>
      <c r="I6" s="15" t="n">
        <v>59.42127345773155</v>
      </c>
    </row>
    <row r="7">
      <c r="A7" s="6" t="inlineStr">
        <is>
          <t>8-9.9</t>
        </is>
      </c>
      <c r="B7" s="8" t="n">
        <v>36.10804789720192</v>
      </c>
      <c r="C7" s="8" t="n">
        <v>41.34204626054624</v>
      </c>
      <c r="D7" s="8" t="n">
        <v>47.0270759749128</v>
      </c>
      <c r="E7" s="8" t="n">
        <v>24.40888268170429</v>
      </c>
      <c r="F7" s="8" t="n">
        <v>54.06958436344841</v>
      </c>
      <c r="G7" s="8" t="n">
        <v>42.8289739583843</v>
      </c>
      <c r="H7" s="8" t="n">
        <v>22.57097792359594</v>
      </c>
      <c r="I7" s="8" t="n">
        <v>37.76967225165829</v>
      </c>
    </row>
    <row r="8">
      <c r="A8" s="13" t="inlineStr">
        <is>
          <t>10-11.9</t>
        </is>
      </c>
      <c r="B8" s="15" t="n">
        <v>32.74671097754187</v>
      </c>
      <c r="C8" s="15" t="n">
        <v>38.39581291326463</v>
      </c>
      <c r="D8" s="15" t="n">
        <v>41.95195341359908</v>
      </c>
      <c r="E8" s="15" t="n">
        <v>31.85693974173588</v>
      </c>
      <c r="F8" s="15" t="n">
        <v>13.26934013102453</v>
      </c>
      <c r="G8" s="15" t="n">
        <v>17.62331828408835</v>
      </c>
      <c r="H8" s="15" t="n">
        <v>16.47930958069161</v>
      </c>
      <c r="I8" s="15" t="n">
        <v>31.78815737704346</v>
      </c>
    </row>
    <row r="9">
      <c r="A9" s="6" t="inlineStr">
        <is>
          <t>12-13.9</t>
        </is>
      </c>
      <c r="B9" s="8" t="n">
        <v>23.39696493054829</v>
      </c>
      <c r="C9" s="8" t="n">
        <v>24.95550154523355</v>
      </c>
      <c r="D9" s="8" t="n">
        <v>29.53567693846789</v>
      </c>
      <c r="E9" s="8" t="n">
        <v>28.11055547967692</v>
      </c>
      <c r="F9" s="8" t="n">
        <v>16.73662137071604</v>
      </c>
      <c r="G9" s="8" t="n">
        <v>20.09480224047084</v>
      </c>
      <c r="H9" s="8" t="n">
        <v>13.87717987980892</v>
      </c>
      <c r="I9" s="8" t="n">
        <v>23.23262456024104</v>
      </c>
    </row>
    <row r="10">
      <c r="A10" s="13" t="inlineStr">
        <is>
          <t>14-15.9</t>
        </is>
      </c>
      <c r="B10" s="15" t="n">
        <v>20.23679507715537</v>
      </c>
      <c r="C10" s="15" t="n">
        <v>17.26248225996571</v>
      </c>
      <c r="D10" s="15" t="n">
        <v>27.68150703262641</v>
      </c>
      <c r="E10" s="15" t="n">
        <v>23.18585114755948</v>
      </c>
      <c r="F10" s="15" t="n">
        <v>9.15466308219845</v>
      </c>
      <c r="G10" s="15" t="n">
        <v>25.88855273174354</v>
      </c>
      <c r="H10" s="15" t="n">
        <v>13.96078577912593</v>
      </c>
      <c r="I10" s="15" t="n">
        <v>18.91809864278233</v>
      </c>
    </row>
    <row r="11">
      <c r="A11" s="6" t="inlineStr">
        <is>
          <t>16-17.9</t>
        </is>
      </c>
      <c r="B11" s="8" t="n">
        <v>12.80514968804635</v>
      </c>
      <c r="C11" s="8" t="n">
        <v>10.81940932960276</v>
      </c>
      <c r="D11" s="8" t="n">
        <v>12.38407592666957</v>
      </c>
      <c r="E11" s="8" t="n">
        <v>16.75364165617571</v>
      </c>
      <c r="F11" s="8" t="n">
        <v>5.651844727833402</v>
      </c>
      <c r="G11" s="8" t="n">
        <v>10.05648615210519</v>
      </c>
      <c r="H11" s="8" t="n">
        <v>9.019557345790332</v>
      </c>
      <c r="I11" s="8" t="n">
        <v>11.5145466493814</v>
      </c>
    </row>
    <row r="12">
      <c r="A12" s="13" t="inlineStr">
        <is>
          <t>18-19.9</t>
        </is>
      </c>
      <c r="B12" s="15" t="n">
        <v>10.53017776461287</v>
      </c>
      <c r="C12" s="15" t="n">
        <v>7.833008934625712</v>
      </c>
      <c r="D12" s="15" t="n">
        <v>10.34859461415096</v>
      </c>
      <c r="E12" s="15" t="n">
        <v>14.02006095137009</v>
      </c>
      <c r="F12" s="15" t="n">
        <v>6.699993431109806</v>
      </c>
      <c r="G12" s="15" t="n">
        <v>5.826004553893208</v>
      </c>
      <c r="H12" s="15" t="n">
        <v>8.94661907042115</v>
      </c>
      <c r="I12" s="15" t="n">
        <v>9.262861519424332</v>
      </c>
    </row>
    <row r="13">
      <c r="A13" s="6" t="inlineStr">
        <is>
          <t>20-21.9</t>
        </is>
      </c>
      <c r="B13" s="8" t="n">
        <v>7.762519651240627</v>
      </c>
      <c r="C13" s="8" t="n">
        <v>7.430119763111433</v>
      </c>
      <c r="D13" s="8" t="n">
        <v>4.288823842805915</v>
      </c>
      <c r="E13" s="8" t="n">
        <v>9.133012545437296</v>
      </c>
      <c r="F13" s="8" t="n">
        <v>3.781423151831874</v>
      </c>
      <c r="G13" s="8" t="n">
        <v>6.432339996397354</v>
      </c>
      <c r="H13" s="8" t="n">
        <v>5.841354622231801</v>
      </c>
      <c r="I13" s="8" t="n">
        <v>7.099305466861291</v>
      </c>
    </row>
    <row r="14">
      <c r="A14" s="13" t="inlineStr">
        <is>
          <t>22-23.9</t>
        </is>
      </c>
      <c r="B14" s="15" t="n">
        <v>6.216045186230306</v>
      </c>
      <c r="C14" s="15" t="n">
        <v>5.004149405548977</v>
      </c>
      <c r="D14" s="15" t="n">
        <v>4.745401554078427</v>
      </c>
      <c r="E14" s="15" t="n">
        <v>4.041470396829577</v>
      </c>
      <c r="F14" s="15" t="n">
        <v>6.98335452517488</v>
      </c>
      <c r="G14" s="15" t="n">
        <v>7.024322556195056</v>
      </c>
      <c r="H14" s="15" t="n">
        <v>4.294950756424088</v>
      </c>
      <c r="I14" s="15" t="n">
        <v>5.464427937612997</v>
      </c>
    </row>
    <row r="15">
      <c r="A15" s="6" t="inlineStr">
        <is>
          <t>24-25.9</t>
        </is>
      </c>
      <c r="B15" s="8" t="n">
        <v>4.042123739741251</v>
      </c>
      <c r="C15" s="8" t="n">
        <v>3.296182874575891</v>
      </c>
      <c r="D15" s="8" t="n">
        <v>4.950450532760146</v>
      </c>
      <c r="E15" s="8" t="n">
        <v>4.701527937974677</v>
      </c>
      <c r="F15" s="8" t="n">
        <v>1.352491256459506</v>
      </c>
      <c r="G15" s="8" t="n">
        <v>1.911481704359917</v>
      </c>
      <c r="H15" s="8" t="n">
        <v>2.997256036733787</v>
      </c>
      <c r="I15" s="8" t="n">
        <v>3.529099181257041</v>
      </c>
    </row>
    <row r="16">
      <c r="A16" s="13" t="inlineStr">
        <is>
          <t>26-27.9</t>
        </is>
      </c>
      <c r="B16" s="15" t="n">
        <v>2.5963243717709</v>
      </c>
      <c r="C16" s="15" t="n">
        <v>2.136660464127233</v>
      </c>
      <c r="D16" s="15" t="n">
        <v>3.406259447482993</v>
      </c>
      <c r="E16" s="15" t="n">
        <v>2.173936509929958</v>
      </c>
      <c r="F16" s="15" t="n">
        <v>1.151894569188577</v>
      </c>
      <c r="G16" s="15" t="n">
        <v>4.372743541073825</v>
      </c>
      <c r="H16" s="15" t="n">
        <v>2.154585700484263</v>
      </c>
      <c r="I16" s="15" t="n">
        <v>2.413540368619367</v>
      </c>
    </row>
    <row r="17">
      <c r="A17" s="6" t="inlineStr">
        <is>
          <t>28-29.9</t>
        </is>
      </c>
      <c r="B17" s="8" t="n">
        <v>1.614668785539927</v>
      </c>
      <c r="C17" s="8" t="n">
        <v>1.681788323204108</v>
      </c>
      <c r="D17" s="8" t="n">
        <v>2.161977783201884</v>
      </c>
      <c r="E17" s="8" t="n">
        <v>1.895888443286785</v>
      </c>
      <c r="F17" s="8" t="n">
        <v>2.501520941479794</v>
      </c>
      <c r="G17" s="8" t="n">
        <v>0.911506923239404</v>
      </c>
      <c r="H17" s="8" t="n">
        <v>1.608967077092615</v>
      </c>
      <c r="I17" s="8" t="n">
        <v>1.705129341909386</v>
      </c>
    </row>
    <row r="18">
      <c r="A18" s="13" t="inlineStr">
        <is>
          <t>30-31.9</t>
        </is>
      </c>
      <c r="B18" s="15" t="n">
        <v>1.702158562388856</v>
      </c>
      <c r="C18" s="15" t="n">
        <v>1.712633804631298</v>
      </c>
      <c r="D18" s="15" t="n">
        <v>1.951070488715309</v>
      </c>
      <c r="E18" s="15" t="n">
        <v>1.346197667681016</v>
      </c>
      <c r="F18" s="15" t="n">
        <v>0.4295076659455954</v>
      </c>
      <c r="G18" s="15" t="n">
        <v>1.287349650280865</v>
      </c>
      <c r="H18" s="15" t="n">
        <v>1.223244404121681</v>
      </c>
      <c r="I18" s="15" t="n">
        <v>1.554152578412944</v>
      </c>
    </row>
    <row r="19">
      <c r="A19" s="6" t="inlineStr">
        <is>
          <t>32-33.9</t>
        </is>
      </c>
      <c r="B19" s="8" t="n">
        <v>0.1657743824684298</v>
      </c>
      <c r="C19" s="8" t="n">
        <v>0.9446893670769492</v>
      </c>
      <c r="D19" s="8" t="n">
        <v>0.5894566455132368</v>
      </c>
      <c r="E19" s="8" t="n">
        <v>0.2557919482424433</v>
      </c>
      <c r="F19" s="8" t="n">
        <v>1.484007223286516</v>
      </c>
      <c r="G19" s="8" t="n">
        <v>1.526040198921241</v>
      </c>
      <c r="H19" s="8" t="n">
        <v>0.6194259989716967</v>
      </c>
      <c r="I19" s="8" t="n">
        <v>0.6491036874715456</v>
      </c>
    </row>
    <row r="20">
      <c r="A20" s="13" t="inlineStr">
        <is>
          <t>34-35.9</t>
        </is>
      </c>
      <c r="B20" s="15" t="n">
        <v>0.512782798370589</v>
      </c>
      <c r="C20" s="15" t="n">
        <v>0.5699560832017317</v>
      </c>
      <c r="D20" s="15" t="n">
        <v>0</v>
      </c>
      <c r="E20" s="15" t="n">
        <v>0.8460173212317423</v>
      </c>
      <c r="F20" s="15" t="n">
        <v>0.3483534696339298</v>
      </c>
      <c r="G20" s="15" t="n">
        <v>1.347111109429419</v>
      </c>
      <c r="H20" s="15" t="n">
        <v>1.499418677230171</v>
      </c>
      <c r="I20" s="15" t="n">
        <v>0.6505097072657438</v>
      </c>
    </row>
    <row r="21">
      <c r="A21" s="6" t="inlineStr">
        <is>
          <t>36-37.9</t>
        </is>
      </c>
      <c r="B21" s="8" t="n">
        <v>0.2619032228482004</v>
      </c>
      <c r="C21" s="8" t="n">
        <v>0.3393185326349089</v>
      </c>
      <c r="D21" s="8" t="n">
        <v>0.8763362310616619</v>
      </c>
      <c r="E21" s="8" t="n">
        <v>0.1955350674850413</v>
      </c>
      <c r="F21" s="8" t="n">
        <v>1.20094375627248</v>
      </c>
      <c r="G21" s="8" t="n">
        <v>0.9110596860504949</v>
      </c>
      <c r="H21" s="8" t="n">
        <v>1.035164735724858</v>
      </c>
      <c r="I21" s="8" t="n">
        <v>0.472107358343636</v>
      </c>
    </row>
    <row r="22">
      <c r="A22" s="13" t="inlineStr">
        <is>
          <t>38-39.9</t>
        </is>
      </c>
      <c r="B22" s="15" t="n">
        <v>0.2332321787625723</v>
      </c>
      <c r="C22" s="15" t="n">
        <v>0.1047324190824594</v>
      </c>
      <c r="D22" s="15" t="n">
        <v>0.421030599357916</v>
      </c>
      <c r="E22" s="15" t="n">
        <v>0</v>
      </c>
      <c r="F22" s="15" t="n">
        <v>0.2665132699437011</v>
      </c>
      <c r="G22" s="15" t="n">
        <v>0.5236331940638388</v>
      </c>
      <c r="H22" s="15" t="n">
        <v>0.9131975577930607</v>
      </c>
      <c r="I22" s="15" t="n">
        <v>0.2576233458578919</v>
      </c>
    </row>
    <row r="23">
      <c r="A23" s="6" t="inlineStr">
        <is>
          <t>40-41.9</t>
        </is>
      </c>
      <c r="B23" s="8" t="n">
        <v>0.05425989364748741</v>
      </c>
      <c r="C23" s="8" t="n">
        <v>0.326294300788159</v>
      </c>
      <c r="D23" s="8" t="n">
        <v>0</v>
      </c>
      <c r="E23" s="8" t="n">
        <v>0.1620819750750365</v>
      </c>
      <c r="F23" s="8" t="n">
        <v>0.4923783513543585</v>
      </c>
      <c r="G23" s="8" t="n">
        <v>0.7312936036085433</v>
      </c>
      <c r="H23" s="8" t="n">
        <v>0.2623492145708864</v>
      </c>
      <c r="I23" s="8" t="n">
        <v>0.2313287184856697</v>
      </c>
    </row>
    <row r="24">
      <c r="A24" s="13" t="inlineStr">
        <is>
          <t>42-43.9</t>
        </is>
      </c>
      <c r="B24" s="15" t="n">
        <v>0.1483447172820151</v>
      </c>
      <c r="C24" s="15" t="n">
        <v>0</v>
      </c>
      <c r="D24" s="15" t="n">
        <v>0</v>
      </c>
      <c r="E24" s="15" t="n">
        <v>0.1377887777755776</v>
      </c>
      <c r="F24" s="15" t="n">
        <v>0</v>
      </c>
      <c r="G24" s="15" t="n">
        <v>0.4387933425549299</v>
      </c>
      <c r="H24" s="15" t="n">
        <v>0.2502329232812453</v>
      </c>
      <c r="I24" s="15" t="n">
        <v>0.1032655352603593</v>
      </c>
    </row>
    <row r="25">
      <c r="A25" s="6" t="inlineStr">
        <is>
          <t>44-45.9</t>
        </is>
      </c>
      <c r="B25" s="8" t="n">
        <v>0.1313959261374876</v>
      </c>
      <c r="C25" s="8" t="n">
        <v>0</v>
      </c>
      <c r="D25" s="8" t="n">
        <v>0</v>
      </c>
      <c r="E25" s="8" t="n">
        <v>0</v>
      </c>
      <c r="F25" s="8" t="n">
        <v>0.3910523064537927</v>
      </c>
      <c r="G25" s="8" t="n">
        <v>0.4098910494758005</v>
      </c>
      <c r="H25" s="8" t="n">
        <v>0.344627952223299</v>
      </c>
      <c r="I25" s="8" t="n">
        <v>0.1167334031481492</v>
      </c>
    </row>
    <row r="26">
      <c r="A26" s="13" t="inlineStr">
        <is>
          <t>46-47.9</t>
        </is>
      </c>
      <c r="B26" s="15" t="n">
        <v>0.04154273107385756</v>
      </c>
      <c r="C26" s="15" t="n">
        <v>0.07218342828951742</v>
      </c>
      <c r="D26" s="15" t="n">
        <v>0</v>
      </c>
      <c r="E26" s="15" t="n">
        <v>0.1232494459372306</v>
      </c>
      <c r="F26" s="15" t="n">
        <v>0.1876292399116901</v>
      </c>
      <c r="G26" s="15" t="n">
        <v>0</v>
      </c>
      <c r="H26" s="15" t="n">
        <v>0.2049061556370379</v>
      </c>
      <c r="I26" s="15" t="n">
        <v>0.07717736160208227</v>
      </c>
    </row>
    <row r="27">
      <c r="A27" s="6" t="inlineStr">
        <is>
          <t>48-49.9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0.09623991602779379</v>
      </c>
      <c r="I27" s="8" t="n">
        <v>0.008544458633434334</v>
      </c>
    </row>
    <row r="28">
      <c r="A28" s="13" t="inlineStr">
        <is>
          <t>50-51.9</t>
        </is>
      </c>
      <c r="B28" s="15" t="n">
        <v>0</v>
      </c>
      <c r="C28" s="15" t="n">
        <v>0.09047178495857963</v>
      </c>
      <c r="D28" s="15" t="n">
        <v>0</v>
      </c>
      <c r="E28" s="15" t="n">
        <v>0</v>
      </c>
      <c r="F28" s="15" t="n">
        <v>0.3127102390409651</v>
      </c>
      <c r="G28" s="15" t="n">
        <v>0.1512647162071086</v>
      </c>
      <c r="H28" s="15" t="n">
        <v>0.2692577222769585</v>
      </c>
      <c r="I28" s="15" t="n">
        <v>0.08087329359539039</v>
      </c>
    </row>
    <row r="29">
      <c r="A29" s="6" t="inlineStr">
        <is>
          <t>52-53.9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0.1428860526247492</v>
      </c>
      <c r="G29" s="8" t="n">
        <v>0</v>
      </c>
      <c r="H29" s="8" t="n">
        <v>0.08067527627793726</v>
      </c>
      <c r="I29" s="8" t="n">
        <v>0.01548369169489901</v>
      </c>
    </row>
    <row r="30">
      <c r="A30" s="13" t="inlineStr">
        <is>
          <t>54-55.9</t>
        </is>
      </c>
      <c r="B30" s="15" t="n">
        <v>0</v>
      </c>
      <c r="C30" s="15" t="n">
        <v>0</v>
      </c>
      <c r="D30" s="15" t="n">
        <v>0</v>
      </c>
      <c r="E30" s="15" t="n">
        <v>0</v>
      </c>
      <c r="F30" s="15" t="n">
        <v>0.1313294006500036</v>
      </c>
      <c r="G30" s="15" t="n">
        <v>0</v>
      </c>
      <c r="H30" s="15" t="n">
        <v>0</v>
      </c>
      <c r="I30" s="15" t="n">
        <v>0.007648094124896741</v>
      </c>
    </row>
    <row r="31">
      <c r="A31" s="6" t="inlineStr">
        <is>
          <t>56-57.9</t>
        </is>
      </c>
      <c r="B31" s="8" t="n">
        <v>0</v>
      </c>
      <c r="C31" s="8" t="n">
        <v>0.0242689443793793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0.1425813787327344</v>
      </c>
      <c r="I31" s="8" t="n">
        <v>0.02103278443027918</v>
      </c>
    </row>
    <row r="34">
      <c r="A34" s="26" t="inlineStr">
        <is>
          <t>Basal area (sq ft/ac) by DBH class</t>
        </is>
      </c>
    </row>
    <row r="35">
      <c r="A35" s="4" t="inlineStr">
        <is>
          <t>DBH class (in)</t>
        </is>
      </c>
      <c r="B35" s="4" t="inlineStr">
        <is>
          <t>Unit 1</t>
        </is>
      </c>
      <c r="C35" s="4" t="inlineStr">
        <is>
          <t>Unit 2</t>
        </is>
      </c>
      <c r="D35" s="4" t="inlineStr">
        <is>
          <t>Unit 3</t>
        </is>
      </c>
      <c r="E35" s="4" t="inlineStr">
        <is>
          <t>Unit 4</t>
        </is>
      </c>
      <c r="F35" s="4" t="inlineStr">
        <is>
          <t>Unit 5</t>
        </is>
      </c>
      <c r="G35" s="4" t="inlineStr">
        <is>
          <t>Unit 6</t>
        </is>
      </c>
      <c r="H35" s="4" t="inlineStr">
        <is>
          <t>Unit 7</t>
        </is>
      </c>
      <c r="I35" s="4" t="inlineStr">
        <is>
          <t>All units</t>
        </is>
      </c>
    </row>
    <row r="36">
      <c r="A36" s="6" t="inlineStr">
        <is>
          <t>4-5.9</t>
        </is>
      </c>
      <c r="B36" s="8" t="n">
        <v>13.17073170731707</v>
      </c>
      <c r="C36" s="8" t="n">
        <v>9.787234042553191</v>
      </c>
      <c r="D36" s="8" t="n">
        <v>3.333333333333333</v>
      </c>
      <c r="E36" s="8" t="n">
        <v>11.42857142857143</v>
      </c>
      <c r="F36" s="8" t="n">
        <v>11.11111111111111</v>
      </c>
      <c r="G36" s="8" t="n">
        <v>8.888888888888889</v>
      </c>
      <c r="H36" s="8" t="n">
        <v>6.25</v>
      </c>
      <c r="I36" s="8" t="n">
        <v>10.39243725383679</v>
      </c>
    </row>
    <row r="37">
      <c r="A37" s="13" t="inlineStr">
        <is>
          <t>6-7.9</t>
        </is>
      </c>
      <c r="B37" s="15" t="n">
        <v>17.07317073170732</v>
      </c>
      <c r="C37" s="15" t="n">
        <v>14.46808510638298</v>
      </c>
      <c r="D37" s="15" t="n">
        <v>10</v>
      </c>
      <c r="E37" s="15" t="n">
        <v>22.85714285714286</v>
      </c>
      <c r="F37" s="15" t="n">
        <v>8.888888888888889</v>
      </c>
      <c r="G37" s="15" t="n">
        <v>15.55555555555556</v>
      </c>
      <c r="H37" s="15" t="n">
        <v>15</v>
      </c>
      <c r="I37" s="15" t="n">
        <v>15.50806834126781</v>
      </c>
    </row>
    <row r="38">
      <c r="A38" s="6" t="inlineStr">
        <is>
          <t>8-9.9</t>
        </is>
      </c>
      <c r="B38" s="8" t="n">
        <v>15.60975609756098</v>
      </c>
      <c r="C38" s="8" t="n">
        <v>18.29787234042553</v>
      </c>
      <c r="D38" s="8" t="n">
        <v>20</v>
      </c>
      <c r="E38" s="8" t="n">
        <v>10</v>
      </c>
      <c r="F38" s="8" t="n">
        <v>22.22222222222222</v>
      </c>
      <c r="G38" s="8" t="n">
        <v>17.77777777777778</v>
      </c>
      <c r="H38" s="8" t="n">
        <v>10</v>
      </c>
      <c r="I38" s="8" t="n">
        <v>16.33191818844006</v>
      </c>
    </row>
    <row r="39">
      <c r="A39" s="13" t="inlineStr">
        <is>
          <t>10-11.9</t>
        </is>
      </c>
      <c r="B39" s="15" t="n">
        <v>20.97560975609756</v>
      </c>
      <c r="C39" s="15" t="n">
        <v>25.1063829787234</v>
      </c>
      <c r="D39" s="15" t="n">
        <v>26.66666666666667</v>
      </c>
      <c r="E39" s="15" t="n">
        <v>21.42857142857143</v>
      </c>
      <c r="F39" s="15" t="n">
        <v>8.888888888888889</v>
      </c>
      <c r="G39" s="15" t="n">
        <v>11.11111111111111</v>
      </c>
      <c r="H39" s="15" t="n">
        <v>11.25</v>
      </c>
      <c r="I39" s="15" t="n">
        <v>20.68234091257931</v>
      </c>
    </row>
    <row r="40">
      <c r="A40" s="6" t="inlineStr">
        <is>
          <t>12-13.9</t>
        </is>
      </c>
      <c r="B40" s="8" t="n">
        <v>21.46341463414634</v>
      </c>
      <c r="C40" s="8" t="n">
        <v>22.12765957446809</v>
      </c>
      <c r="D40" s="8" t="n">
        <v>26.66666666666667</v>
      </c>
      <c r="E40" s="8" t="n">
        <v>25.71428571428572</v>
      </c>
      <c r="F40" s="8" t="n">
        <v>15.55555555555556</v>
      </c>
      <c r="G40" s="8" t="n">
        <v>17.77777777777778</v>
      </c>
      <c r="H40" s="8" t="n">
        <v>12.5</v>
      </c>
      <c r="I40" s="8" t="n">
        <v>20.97847188999904</v>
      </c>
    </row>
    <row r="41">
      <c r="A41" s="13" t="inlineStr">
        <is>
          <t>14-15.9</t>
        </is>
      </c>
      <c r="B41" s="15" t="n">
        <v>24.87804878048781</v>
      </c>
      <c r="C41" s="15" t="n">
        <v>20.85106382978723</v>
      </c>
      <c r="D41" s="15" t="n">
        <v>33.33333333333334</v>
      </c>
      <c r="E41" s="15" t="n">
        <v>28.57142857142857</v>
      </c>
      <c r="F41" s="15" t="n">
        <v>11.11111111111111</v>
      </c>
      <c r="G41" s="15" t="n">
        <v>31.11111111111111</v>
      </c>
      <c r="H41" s="15" t="n">
        <v>17.5</v>
      </c>
      <c r="I41" s="15" t="n">
        <v>23.08295119693511</v>
      </c>
    </row>
    <row r="42">
      <c r="A42" s="6" t="inlineStr">
        <is>
          <t>16-17.9</t>
        </is>
      </c>
      <c r="B42" s="8" t="n">
        <v>20</v>
      </c>
      <c r="C42" s="8" t="n">
        <v>17.02127659574468</v>
      </c>
      <c r="D42" s="8" t="n">
        <v>20</v>
      </c>
      <c r="E42" s="8" t="n">
        <v>25.71428571428572</v>
      </c>
      <c r="F42" s="8" t="n">
        <v>8.888888888888889</v>
      </c>
      <c r="G42" s="8" t="n">
        <v>15.55555555555556</v>
      </c>
      <c r="H42" s="8" t="n">
        <v>13.75</v>
      </c>
      <c r="I42" s="8" t="n">
        <v>17.99276558316662</v>
      </c>
    </row>
    <row r="43">
      <c r="A43" s="13" t="inlineStr">
        <is>
          <t>18-19.9</t>
        </is>
      </c>
      <c r="B43" s="15" t="n">
        <v>20.48780487804878</v>
      </c>
      <c r="C43" s="15" t="n">
        <v>15.31914893617021</v>
      </c>
      <c r="D43" s="15" t="n">
        <v>20</v>
      </c>
      <c r="E43" s="15" t="n">
        <v>27.14285714285714</v>
      </c>
      <c r="F43" s="15" t="n">
        <v>13.33333333333333</v>
      </c>
      <c r="G43" s="15" t="n">
        <v>11.11111111111111</v>
      </c>
      <c r="H43" s="15" t="n">
        <v>17.5</v>
      </c>
      <c r="I43" s="15" t="n">
        <v>18.04608417819728</v>
      </c>
    </row>
    <row r="44">
      <c r="A44" s="6" t="inlineStr">
        <is>
          <t>20-21.9</t>
        </is>
      </c>
      <c r="B44" s="8" t="n">
        <v>18.53658536585366</v>
      </c>
      <c r="C44" s="8" t="n">
        <v>17.87234042553191</v>
      </c>
      <c r="D44" s="8" t="n">
        <v>10</v>
      </c>
      <c r="E44" s="8" t="n">
        <v>21.42857142857143</v>
      </c>
      <c r="F44" s="8" t="n">
        <v>8.888888888888889</v>
      </c>
      <c r="G44" s="8" t="n">
        <v>15.55555555555556</v>
      </c>
      <c r="H44" s="8" t="n">
        <v>13.75</v>
      </c>
      <c r="I44" s="8" t="n">
        <v>16.93887272582232</v>
      </c>
    </row>
    <row r="45">
      <c r="A45" s="13" t="inlineStr">
        <is>
          <t>22-23.9</t>
        </is>
      </c>
      <c r="B45" s="15" t="n">
        <v>18.04878048780488</v>
      </c>
      <c r="C45" s="15" t="n">
        <v>14.04255319148936</v>
      </c>
      <c r="D45" s="15" t="n">
        <v>13.33333333333333</v>
      </c>
      <c r="E45" s="15" t="n">
        <v>11.42857142857143</v>
      </c>
      <c r="F45" s="15" t="n">
        <v>20</v>
      </c>
      <c r="G45" s="15" t="n">
        <v>20</v>
      </c>
      <c r="H45" s="15" t="n">
        <v>12.5</v>
      </c>
      <c r="I45" s="15" t="n">
        <v>15.61731094006778</v>
      </c>
    </row>
    <row r="46">
      <c r="A46" s="6" t="inlineStr">
        <is>
          <t>24-25.9</t>
        </is>
      </c>
      <c r="B46" s="8" t="n">
        <v>13.65853658536585</v>
      </c>
      <c r="C46" s="8" t="n">
        <v>11.06382978723404</v>
      </c>
      <c r="D46" s="8" t="n">
        <v>16.66666666666667</v>
      </c>
      <c r="E46" s="8" t="n">
        <v>15.71428571428571</v>
      </c>
      <c r="F46" s="8" t="n">
        <v>4.444444444444445</v>
      </c>
      <c r="G46" s="8" t="n">
        <v>6.666666666666667</v>
      </c>
      <c r="H46" s="8" t="n">
        <v>10</v>
      </c>
      <c r="I46" s="8" t="n">
        <v>11.87442101990406</v>
      </c>
    </row>
    <row r="47">
      <c r="A47" s="13" t="inlineStr">
        <is>
          <t>26-27.9</t>
        </is>
      </c>
      <c r="B47" s="15" t="n">
        <v>10.24390243902439</v>
      </c>
      <c r="C47" s="15" t="n">
        <v>8.51063829787234</v>
      </c>
      <c r="D47" s="15" t="n">
        <v>13.33333333333333</v>
      </c>
      <c r="E47" s="15" t="n">
        <v>8.571428571428571</v>
      </c>
      <c r="F47" s="15" t="n">
        <v>4.444444444444445</v>
      </c>
      <c r="G47" s="15" t="n">
        <v>17.77777777777778</v>
      </c>
      <c r="H47" s="15" t="n">
        <v>8.75</v>
      </c>
      <c r="I47" s="15" t="n">
        <v>9.586716321200294</v>
      </c>
    </row>
    <row r="48">
      <c r="A48" s="6" t="inlineStr">
        <is>
          <t>28-29.9</t>
        </is>
      </c>
      <c r="B48" s="8" t="n">
        <v>7.317073170731708</v>
      </c>
      <c r="C48" s="8" t="n">
        <v>7.659574468085107</v>
      </c>
      <c r="D48" s="8" t="n">
        <v>10</v>
      </c>
      <c r="E48" s="8" t="n">
        <v>8.571428571428571</v>
      </c>
      <c r="F48" s="8" t="n">
        <v>11.11111111111111</v>
      </c>
      <c r="G48" s="8" t="n">
        <v>4.444444444444445</v>
      </c>
      <c r="H48" s="8" t="n">
        <v>7.5</v>
      </c>
      <c r="I48" s="8" t="n">
        <v>7.770636418844398</v>
      </c>
    </row>
    <row r="49">
      <c r="A49" s="13" t="inlineStr">
        <is>
          <t>30-31.9</t>
        </is>
      </c>
      <c r="B49" s="15" t="n">
        <v>8.780487804878049</v>
      </c>
      <c r="C49" s="15" t="n">
        <v>8.936170212765957</v>
      </c>
      <c r="D49" s="15" t="n">
        <v>10</v>
      </c>
      <c r="E49" s="15" t="n">
        <v>7.142857142857143</v>
      </c>
      <c r="F49" s="15" t="n">
        <v>2.222222222222222</v>
      </c>
      <c r="G49" s="15" t="n">
        <v>6.666666666666667</v>
      </c>
      <c r="H49" s="15" t="n">
        <v>6.25</v>
      </c>
      <c r="I49" s="15" t="n">
        <v>8.060402280550512</v>
      </c>
    </row>
    <row r="50">
      <c r="A50" s="6" t="inlineStr">
        <is>
          <t>32-33.9</t>
        </is>
      </c>
      <c r="B50" s="8" t="n">
        <v>0.975609756097561</v>
      </c>
      <c r="C50" s="8" t="n">
        <v>5.531914893617022</v>
      </c>
      <c r="D50" s="8" t="n">
        <v>3.333333333333333</v>
      </c>
      <c r="E50" s="8" t="n">
        <v>1.428571428571429</v>
      </c>
      <c r="F50" s="8" t="n">
        <v>8.888888888888889</v>
      </c>
      <c r="G50" s="8" t="n">
        <v>8.888888888888889</v>
      </c>
      <c r="H50" s="8" t="n">
        <v>3.75</v>
      </c>
      <c r="I50" s="8" t="n">
        <v>3.810998920020536</v>
      </c>
    </row>
    <row r="51">
      <c r="A51" s="13" t="inlineStr">
        <is>
          <t>34-35.9</t>
        </is>
      </c>
      <c r="B51" s="15" t="n">
        <v>3.414634146341463</v>
      </c>
      <c r="C51" s="15" t="n">
        <v>3.829787234042553</v>
      </c>
      <c r="D51" s="15" t="n">
        <v>0</v>
      </c>
      <c r="E51" s="15" t="n">
        <v>5.714285714285714</v>
      </c>
      <c r="F51" s="15" t="n">
        <v>2.222222222222222</v>
      </c>
      <c r="G51" s="15" t="n">
        <v>8.888888888888889</v>
      </c>
      <c r="H51" s="15" t="n">
        <v>10</v>
      </c>
      <c r="I51" s="15" t="n">
        <v>4.341528611972913</v>
      </c>
    </row>
    <row r="52">
      <c r="A52" s="6" t="inlineStr">
        <is>
          <t>36-37.9</t>
        </is>
      </c>
      <c r="B52" s="8" t="n">
        <v>1.951219512195122</v>
      </c>
      <c r="C52" s="8" t="n">
        <v>2.553191489361702</v>
      </c>
      <c r="D52" s="8" t="n">
        <v>6.666666666666667</v>
      </c>
      <c r="E52" s="8" t="n">
        <v>1.428571428571429</v>
      </c>
      <c r="F52" s="8" t="n">
        <v>8.888888888888889</v>
      </c>
      <c r="G52" s="8" t="n">
        <v>6.666666666666667</v>
      </c>
      <c r="H52" s="8" t="n">
        <v>7.5</v>
      </c>
      <c r="I52" s="8" t="n">
        <v>3.502919351495322</v>
      </c>
    </row>
    <row r="53">
      <c r="A53" s="13" t="inlineStr">
        <is>
          <t>38-39.9</t>
        </is>
      </c>
      <c r="B53" s="15" t="n">
        <v>1.951219512195122</v>
      </c>
      <c r="C53" s="15" t="n">
        <v>0.851063829787234</v>
      </c>
      <c r="D53" s="15" t="n">
        <v>3.333333333333333</v>
      </c>
      <c r="E53" s="15" t="n">
        <v>0</v>
      </c>
      <c r="F53" s="15" t="n">
        <v>2.222222222222222</v>
      </c>
      <c r="G53" s="15" t="n">
        <v>4.444444444444445</v>
      </c>
      <c r="H53" s="15" t="n">
        <v>7.5</v>
      </c>
      <c r="I53" s="15" t="n">
        <v>2.126800019097403</v>
      </c>
    </row>
    <row r="54">
      <c r="A54" s="6" t="inlineStr">
        <is>
          <t>40-41.9</t>
        </is>
      </c>
      <c r="B54" s="8" t="n">
        <v>0.4878048780487805</v>
      </c>
      <c r="C54" s="8" t="n">
        <v>2.978723404255319</v>
      </c>
      <c r="D54" s="8" t="n">
        <v>0</v>
      </c>
      <c r="E54" s="8" t="n">
        <v>1.428571428571429</v>
      </c>
      <c r="F54" s="8" t="n">
        <v>4.444444444444445</v>
      </c>
      <c r="G54" s="8" t="n">
        <v>6.666666666666667</v>
      </c>
      <c r="H54" s="8" t="n">
        <v>2.5</v>
      </c>
      <c r="I54" s="8" t="n">
        <v>2.111282949633024</v>
      </c>
    </row>
    <row r="55">
      <c r="A55" s="13" t="inlineStr">
        <is>
          <t>42-43.9</t>
        </is>
      </c>
      <c r="B55" s="15" t="n">
        <v>1.463414634146341</v>
      </c>
      <c r="C55" s="15" t="n">
        <v>0</v>
      </c>
      <c r="D55" s="15" t="n">
        <v>0</v>
      </c>
      <c r="E55" s="15" t="n">
        <v>1.428571428571429</v>
      </c>
      <c r="F55" s="15" t="n">
        <v>0</v>
      </c>
      <c r="G55" s="15" t="n">
        <v>4.444444444444445</v>
      </c>
      <c r="H55" s="15" t="n">
        <v>2.5</v>
      </c>
      <c r="I55" s="15" t="n">
        <v>1.032658421816876</v>
      </c>
    </row>
    <row r="56">
      <c r="A56" s="6" t="inlineStr">
        <is>
          <t>44-45.9</t>
        </is>
      </c>
      <c r="B56" s="8" t="n">
        <v>1.463414634146341</v>
      </c>
      <c r="C56" s="8" t="n">
        <v>0</v>
      </c>
      <c r="D56" s="8" t="n">
        <v>0</v>
      </c>
      <c r="E56" s="8" t="n">
        <v>0</v>
      </c>
      <c r="F56" s="8" t="n">
        <v>4.444444444444445</v>
      </c>
      <c r="G56" s="8" t="n">
        <v>4.444444444444445</v>
      </c>
      <c r="H56" s="8" t="n">
        <v>3.75</v>
      </c>
      <c r="I56" s="8" t="n">
        <v>1.291448681520989</v>
      </c>
    </row>
    <row r="57">
      <c r="A57" s="13" t="inlineStr">
        <is>
          <t>46-47.9</t>
        </is>
      </c>
      <c r="B57" s="15" t="n">
        <v>0.4878048780487805</v>
      </c>
      <c r="C57" s="15" t="n">
        <v>0.851063829787234</v>
      </c>
      <c r="D57" s="15" t="n">
        <v>0</v>
      </c>
      <c r="E57" s="15" t="n">
        <v>1.428571428571429</v>
      </c>
      <c r="F57" s="15" t="n">
        <v>2.222222222222222</v>
      </c>
      <c r="G57" s="15" t="n">
        <v>0</v>
      </c>
      <c r="H57" s="15" t="n">
        <v>2.5</v>
      </c>
      <c r="I57" s="15" t="n">
        <v>0.9154314929667906</v>
      </c>
    </row>
    <row r="58">
      <c r="A58" s="6" t="inlineStr">
        <is>
          <t>48-49.9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1.25</v>
      </c>
      <c r="I58" s="8" t="n">
        <v>0.1109786223079039</v>
      </c>
    </row>
    <row r="59">
      <c r="A59" s="13" t="inlineStr">
        <is>
          <t>50-51.9</t>
        </is>
      </c>
      <c r="B59" s="15" t="n">
        <v>0</v>
      </c>
      <c r="C59" s="15" t="n">
        <v>1.276595744680851</v>
      </c>
      <c r="D59" s="15" t="n">
        <v>0</v>
      </c>
      <c r="E59" s="15" t="n">
        <v>0</v>
      </c>
      <c r="F59" s="15" t="n">
        <v>4.444444444444445</v>
      </c>
      <c r="G59" s="15" t="n">
        <v>2.222222222222222</v>
      </c>
      <c r="H59" s="15" t="n">
        <v>3.75</v>
      </c>
      <c r="I59" s="15" t="n">
        <v>1.143014755154779</v>
      </c>
    </row>
    <row r="60">
      <c r="A60" s="6" t="inlineStr">
        <is>
          <t>52-53.9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2.222222222222222</v>
      </c>
      <c r="G60" s="8" t="n">
        <v>0</v>
      </c>
      <c r="H60" s="8" t="n">
        <v>1.25</v>
      </c>
      <c r="I60" s="8" t="n">
        <v>0.2403918735515225</v>
      </c>
    </row>
    <row r="61">
      <c r="A61" s="13" t="inlineStr">
        <is>
          <t>54-55.9</t>
        </is>
      </c>
      <c r="B61" s="15" t="n">
        <v>0</v>
      </c>
      <c r="C61" s="15" t="n">
        <v>0</v>
      </c>
      <c r="D61" s="15" t="n">
        <v>0</v>
      </c>
      <c r="E61" s="15" t="n">
        <v>0</v>
      </c>
      <c r="F61" s="15" t="n">
        <v>2.222222222222222</v>
      </c>
      <c r="G61" s="15" t="n">
        <v>0</v>
      </c>
      <c r="H61" s="15" t="n">
        <v>0</v>
      </c>
      <c r="I61" s="15" t="n">
        <v>0.1294132512436186</v>
      </c>
    </row>
    <row r="62">
      <c r="A62" s="6" t="inlineStr">
        <is>
          <t>56-57.9</t>
        </is>
      </c>
      <c r="B62" s="8" t="n">
        <v>0</v>
      </c>
      <c r="C62" s="8" t="n">
        <v>0.425531914893617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2.5</v>
      </c>
      <c r="I62" s="8" t="n">
        <v>0.3687869825680268</v>
      </c>
    </row>
    <row r="65">
      <c r="A65" s="26" t="inlineStr">
        <is>
          <t>Broad size classes (per acre)</t>
        </is>
      </c>
    </row>
    <row r="66">
      <c r="A66" s="4" t="inlineStr">
        <is>
          <t>Unit</t>
        </is>
      </c>
      <c r="B66" s="4" t="inlineStr">
        <is>
          <t>5-11.9 in (poles) TPA</t>
        </is>
      </c>
      <c r="C66" s="4" t="inlineStr">
        <is>
          <t>12-23.9 in (small sawtimber) TPA</t>
        </is>
      </c>
      <c r="D66" s="4" t="inlineStr">
        <is>
          <t>24-35.9 in (large sawtimber) TPA</t>
        </is>
      </c>
      <c r="E66" s="4" t="inlineStr">
        <is>
          <t>36 in + (very large) TPA</t>
        </is>
      </c>
      <c r="F66" s="4" t="inlineStr">
        <is>
          <t>5-11.9 in (poles) BA</t>
        </is>
      </c>
      <c r="G66" s="4" t="inlineStr">
        <is>
          <t>12-23.9 in (small sawtimber) BA</t>
        </is>
      </c>
      <c r="H66" s="4" t="inlineStr">
        <is>
          <t>24-35.9 in (large sawtimber) BA</t>
        </is>
      </c>
      <c r="I66" s="4" t="inlineStr">
        <is>
          <t>36 in + (very large) BA</t>
        </is>
      </c>
    </row>
    <row r="67">
      <c r="A67" s="6" t="n">
        <v>1</v>
      </c>
      <c r="B67" s="8" t="n">
        <v>223.0416343981408</v>
      </c>
      <c r="C67" s="8" t="n">
        <v>80.94765229783381</v>
      </c>
      <c r="D67" s="8" t="n">
        <v>10.63383264027995</v>
      </c>
      <c r="E67" s="8" t="n">
        <v>0.8706786697516202</v>
      </c>
      <c r="F67" s="8" t="n">
        <v>66.82926829268293</v>
      </c>
      <c r="G67" s="8" t="n">
        <v>123.4146341463415</v>
      </c>
      <c r="H67" s="8" t="n">
        <v>44.39024390243902</v>
      </c>
      <c r="I67" s="8" t="n">
        <v>7.804878048780488</v>
      </c>
    </row>
    <row r="68">
      <c r="A68" s="13" t="n">
        <v>2</v>
      </c>
      <c r="B68" s="15" t="n">
        <v>203.1379132764065</v>
      </c>
      <c r="C68" s="15" t="n">
        <v>73.30467123808813</v>
      </c>
      <c r="D68" s="15" t="n">
        <v>10.34191091681721</v>
      </c>
      <c r="E68" s="15" t="n">
        <v>0.9572694101330037</v>
      </c>
      <c r="F68" s="15" t="n">
        <v>67.65957446808511</v>
      </c>
      <c r="G68" s="15" t="n">
        <v>107.2340425531915</v>
      </c>
      <c r="H68" s="15" t="n">
        <v>45.53191489361702</v>
      </c>
      <c r="I68" s="15" t="n">
        <v>8.936170212765957</v>
      </c>
    </row>
    <row r="69">
      <c r="A69" s="6" t="n">
        <v>3</v>
      </c>
      <c r="B69" s="8" t="n">
        <v>154.9345477762922</v>
      </c>
      <c r="C69" s="8" t="n">
        <v>88.98407990879917</v>
      </c>
      <c r="D69" s="8" t="n">
        <v>13.05921489767357</v>
      </c>
      <c r="E69" s="8" t="n">
        <v>1.297366830419578</v>
      </c>
      <c r="F69" s="8" t="n">
        <v>60</v>
      </c>
      <c r="G69" s="8" t="n">
        <v>123.3333333333333</v>
      </c>
      <c r="H69" s="8" t="n">
        <v>53.33333333333334</v>
      </c>
      <c r="I69" s="8" t="n">
        <v>10</v>
      </c>
    </row>
    <row r="70">
      <c r="A70" s="13" t="n">
        <v>4</v>
      </c>
      <c r="B70" s="15" t="n">
        <v>228.2848124538429</v>
      </c>
      <c r="C70" s="15" t="n">
        <v>95.2445921770491</v>
      </c>
      <c r="D70" s="15" t="n">
        <v>11.21935982834662</v>
      </c>
      <c r="E70" s="15" t="n">
        <v>0.618655266272886</v>
      </c>
      <c r="F70" s="15" t="n">
        <v>65.71428571428571</v>
      </c>
      <c r="G70" s="15" t="n">
        <v>140</v>
      </c>
      <c r="H70" s="15" t="n">
        <v>47.14285714285715</v>
      </c>
      <c r="I70" s="15" t="n">
        <v>5.714285714285714</v>
      </c>
    </row>
    <row r="71">
      <c r="A71" s="6" t="n">
        <v>5</v>
      </c>
      <c r="B71" s="8" t="n">
        <v>177.1552848126418</v>
      </c>
      <c r="C71" s="8" t="n">
        <v>49.00790028886445</v>
      </c>
      <c r="D71" s="8" t="n">
        <v>7.267775125993918</v>
      </c>
      <c r="E71" s="8" t="n">
        <v>3.125442616251741</v>
      </c>
      <c r="F71" s="8" t="n">
        <v>51.11111111111111</v>
      </c>
      <c r="G71" s="8" t="n">
        <v>77.77777777777777</v>
      </c>
      <c r="H71" s="8" t="n">
        <v>33.33333333333334</v>
      </c>
      <c r="I71" s="8" t="n">
        <v>31.11111111111111</v>
      </c>
    </row>
    <row r="72">
      <c r="A72" s="13" t="n">
        <v>6</v>
      </c>
      <c r="B72" s="15" t="n">
        <v>174.324923790465</v>
      </c>
      <c r="C72" s="15" t="n">
        <v>75.3225082308052</v>
      </c>
      <c r="D72" s="15" t="n">
        <v>11.35623312730467</v>
      </c>
      <c r="E72" s="15" t="n">
        <v>3.165935591960716</v>
      </c>
      <c r="F72" s="15" t="n">
        <v>53.33333333333334</v>
      </c>
      <c r="G72" s="15" t="n">
        <v>111.1111111111111</v>
      </c>
      <c r="H72" s="15" t="n">
        <v>53.33333333333334</v>
      </c>
      <c r="I72" s="15" t="n">
        <v>28.88888888888889</v>
      </c>
    </row>
    <row r="73">
      <c r="A73" s="6" t="n">
        <v>7</v>
      </c>
      <c r="B73" s="8" t="n">
        <v>146.8221542620709</v>
      </c>
      <c r="C73" s="8" t="n">
        <v>55.94044745380222</v>
      </c>
      <c r="D73" s="8" t="n">
        <v>10.10289789463421</v>
      </c>
      <c r="E73" s="8" t="n">
        <v>3.599232832545811</v>
      </c>
      <c r="F73" s="8" t="n">
        <v>42.5</v>
      </c>
      <c r="G73" s="8" t="n">
        <v>87.5</v>
      </c>
      <c r="H73" s="8" t="n">
        <v>46.25</v>
      </c>
      <c r="I73" s="8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7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Simulated marking: pre- and post-harvest stand structure</t>
        </is>
      </c>
    </row>
    <row r="2">
      <c r="A2" s="2" t="inlineStr">
        <is>
          <t>Per-acre values; harvest volume is net Scribner MBF</t>
        </is>
      </c>
    </row>
    <row r="4">
      <c r="A4" s="4" t="inlineStr">
        <is>
          <t>Unit</t>
        </is>
      </c>
      <c r="B4" s="4" t="inlineStr">
        <is>
          <t>Silviculture</t>
        </is>
      </c>
      <c r="C4" s="4" t="inlineStr">
        <is>
          <t>Acres</t>
        </is>
      </c>
      <c r="D4" s="4" t="inlineStr">
        <is>
          <t>Marking rule</t>
        </is>
      </c>
      <c r="E4" s="4" t="inlineStr">
        <is>
          <t>Pre TPA</t>
        </is>
      </c>
      <c r="F4" s="4" t="inlineStr">
        <is>
          <t>Post TPA</t>
        </is>
      </c>
      <c r="G4" s="4" t="inlineStr">
        <is>
          <t>Pre BA</t>
        </is>
      </c>
      <c r="H4" s="4" t="inlineStr">
        <is>
          <t>Post BA</t>
        </is>
      </c>
      <c r="I4" s="4" t="inlineStr">
        <is>
          <t>Pre QMD</t>
        </is>
      </c>
      <c r="J4" s="4" t="inlineStr">
        <is>
          <t>Post QMD</t>
        </is>
      </c>
      <c r="K4" s="4" t="inlineStr">
        <is>
          <t>Pre % max SDI</t>
        </is>
      </c>
      <c r="L4" s="4" t="inlineStr">
        <is>
          <t>Post % max SDI</t>
        </is>
      </c>
      <c r="M4" s="4" t="inlineStr">
        <is>
          <t>Cut TPA</t>
        </is>
      </c>
      <c r="N4" s="4" t="inlineStr">
        <is>
          <t>Cut BA</t>
        </is>
      </c>
      <c r="O4" s="4" t="inlineStr">
        <is>
          <t>% BA removed</t>
        </is>
      </c>
      <c r="P4" s="4" t="inlineStr">
        <is>
          <t>Cut QMD</t>
        </is>
      </c>
      <c r="Q4" s="4" t="inlineStr">
        <is>
          <t>Net MBF/ac cut</t>
        </is>
      </c>
      <c r="R4" s="4" t="inlineStr">
        <is>
          <t>Net MBF cut total</t>
        </is>
      </c>
      <c r="S4" s="4" t="inlineStr">
        <is>
          <t>Gross MBF cut total</t>
        </is>
      </c>
    </row>
    <row r="5">
      <c r="A5" s="5" t="n">
        <v>1</v>
      </c>
      <c r="B5" s="6" t="inlineStr">
        <is>
          <t>Commercial Thin</t>
        </is>
      </c>
      <c r="C5" s="8" t="n">
        <v>174.6348316789966</v>
      </c>
      <c r="D5" s="6" t="inlineStr">
        <is>
          <t>Thin from below to 40 % of max SDI; retain all sugar pine and black oak &gt;= 16 in</t>
        </is>
      </c>
      <c r="E5" s="5" t="n">
        <v>315.4937980060062</v>
      </c>
      <c r="F5" s="5" t="n">
        <v>72.84631532634513</v>
      </c>
      <c r="G5" s="5" t="n">
        <v>242.4390243902439</v>
      </c>
      <c r="H5" s="5" t="n">
        <v>154.1463414634146</v>
      </c>
      <c r="I5" s="8" t="n">
        <v>11.86993344593354</v>
      </c>
      <c r="J5" s="8" t="n">
        <v>19.69723422607197</v>
      </c>
      <c r="K5" s="9" t="n">
        <v>0.7211910142131066</v>
      </c>
      <c r="L5" s="9" t="n">
        <v>0.396434954249804</v>
      </c>
      <c r="M5" s="5" t="n">
        <v>242.647482679661</v>
      </c>
      <c r="N5" s="5" t="n">
        <v>88.29268292682927</v>
      </c>
      <c r="O5" s="9" t="n">
        <v>0.3641851106639839</v>
      </c>
      <c r="P5" s="8" t="n">
        <v>8.168021928811998</v>
      </c>
      <c r="Q5" s="8" t="n">
        <v>3.467821048770732</v>
      </c>
      <c r="R5" s="10" t="n">
        <v>605.6023451449582</v>
      </c>
      <c r="S5" s="10" t="n">
        <v>650.1849180088651</v>
      </c>
    </row>
    <row r="6">
      <c r="A6" s="12" t="n">
        <v>2</v>
      </c>
      <c r="B6" s="13" t="inlineStr">
        <is>
          <t>Commercial Thin</t>
        </is>
      </c>
      <c r="C6" s="15" t="n">
        <v>184.4195404629801</v>
      </c>
      <c r="D6" s="13" t="inlineStr">
        <is>
          <t>Thin from below to 40 % of max SDI; retain all sugar pine and black oak &gt;= 16 in</t>
        </is>
      </c>
      <c r="E6" s="12" t="n">
        <v>287.7417648414449</v>
      </c>
      <c r="F6" s="12" t="n">
        <v>75.30886690360872</v>
      </c>
      <c r="G6" s="12" t="n">
        <v>229.3617021276596</v>
      </c>
      <c r="H6" s="12" t="n">
        <v>154.0425531914894</v>
      </c>
      <c r="I6" s="15" t="n">
        <v>12.08930774647596</v>
      </c>
      <c r="J6" s="15" t="n">
        <v>19.3659912234511</v>
      </c>
      <c r="K6" s="16" t="n">
        <v>0.6761334110405518</v>
      </c>
      <c r="L6" s="16" t="n">
        <v>0.3935385337672606</v>
      </c>
      <c r="M6" s="12" t="n">
        <v>212.4328979378361</v>
      </c>
      <c r="N6" s="12" t="n">
        <v>75.31914893617021</v>
      </c>
      <c r="O6" s="16" t="n">
        <v>0.3283858998144712</v>
      </c>
      <c r="P6" s="15" t="n">
        <v>8.06276957679702</v>
      </c>
      <c r="Q6" s="15" t="n">
        <v>2.278527416425531</v>
      </c>
      <c r="R6" s="17" t="n">
        <v>420.2049790694978</v>
      </c>
      <c r="S6" s="17" t="n">
        <v>454.9499844191816</v>
      </c>
    </row>
    <row r="7">
      <c r="A7" s="5" t="n">
        <v>3</v>
      </c>
      <c r="B7" s="6" t="inlineStr">
        <is>
          <t>Commercial Thin</t>
        </is>
      </c>
      <c r="C7" s="8" t="n">
        <v>28.66629253859832</v>
      </c>
      <c r="D7" s="6" t="inlineStr">
        <is>
          <t>Thin from below to 40 % of max SDI; retain all sugar pine and black oak &gt;= 16 in</t>
        </is>
      </c>
      <c r="E7" s="5" t="n">
        <v>258.2752094131845</v>
      </c>
      <c r="F7" s="5" t="n">
        <v>84.30164494996247</v>
      </c>
      <c r="G7" s="5" t="n">
        <v>246.6666666666667</v>
      </c>
      <c r="H7" s="5" t="n">
        <v>160</v>
      </c>
      <c r="I7" s="8" t="n">
        <v>13.23293881708191</v>
      </c>
      <c r="J7" s="8" t="n">
        <v>18.6545338041368</v>
      </c>
      <c r="K7" s="9" t="n">
        <v>0.6767631261675878</v>
      </c>
      <c r="L7" s="9" t="n">
        <v>0.3955006605563958</v>
      </c>
      <c r="M7" s="5" t="n">
        <v>173.973564463222</v>
      </c>
      <c r="N7" s="5" t="n">
        <v>86.66666666666667</v>
      </c>
      <c r="O7" s="9" t="n">
        <v>0.3513513513513514</v>
      </c>
      <c r="P7" s="8" t="n">
        <v>9.557115817388402</v>
      </c>
      <c r="Q7" s="8" t="n">
        <v>4.515172853999999</v>
      </c>
      <c r="R7" s="10" t="n">
        <v>129.4332658951019</v>
      </c>
      <c r="S7" s="10" t="n">
        <v>139.6246559377473</v>
      </c>
    </row>
    <row r="8">
      <c r="A8" s="12" t="n">
        <v>4</v>
      </c>
      <c r="B8" s="13" t="inlineStr">
        <is>
          <t>Commercial Thin</t>
        </is>
      </c>
      <c r="C8" s="15" t="n">
        <v>41.53404461210165</v>
      </c>
      <c r="D8" s="13" t="inlineStr">
        <is>
          <t>Thin from below to 40 % of max SDI; retain all sugar pine and black oak &gt;= 16 in</t>
        </is>
      </c>
      <c r="E8" s="12" t="n">
        <v>335.3674197255115</v>
      </c>
      <c r="F8" s="12" t="n">
        <v>75.36092000550305</v>
      </c>
      <c r="G8" s="12" t="n">
        <v>258.5714285714286</v>
      </c>
      <c r="H8" s="12" t="n">
        <v>162.8571428571429</v>
      </c>
      <c r="I8" s="15" t="n">
        <v>11.88973748508279</v>
      </c>
      <c r="J8" s="15" t="n">
        <v>19.90548405222056</v>
      </c>
      <c r="K8" s="16" t="n">
        <v>0.7256453810162724</v>
      </c>
      <c r="L8" s="16" t="n">
        <v>0.3967561995573449</v>
      </c>
      <c r="M8" s="12" t="n">
        <v>260.0064997200084</v>
      </c>
      <c r="N8" s="12" t="n">
        <v>95.71428571428571</v>
      </c>
      <c r="O8" s="16" t="n">
        <v>0.3701657458563536</v>
      </c>
      <c r="P8" s="15" t="n">
        <v>8.215589140477393</v>
      </c>
      <c r="Q8" s="15" t="n">
        <v>4.145262507257144</v>
      </c>
      <c r="R8" s="17" t="n">
        <v>172.1695179052905</v>
      </c>
      <c r="S8" s="17" t="n">
        <v>185.0434690501824</v>
      </c>
    </row>
    <row r="9">
      <c r="A9" s="5" t="n">
        <v>5</v>
      </c>
      <c r="B9" s="6" t="inlineStr">
        <is>
          <t>Selection</t>
        </is>
      </c>
      <c r="C9" s="8" t="n">
        <v>31.1254981903806</v>
      </c>
      <c r="D9" s="6" t="inlineStr">
        <is>
          <t>Single-tree selection, trees &gt;= 12 in: remove ~40 % of white fir / incense-cedar BA, ~18 % of pine / Douglas-fir; retain sugar pine and black oak</t>
        </is>
      </c>
      <c r="E9" s="5" t="n">
        <v>236.5564028437518</v>
      </c>
      <c r="F9" s="5" t="n">
        <v>221.9018591855612</v>
      </c>
      <c r="G9" s="5" t="n">
        <v>193.3333333333333</v>
      </c>
      <c r="H9" s="5" t="n">
        <v>160</v>
      </c>
      <c r="I9" s="8" t="n">
        <v>12.24132557772282</v>
      </c>
      <c r="J9" s="8" t="n">
        <v>11.49799072688452</v>
      </c>
      <c r="K9" s="9" t="n">
        <v>0.5356549376712918</v>
      </c>
      <c r="L9" s="9" t="n">
        <v>0.4596746988691557</v>
      </c>
      <c r="M9" s="5" t="n">
        <v>14.65454365819067</v>
      </c>
      <c r="N9" s="5" t="n">
        <v>33.33333333333334</v>
      </c>
      <c r="O9" s="9" t="n">
        <v>0.1724137931034483</v>
      </c>
      <c r="P9" s="8" t="n">
        <v>20.42187700803726</v>
      </c>
      <c r="Q9" s="8" t="n">
        <v>5.456367428400001</v>
      </c>
      <c r="R9" s="10" t="n">
        <v>169.8321545187159</v>
      </c>
      <c r="S9" s="10" t="n">
        <v>182.8318524161164</v>
      </c>
    </row>
    <row r="10">
      <c r="A10" s="12" t="n">
        <v>6</v>
      </c>
      <c r="B10" s="13" t="inlineStr">
        <is>
          <t>Selection</t>
        </is>
      </c>
      <c r="C10" s="15" t="n">
        <v>26.63992190139055</v>
      </c>
      <c r="D10" s="13" t="inlineStr">
        <is>
          <t>Single-tree selection, trees &gt;= 12 in: remove ~40 % of white fir / incense-cedar BA, ~18 % of pine / Douglas-fir; retain sugar pine and black oak</t>
        </is>
      </c>
      <c r="E10" s="12" t="n">
        <v>264.1696007405357</v>
      </c>
      <c r="F10" s="12" t="n">
        <v>246.3611341993997</v>
      </c>
      <c r="G10" s="12" t="n">
        <v>246.6666666666667</v>
      </c>
      <c r="H10" s="12" t="n">
        <v>206.6666666666667</v>
      </c>
      <c r="I10" s="15" t="n">
        <v>13.08447331448042</v>
      </c>
      <c r="J10" s="15" t="n">
        <v>12.40199503570857</v>
      </c>
      <c r="K10" s="16" t="n">
        <v>0.7469348537329794</v>
      </c>
      <c r="L10" s="16" t="n">
        <v>0.6429354091894451</v>
      </c>
      <c r="M10" s="12" t="n">
        <v>17.80846654113599</v>
      </c>
      <c r="N10" s="12" t="n">
        <v>40</v>
      </c>
      <c r="O10" s="16" t="n">
        <v>0.1621621621621622</v>
      </c>
      <c r="P10" s="15" t="n">
        <v>20.29360330049192</v>
      </c>
      <c r="Q10" s="15" t="n">
        <v>7.0024947636</v>
      </c>
      <c r="R10" s="17" t="n">
        <v>186.5459136172003</v>
      </c>
      <c r="S10" s="17" t="n">
        <v>197.6880395446156</v>
      </c>
    </row>
    <row r="11">
      <c r="A11" s="5" t="n">
        <v>7</v>
      </c>
      <c r="B11" s="6" t="inlineStr">
        <is>
          <t>Selection</t>
        </is>
      </c>
      <c r="C11" s="8" t="n">
        <v>47.4519829512048</v>
      </c>
      <c r="D11" s="6" t="inlineStr">
        <is>
          <t>Single-tree selection, trees &gt;= 12 in: remove ~40 % of white fir / incense-cedar BA, ~18 % of pine / Douglas-fir; retain sugar pine and black oak</t>
        </is>
      </c>
      <c r="E11" s="5" t="n">
        <v>216.464732443053</v>
      </c>
      <c r="F11" s="5" t="n">
        <v>196.9408826117524</v>
      </c>
      <c r="G11" s="5" t="n">
        <v>211.25</v>
      </c>
      <c r="H11" s="5" t="n">
        <v>166.25</v>
      </c>
      <c r="I11" s="8" t="n">
        <v>13.37664549174033</v>
      </c>
      <c r="J11" s="8" t="n">
        <v>12.44100086336013</v>
      </c>
      <c r="K11" s="9" t="n">
        <v>0.5145340101358916</v>
      </c>
      <c r="L11" s="9" t="n">
        <v>0.420916497076561</v>
      </c>
      <c r="M11" s="5" t="n">
        <v>19.52384983130062</v>
      </c>
      <c r="N11" s="5" t="n">
        <v>45</v>
      </c>
      <c r="O11" s="9" t="n">
        <v>0.21301775147929</v>
      </c>
      <c r="P11" s="8" t="n">
        <v>20.55729465319011</v>
      </c>
      <c r="Q11" s="8" t="n">
        <v>8.307150391575</v>
      </c>
      <c r="R11" s="10" t="n">
        <v>394.1907587541112</v>
      </c>
      <c r="S11" s="10" t="n">
        <v>418.346747449705</v>
      </c>
    </row>
    <row r="12">
      <c r="A12" s="12" t="inlineStr">
        <is>
          <t>All</t>
        </is>
      </c>
      <c r="B12" s="13" t="inlineStr"/>
      <c r="C12" s="15" t="n">
        <v>534.4721123356527</v>
      </c>
      <c r="D12" s="13" t="inlineStr"/>
      <c r="E12" s="12" t="n"/>
      <c r="F12" s="12" t="n"/>
      <c r="G12" s="12" t="n"/>
      <c r="H12" s="12" t="n"/>
      <c r="I12" s="15" t="n"/>
      <c r="J12" s="15" t="n"/>
      <c r="K12" s="16" t="n"/>
      <c r="L12" s="16" t="n"/>
      <c r="M12" s="12" t="n"/>
      <c r="N12" s="12" t="n"/>
      <c r="O12" s="16" t="n"/>
      <c r="P12" s="15" t="n"/>
      <c r="Q12" s="15" t="n"/>
      <c r="R12" s="17" t="n">
        <v>2077.978934904876</v>
      </c>
      <c r="S12" s="17" t="n">
        <v>2228.669666826414</v>
      </c>
    </row>
    <row r="15">
      <c r="A15" s="26" t="inlineStr">
        <is>
          <t>Harvest volume by species (net MBF)</t>
        </is>
      </c>
    </row>
    <row r="16">
      <c r="A16" s="4" t="inlineStr">
        <is>
          <t>Unit</t>
        </is>
      </c>
      <c r="B16" s="4" t="inlineStr">
        <is>
          <t>Ponderosa pine</t>
        </is>
      </c>
      <c r="C16" s="4" t="inlineStr">
        <is>
          <t>Douglas-fir</t>
        </is>
      </c>
      <c r="D16" s="4" t="inlineStr">
        <is>
          <t>White fir</t>
        </is>
      </c>
      <c r="E16" s="4" t="inlineStr">
        <is>
          <t>Incense-cedar</t>
        </is>
      </c>
      <c r="F16" s="4" t="inlineStr">
        <is>
          <t>Sugar pine</t>
        </is>
      </c>
      <c r="G16" s="4" t="inlineStr">
        <is>
          <t>California black oak</t>
        </is>
      </c>
      <c r="H16" s="4" t="inlineStr">
        <is>
          <t>Unknown</t>
        </is>
      </c>
      <c r="I16" s="4" t="inlineStr">
        <is>
          <t>Total</t>
        </is>
      </c>
    </row>
    <row r="17">
      <c r="A17" s="6" t="n">
        <v>1</v>
      </c>
      <c r="B17" s="7" t="n">
        <v>202.4</v>
      </c>
      <c r="C17" s="7" t="n">
        <v>120.1</v>
      </c>
      <c r="D17" s="7" t="n">
        <v>113.6</v>
      </c>
      <c r="E17" s="7" t="n">
        <v>88.40000000000001</v>
      </c>
      <c r="F17" s="7" t="n">
        <v>0</v>
      </c>
      <c r="G17" s="7" t="n">
        <v>72.8</v>
      </c>
      <c r="H17" s="7" t="n">
        <v>8.300000000000001</v>
      </c>
      <c r="I17" s="7" t="n">
        <v>605.6023451449582</v>
      </c>
    </row>
    <row r="18">
      <c r="A18" s="13" t="n">
        <v>2</v>
      </c>
      <c r="B18" s="14" t="n">
        <v>126.7</v>
      </c>
      <c r="C18" s="14" t="n">
        <v>68.8</v>
      </c>
      <c r="D18" s="14" t="n">
        <v>74.2</v>
      </c>
      <c r="E18" s="14" t="n">
        <v>84.7</v>
      </c>
      <c r="F18" s="14" t="n">
        <v>0</v>
      </c>
      <c r="G18" s="14" t="n">
        <v>65.8</v>
      </c>
      <c r="H18" s="14" t="n">
        <v>0</v>
      </c>
      <c r="I18" s="14" t="n">
        <v>420.2049790694978</v>
      </c>
    </row>
    <row r="19">
      <c r="A19" s="6" t="n">
        <v>3</v>
      </c>
      <c r="B19" s="7" t="n">
        <v>36.1</v>
      </c>
      <c r="C19" s="7" t="n">
        <v>27.8</v>
      </c>
      <c r="D19" s="7" t="n">
        <v>45.4</v>
      </c>
      <c r="E19" s="7" t="n">
        <v>6.1</v>
      </c>
      <c r="F19" s="7" t="n">
        <v>0</v>
      </c>
      <c r="G19" s="7" t="n">
        <v>14</v>
      </c>
      <c r="H19" s="7" t="n">
        <v>0</v>
      </c>
      <c r="I19" s="7" t="n">
        <v>129.4332658951019</v>
      </c>
    </row>
    <row r="20">
      <c r="A20" s="13" t="n">
        <v>4</v>
      </c>
      <c r="B20" s="14" t="n">
        <v>48.3</v>
      </c>
      <c r="C20" s="14" t="n">
        <v>21.7</v>
      </c>
      <c r="D20" s="14" t="n">
        <v>60</v>
      </c>
      <c r="E20" s="14" t="n">
        <v>26.3</v>
      </c>
      <c r="F20" s="14" t="n">
        <v>0</v>
      </c>
      <c r="G20" s="14" t="n">
        <v>16</v>
      </c>
      <c r="H20" s="14" t="n">
        <v>0</v>
      </c>
      <c r="I20" s="14" t="n">
        <v>172.1695179052905</v>
      </c>
    </row>
    <row r="21">
      <c r="A21" s="6" t="n">
        <v>5</v>
      </c>
      <c r="B21" s="7" t="n">
        <v>17.8</v>
      </c>
      <c r="C21" s="7" t="n">
        <v>18.3</v>
      </c>
      <c r="D21" s="7" t="n">
        <v>73.7</v>
      </c>
      <c r="E21" s="7" t="n">
        <v>60</v>
      </c>
      <c r="F21" s="7" t="n">
        <v>0</v>
      </c>
      <c r="G21" s="7" t="n">
        <v>0</v>
      </c>
      <c r="H21" s="7" t="n">
        <v>0</v>
      </c>
      <c r="I21" s="7" t="n">
        <v>169.8321545187159</v>
      </c>
    </row>
    <row r="22">
      <c r="A22" s="13" t="n">
        <v>6</v>
      </c>
      <c r="B22" s="14" t="n">
        <v>104.3</v>
      </c>
      <c r="C22" s="14" t="n">
        <v>16.7</v>
      </c>
      <c r="D22" s="14" t="n">
        <v>28.5</v>
      </c>
      <c r="E22" s="14" t="n">
        <v>37</v>
      </c>
      <c r="F22" s="14" t="n">
        <v>0</v>
      </c>
      <c r="G22" s="14" t="n">
        <v>0</v>
      </c>
      <c r="H22" s="14" t="n">
        <v>0</v>
      </c>
      <c r="I22" s="14" t="n">
        <v>186.5459136172003</v>
      </c>
    </row>
    <row r="23">
      <c r="A23" s="6" t="n">
        <v>7</v>
      </c>
      <c r="B23" s="7" t="n">
        <v>24.5</v>
      </c>
      <c r="C23" s="7" t="n">
        <v>73.09999999999999</v>
      </c>
      <c r="D23" s="7" t="n">
        <v>252</v>
      </c>
      <c r="E23" s="7" t="n">
        <v>44.6</v>
      </c>
      <c r="F23" s="7" t="n">
        <v>0</v>
      </c>
      <c r="G23" s="7" t="n">
        <v>0</v>
      </c>
      <c r="H23" s="7" t="n">
        <v>0</v>
      </c>
      <c r="I23" s="7" t="n">
        <v>394.1907587541112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0" customWidth="1" min="3" max="3"/>
    <col width="11" customWidth="1" min="4" max="4"/>
    <col width="11" customWidth="1" min="5" max="5"/>
    <col width="8" customWidth="1" min="6" max="6"/>
    <col width="11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9" customWidth="1" min="13" max="13"/>
  </cols>
  <sheetData>
    <row r="1">
      <c r="A1" s="1" t="inlineStr">
        <is>
          <t>Sampling precision</t>
        </is>
      </c>
    </row>
    <row r="2">
      <c r="A2" s="2" t="inlineStr">
        <is>
          <t>95 % confidence, t-distribution; per-plot basal area and net board-foot volume per acre</t>
        </is>
      </c>
    </row>
    <row r="4">
      <c r="A4" s="4" t="inlineStr">
        <is>
          <t>Unit</t>
        </is>
      </c>
      <c r="B4" s="4" t="inlineStr">
        <is>
          <t>Plots</t>
        </is>
      </c>
      <c r="C4" s="4" t="inlineStr">
        <is>
          <t>Variable</t>
        </is>
      </c>
      <c r="D4" s="4" t="inlineStr">
        <is>
          <t>Mean</t>
        </is>
      </c>
      <c r="E4" s="4" t="inlineStr">
        <is>
          <t>Std dev</t>
        </is>
      </c>
      <c r="F4" s="4" t="inlineStr">
        <is>
          <t>CV %</t>
        </is>
      </c>
      <c r="G4" s="4" t="inlineStr">
        <is>
          <t>Std error</t>
        </is>
      </c>
      <c r="H4" s="4" t="inlineStr">
        <is>
          <t>Margin of error %</t>
        </is>
      </c>
      <c r="I4" s="4" t="inlineStr">
        <is>
          <t>CI low</t>
        </is>
      </c>
      <c r="J4" s="4" t="inlineStr">
        <is>
          <t>CI high</t>
        </is>
      </c>
      <c r="K4" s="4" t="inlineStr">
        <is>
          <t>Plots needed +/-10 %</t>
        </is>
      </c>
      <c r="L4" s="4" t="inlineStr">
        <is>
          <t>Plots needed +/-20 %</t>
        </is>
      </c>
      <c r="M4" s="4" t="inlineStr">
        <is>
          <t>Meets 20 %</t>
        </is>
      </c>
    </row>
    <row r="5">
      <c r="A5" s="6" t="n">
        <v>1</v>
      </c>
      <c r="B5" s="5" t="n">
        <v>41</v>
      </c>
      <c r="C5" s="6" t="inlineStr">
        <is>
          <t>Basal area sq ft/ac</t>
        </is>
      </c>
      <c r="D5" s="7" t="n">
        <v>242.4390243902439</v>
      </c>
      <c r="E5" s="7" t="n">
        <v>86.62506819059014</v>
      </c>
      <c r="F5" s="11" t="n">
        <v>0.3573066192972029</v>
      </c>
      <c r="G5" s="7" t="n">
        <v>13.52856277318149</v>
      </c>
      <c r="H5" s="11" t="n">
        <v>0.1127798849869938</v>
      </c>
      <c r="I5" s="10" t="n">
        <v>215.0967791031532</v>
      </c>
      <c r="J5" s="10" t="n">
        <v>269.7812696773346</v>
      </c>
      <c r="K5" s="5" t="n">
        <v>53</v>
      </c>
      <c r="L5" s="5" t="n">
        <v>14</v>
      </c>
      <c r="M5" s="6" t="inlineStr">
        <is>
          <t>Yes</t>
        </is>
      </c>
    </row>
    <row r="6">
      <c r="A6" s="13" t="n">
        <v>1</v>
      </c>
      <c r="B6" s="12" t="n">
        <v>41</v>
      </c>
      <c r="C6" s="13" t="inlineStr">
        <is>
          <t>Net bf/ac</t>
        </is>
      </c>
      <c r="D6" s="14" t="n">
        <v>27868.27586926829</v>
      </c>
      <c r="E6" s="14" t="n">
        <v>9883.635448448595</v>
      </c>
      <c r="F6" s="18" t="n">
        <v>0.3546554331101539</v>
      </c>
      <c r="G6" s="14" t="n">
        <v>1543.564529119797</v>
      </c>
      <c r="H6" s="18" t="n">
        <v>0.1119430673712368</v>
      </c>
      <c r="I6" s="17" t="n">
        <v>24748.61558611457</v>
      </c>
      <c r="J6" s="17" t="n">
        <v>30987.936152422</v>
      </c>
      <c r="K6" s="12" t="n">
        <v>52</v>
      </c>
      <c r="L6" s="12" t="n">
        <v>13</v>
      </c>
      <c r="M6" s="13" t="inlineStr">
        <is>
          <t>Yes</t>
        </is>
      </c>
    </row>
    <row r="7">
      <c r="A7" s="6" t="n">
        <v>2</v>
      </c>
      <c r="B7" s="5" t="n">
        <v>47</v>
      </c>
      <c r="C7" s="6" t="inlineStr">
        <is>
          <t>Basal area sq ft/ac</t>
        </is>
      </c>
      <c r="D7" s="7" t="n">
        <v>229.3617021276596</v>
      </c>
      <c r="E7" s="7" t="n">
        <v>85.95762999037093</v>
      </c>
      <c r="F7" s="11" t="n">
        <v>0.37476888771312</v>
      </c>
      <c r="G7" s="7" t="n">
        <v>12.53820896772462</v>
      </c>
      <c r="H7" s="11" t="n">
        <v>0.1100362676739198</v>
      </c>
      <c r="I7" s="10" t="n">
        <v>204.1235964781946</v>
      </c>
      <c r="J7" s="10" t="n">
        <v>254.5998077771246</v>
      </c>
      <c r="K7" s="5" t="n">
        <v>57</v>
      </c>
      <c r="L7" s="5" t="n">
        <v>15</v>
      </c>
      <c r="M7" s="6" t="inlineStr">
        <is>
          <t>Yes</t>
        </is>
      </c>
    </row>
    <row r="8">
      <c r="A8" s="13" t="n">
        <v>2</v>
      </c>
      <c r="B8" s="12" t="n">
        <v>47</v>
      </c>
      <c r="C8" s="13" t="inlineStr">
        <is>
          <t>Net bf/ac</t>
        </is>
      </c>
      <c r="D8" s="14" t="n">
        <v>26863.32914708936</v>
      </c>
      <c r="E8" s="14" t="n">
        <v>10268.43324027121</v>
      </c>
      <c r="F8" s="18" t="n">
        <v>0.3822472331722814</v>
      </c>
      <c r="G8" s="14" t="n">
        <v>1497.804927288858</v>
      </c>
      <c r="H8" s="18" t="n">
        <v>0.1122319921582112</v>
      </c>
      <c r="I8" s="17" t="n">
        <v>23848.40420090978</v>
      </c>
      <c r="J8" s="17" t="n">
        <v>29878.25409326893</v>
      </c>
      <c r="K8" s="12" t="n">
        <v>60</v>
      </c>
      <c r="L8" s="12" t="n">
        <v>15</v>
      </c>
      <c r="M8" s="13" t="inlineStr">
        <is>
          <t>Yes</t>
        </is>
      </c>
    </row>
    <row r="9">
      <c r="A9" s="6" t="n">
        <v>3</v>
      </c>
      <c r="B9" s="5" t="n">
        <v>6</v>
      </c>
      <c r="C9" s="6" t="inlineStr">
        <is>
          <t>Basal area sq ft/ac</t>
        </is>
      </c>
      <c r="D9" s="7" t="n">
        <v>246.6666666666667</v>
      </c>
      <c r="E9" s="7" t="n">
        <v>110.7549848389077</v>
      </c>
      <c r="F9" s="11" t="n">
        <v>0.449006695292869</v>
      </c>
      <c r="G9" s="7" t="n">
        <v>45.21553322083512</v>
      </c>
      <c r="H9" s="11" t="n">
        <v>0.4712036285922532</v>
      </c>
      <c r="I9" s="10" t="n">
        <v>130.4364382805775</v>
      </c>
      <c r="J9" s="10" t="n">
        <v>362.8968950527558</v>
      </c>
      <c r="K9" s="5" t="n">
        <v>134</v>
      </c>
      <c r="L9" s="5" t="n">
        <v>34</v>
      </c>
      <c r="M9" s="6" t="inlineStr">
        <is>
          <t>No</t>
        </is>
      </c>
    </row>
    <row r="10">
      <c r="A10" s="13" t="n">
        <v>3</v>
      </c>
      <c r="B10" s="12" t="n">
        <v>6</v>
      </c>
      <c r="C10" s="13" t="inlineStr">
        <is>
          <t>Net bf/ac</t>
        </is>
      </c>
      <c r="D10" s="14" t="n">
        <v>29975.4275874</v>
      </c>
      <c r="E10" s="14" t="n">
        <v>14684.33543917699</v>
      </c>
      <c r="F10" s="18" t="n">
        <v>0.4898790983501923</v>
      </c>
      <c r="G10" s="14" t="n">
        <v>5994.854839641926</v>
      </c>
      <c r="H10" s="18" t="n">
        <v>0.514096585048802</v>
      </c>
      <c r="I10" s="17" t="n">
        <v>14565.16262934001</v>
      </c>
      <c r="J10" s="17" t="n">
        <v>45385.69254545999</v>
      </c>
      <c r="K10" s="12" t="n">
        <v>159</v>
      </c>
      <c r="L10" s="12" t="n">
        <v>40</v>
      </c>
      <c r="M10" s="13" t="inlineStr">
        <is>
          <t>No</t>
        </is>
      </c>
    </row>
    <row r="11">
      <c r="A11" s="6" t="n">
        <v>4</v>
      </c>
      <c r="B11" s="5" t="n">
        <v>14</v>
      </c>
      <c r="C11" s="6" t="inlineStr">
        <is>
          <t>Basal area sq ft/ac</t>
        </is>
      </c>
      <c r="D11" s="7" t="n">
        <v>258.5714285714286</v>
      </c>
      <c r="E11" s="7" t="n">
        <v>77.84176680510701</v>
      </c>
      <c r="F11" s="11" t="n">
        <v>0.3010455069810768</v>
      </c>
      <c r="G11" s="7" t="n">
        <v>20.80408726899023</v>
      </c>
      <c r="H11" s="11" t="n">
        <v>0.1738185007932053</v>
      </c>
      <c r="I11" s="10" t="n">
        <v>213.6269305091855</v>
      </c>
      <c r="J11" s="10" t="n">
        <v>303.5159266336717</v>
      </c>
      <c r="K11" s="5" t="n">
        <v>43</v>
      </c>
      <c r="L11" s="5" t="n">
        <v>11</v>
      </c>
      <c r="M11" s="6" t="inlineStr">
        <is>
          <t>Yes</t>
        </is>
      </c>
    </row>
    <row r="12">
      <c r="A12" s="13" t="n">
        <v>4</v>
      </c>
      <c r="B12" s="12" t="n">
        <v>14</v>
      </c>
      <c r="C12" s="13" t="inlineStr">
        <is>
          <t>Net bf/ac</t>
        </is>
      </c>
      <c r="D12" s="14" t="n">
        <v>30330.37693928571</v>
      </c>
      <c r="E12" s="14" t="n">
        <v>12248.80064515913</v>
      </c>
      <c r="F12" s="18" t="n">
        <v>0.4038459749339204</v>
      </c>
      <c r="G12" s="14" t="n">
        <v>3273.629672362935</v>
      </c>
      <c r="H12" s="18" t="n">
        <v>0.233173723860947</v>
      </c>
      <c r="I12" s="17" t="n">
        <v>23258.13000224627</v>
      </c>
      <c r="J12" s="17" t="n">
        <v>37402.62387632515</v>
      </c>
      <c r="K12" s="12" t="n">
        <v>77</v>
      </c>
      <c r="L12" s="12" t="n">
        <v>20</v>
      </c>
      <c r="M12" s="13" t="inlineStr">
        <is>
          <t>No</t>
        </is>
      </c>
    </row>
    <row r="13">
      <c r="A13" s="6" t="n">
        <v>5</v>
      </c>
      <c r="B13" s="5" t="n">
        <v>9</v>
      </c>
      <c r="C13" s="6" t="inlineStr">
        <is>
          <t>Basal area sq ft/ac</t>
        </is>
      </c>
      <c r="D13" s="7" t="n">
        <v>193.3333333333333</v>
      </c>
      <c r="E13" s="7" t="n">
        <v>78.10249675906654</v>
      </c>
      <c r="F13" s="11" t="n">
        <v>0.4039784315124131</v>
      </c>
      <c r="G13" s="7" t="n">
        <v>26.03416558635551</v>
      </c>
      <c r="H13" s="11" t="n">
        <v>0.3105253112003059</v>
      </c>
      <c r="I13" s="10" t="n">
        <v>133.2984398346075</v>
      </c>
      <c r="J13" s="10" t="n">
        <v>253.3682268320592</v>
      </c>
      <c r="K13" s="5" t="n">
        <v>87</v>
      </c>
      <c r="L13" s="5" t="n">
        <v>22</v>
      </c>
      <c r="M13" s="6" t="inlineStr">
        <is>
          <t>No</t>
        </is>
      </c>
    </row>
    <row r="14">
      <c r="A14" s="13" t="n">
        <v>5</v>
      </c>
      <c r="B14" s="12" t="n">
        <v>9</v>
      </c>
      <c r="C14" s="13" t="inlineStr">
        <is>
          <t>Net bf/ac</t>
        </is>
      </c>
      <c r="D14" s="14" t="n">
        <v>26588.9165736</v>
      </c>
      <c r="E14" s="14" t="n">
        <v>10855.51535046289</v>
      </c>
      <c r="F14" s="18" t="n">
        <v>0.4082721956877807</v>
      </c>
      <c r="G14" s="14" t="n">
        <v>3618.505116820965</v>
      </c>
      <c r="H14" s="18" t="n">
        <v>0.3138257905149689</v>
      </c>
      <c r="I14" s="17" t="n">
        <v>18244.62881095342</v>
      </c>
      <c r="J14" s="17" t="n">
        <v>34933.20433624658</v>
      </c>
      <c r="K14" s="12" t="n">
        <v>89</v>
      </c>
      <c r="L14" s="12" t="n">
        <v>23</v>
      </c>
      <c r="M14" s="13" t="inlineStr">
        <is>
          <t>No</t>
        </is>
      </c>
    </row>
    <row r="15">
      <c r="A15" s="6" t="n">
        <v>6</v>
      </c>
      <c r="B15" s="5" t="n">
        <v>9</v>
      </c>
      <c r="C15" s="6" t="inlineStr">
        <is>
          <t>Basal area sq ft/ac</t>
        </is>
      </c>
      <c r="D15" s="7" t="n">
        <v>246.6666666666667</v>
      </c>
      <c r="E15" s="7" t="n">
        <v>134.1640786499874</v>
      </c>
      <c r="F15" s="11" t="n">
        <v>0.5439084269594084</v>
      </c>
      <c r="G15" s="7" t="n">
        <v>44.7213595499958</v>
      </c>
      <c r="H15" s="11" t="n">
        <v>0.4180850272469296</v>
      </c>
      <c r="I15" s="10" t="n">
        <v>143.539026612424</v>
      </c>
      <c r="J15" s="10" t="n">
        <v>349.7943067209093</v>
      </c>
      <c r="K15" s="5" t="n">
        <v>158</v>
      </c>
      <c r="L15" s="5" t="n">
        <v>40</v>
      </c>
      <c r="M15" s="6" t="inlineStr">
        <is>
          <t>No</t>
        </is>
      </c>
    </row>
    <row r="16">
      <c r="A16" s="13" t="n">
        <v>6</v>
      </c>
      <c r="B16" s="12" t="n">
        <v>9</v>
      </c>
      <c r="C16" s="13" t="inlineStr">
        <is>
          <t>Net bf/ac</t>
        </is>
      </c>
      <c r="D16" s="14" t="n">
        <v>33727.4817052</v>
      </c>
      <c r="E16" s="14" t="n">
        <v>17595.40063868381</v>
      </c>
      <c r="F16" s="18" t="n">
        <v>0.5216932824240774</v>
      </c>
      <c r="G16" s="14" t="n">
        <v>5865.133546227936</v>
      </c>
      <c r="H16" s="18" t="n">
        <v>0.4010089555260524</v>
      </c>
      <c r="I16" s="17" t="n">
        <v>20202.45949407371</v>
      </c>
      <c r="J16" s="17" t="n">
        <v>47252.50391632629</v>
      </c>
      <c r="K16" s="12" t="n">
        <v>145</v>
      </c>
      <c r="L16" s="12" t="n">
        <v>37</v>
      </c>
      <c r="M16" s="13" t="inlineStr">
        <is>
          <t>No</t>
        </is>
      </c>
    </row>
    <row r="17">
      <c r="A17" s="6" t="n">
        <v>7</v>
      </c>
      <c r="B17" s="5" t="n">
        <v>16</v>
      </c>
      <c r="C17" s="6" t="inlineStr">
        <is>
          <t>Basal area sq ft/ac</t>
        </is>
      </c>
      <c r="D17" s="7" t="n">
        <v>211.25</v>
      </c>
      <c r="E17" s="7" t="n">
        <v>106.5754818583211</v>
      </c>
      <c r="F17" s="11" t="n">
        <v>0.5044993224062538</v>
      </c>
      <c r="G17" s="7" t="n">
        <v>26.64387046458028</v>
      </c>
      <c r="H17" s="11" t="n">
        <v>0.2688287128695061</v>
      </c>
      <c r="I17" s="10" t="n">
        <v>154.4599344063168</v>
      </c>
      <c r="J17" s="10" t="n">
        <v>268.0400655936832</v>
      </c>
      <c r="K17" s="5" t="n">
        <v>116</v>
      </c>
      <c r="L17" s="5" t="n">
        <v>29</v>
      </c>
      <c r="M17" s="6" t="inlineStr">
        <is>
          <t>No</t>
        </is>
      </c>
    </row>
    <row r="18">
      <c r="A18" s="13" t="n">
        <v>7</v>
      </c>
      <c r="B18" s="12" t="n">
        <v>16</v>
      </c>
      <c r="C18" s="13" t="inlineStr">
        <is>
          <t>Net bf/ac</t>
        </is>
      </c>
      <c r="D18" s="14" t="n">
        <v>32891.964916725</v>
      </c>
      <c r="E18" s="14" t="n">
        <v>17874.70964051352</v>
      </c>
      <c r="F18" s="18" t="n">
        <v>0.5434369666199095</v>
      </c>
      <c r="G18" s="14" t="n">
        <v>4468.677410128379</v>
      </c>
      <c r="H18" s="18" t="n">
        <v>0.2895771188855973</v>
      </c>
      <c r="I18" s="17" t="n">
        <v>23367.20448165363</v>
      </c>
      <c r="J18" s="17" t="n">
        <v>42416.72535179636</v>
      </c>
      <c r="K18" s="12" t="n">
        <v>135</v>
      </c>
      <c r="L18" s="12" t="n">
        <v>34</v>
      </c>
      <c r="M18" s="13" t="inlineStr">
        <is>
          <t>No</t>
        </is>
      </c>
    </row>
    <row r="19">
      <c r="A19" s="6" t="inlineStr">
        <is>
          <t>All</t>
        </is>
      </c>
      <c r="B19" s="5" t="n">
        <v>142</v>
      </c>
      <c r="C19" s="6" t="inlineStr">
        <is>
          <t>Basal area sq ft/ac</t>
        </is>
      </c>
      <c r="D19" s="7" t="n">
        <v>233.5211267605634</v>
      </c>
      <c r="E19" s="7" t="n">
        <v>91.52914648830412</v>
      </c>
      <c r="F19" s="11" t="n">
        <v>0.3919523160838114</v>
      </c>
      <c r="G19" s="7" t="n">
        <v>7.680955347379168</v>
      </c>
      <c r="H19" s="11" t="n">
        <v>0.06502504805313354</v>
      </c>
      <c r="I19" s="10" t="n">
        <v>218.3364042715359</v>
      </c>
      <c r="J19" s="10" t="n">
        <v>248.7058492495909</v>
      </c>
      <c r="K19" s="5" t="n">
        <v>61</v>
      </c>
      <c r="L19" s="5" t="n">
        <v>16</v>
      </c>
      <c r="M19" s="6" t="inlineStr">
        <is>
          <t>Yes</t>
        </is>
      </c>
    </row>
    <row r="20">
      <c r="A20" s="13" t="inlineStr">
        <is>
          <t>All</t>
        </is>
      </c>
      <c r="B20" s="12" t="n">
        <v>142</v>
      </c>
      <c r="C20" s="13" t="inlineStr">
        <is>
          <t>Net bf/ac</t>
        </is>
      </c>
      <c r="D20" s="14" t="n">
        <v>28723.7510310169</v>
      </c>
      <c r="E20" s="14" t="n">
        <v>12140.12723593014</v>
      </c>
      <c r="F20" s="18" t="n">
        <v>0.4226511789083818</v>
      </c>
      <c r="G20" s="14" t="n">
        <v>1018.776846374248</v>
      </c>
      <c r="H20" s="18" t="n">
        <v>0.07011800183457617</v>
      </c>
      <c r="I20" s="17" t="n">
        <v>26709.69900352815</v>
      </c>
      <c r="J20" s="17" t="n">
        <v>30737.80305850565</v>
      </c>
      <c r="K20" s="12" t="n">
        <v>70</v>
      </c>
      <c r="L20" s="12" t="n">
        <v>18</v>
      </c>
      <c r="M20" s="13" t="inlineStr">
        <is>
          <t>Yes</t>
        </is>
      </c>
    </row>
  </sheetData>
  <conditionalFormatting sqref="H5:H20">
    <cfRule type="cellIs" priority="1" operator="greaterThan" dxfId="0">
      <formula>0.2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Per-plot summary (per-acre values)</t>
        </is>
      </c>
    </row>
    <row r="2">
      <c r="A2" s="2" t="inlineStr">
        <is>
          <t>Coordinates: NAD83 / California zone 2 (US ft, EPSG:2226) and WGS84</t>
        </is>
      </c>
    </row>
    <row r="4">
      <c r="A4" s="4" t="inlineStr">
        <is>
          <t>Plot</t>
        </is>
      </c>
      <c r="B4" s="4" t="inlineStr">
        <is>
          <t>Unit</t>
        </is>
      </c>
      <c r="C4" s="4" t="inlineStr">
        <is>
          <t>X ft</t>
        </is>
      </c>
      <c r="D4" s="4" t="inlineStr">
        <is>
          <t>Y ft</t>
        </is>
      </c>
      <c r="E4" s="4" t="inlineStr">
        <is>
          <t>Lon</t>
        </is>
      </c>
      <c r="F4" s="4" t="inlineStr">
        <is>
          <t>Lat</t>
        </is>
      </c>
      <c r="G4" s="4" t="inlineStr">
        <is>
          <t>Elev ft</t>
        </is>
      </c>
      <c r="H4" s="4" t="inlineStr">
        <is>
          <t>Slope %</t>
        </is>
      </c>
      <c r="I4" s="4" t="inlineStr">
        <is>
          <t>Aspect deg</t>
        </is>
      </c>
      <c r="J4" s="4" t="inlineStr">
        <is>
          <t>Trees tallied</t>
        </is>
      </c>
      <c r="K4" s="4" t="inlineStr">
        <is>
          <t>TPA &gt;=5 in</t>
        </is>
      </c>
      <c r="L4" s="4" t="inlineStr">
        <is>
          <t>TPA regen</t>
        </is>
      </c>
      <c r="M4" s="4" t="inlineStr">
        <is>
          <t>BA sq ft/ac</t>
        </is>
      </c>
      <c r="N4" s="4" t="inlineStr">
        <is>
          <t>QMD in</t>
        </is>
      </c>
      <c r="O4" s="4" t="inlineStr">
        <is>
          <t>SDI</t>
        </is>
      </c>
      <c r="P4" s="4" t="inlineStr">
        <is>
          <t>Merch cu ft/ac</t>
        </is>
      </c>
      <c r="Q4" s="4" t="inlineStr">
        <is>
          <t>Gross bf/ac</t>
        </is>
      </c>
      <c r="R4" s="4" t="inlineStr">
        <is>
          <t>Net bf/ac</t>
        </is>
      </c>
      <c r="S4" s="4" t="inlineStr">
        <is>
          <t>Snags/ac</t>
        </is>
      </c>
      <c r="T4" s="4" t="inlineStr">
        <is>
          <t>Dom/codom ht ft</t>
        </is>
      </c>
    </row>
    <row r="5">
      <c r="A5" s="6" t="inlineStr">
        <is>
          <t>U1-01</t>
        </is>
      </c>
      <c r="B5" s="5" t="n">
        <v>1</v>
      </c>
      <c r="C5" s="10" t="n">
        <v>6870863.9</v>
      </c>
      <c r="D5" s="10" t="n">
        <v>2232726.7</v>
      </c>
      <c r="E5" s="27" t="n">
        <v>-120.907516</v>
      </c>
      <c r="F5" s="27" t="n">
        <v>39.287931</v>
      </c>
      <c r="G5" s="5" t="n">
        <v>3166</v>
      </c>
      <c r="H5" s="5" t="n">
        <v>8.800000000000001</v>
      </c>
      <c r="I5" s="5" t="n">
        <v>104</v>
      </c>
      <c r="J5" s="5" t="n">
        <v>13</v>
      </c>
      <c r="K5" s="5" t="n">
        <v>337.7999468075918</v>
      </c>
      <c r="L5" s="5" t="n">
        <v>0</v>
      </c>
      <c r="M5" s="5" t="n">
        <v>240</v>
      </c>
      <c r="N5" s="8" t="n">
        <v>11.41348482227564</v>
      </c>
      <c r="O5" s="5" t="n">
        <v>371.0029796410071</v>
      </c>
      <c r="P5" s="10" t="n">
        <v>6221.88</v>
      </c>
      <c r="Q5" s="10" t="n">
        <v>31109.7402</v>
      </c>
      <c r="R5" s="10" t="n">
        <v>28801.73116799999</v>
      </c>
      <c r="S5" s="8" t="n">
        <v>12.83930314065918</v>
      </c>
      <c r="T5" s="5" t="n">
        <v>99.16666666666667</v>
      </c>
    </row>
    <row r="6">
      <c r="A6" s="13" t="inlineStr">
        <is>
          <t>U1-02</t>
        </is>
      </c>
      <c r="B6" s="12" t="n">
        <v>1</v>
      </c>
      <c r="C6" s="17" t="n">
        <v>6870863.9</v>
      </c>
      <c r="D6" s="17" t="n">
        <v>2233126.7</v>
      </c>
      <c r="E6" s="28" t="n">
        <v>-120.907499</v>
      </c>
      <c r="F6" s="28" t="n">
        <v>39.28903</v>
      </c>
      <c r="G6" s="12" t="n">
        <v>3218</v>
      </c>
      <c r="H6" s="12" t="n">
        <v>32.9</v>
      </c>
      <c r="I6" s="12" t="n">
        <v>171</v>
      </c>
      <c r="J6" s="12" t="n">
        <v>10</v>
      </c>
      <c r="K6" s="12" t="n">
        <v>297.0964245079817</v>
      </c>
      <c r="L6" s="12" t="n">
        <v>100</v>
      </c>
      <c r="M6" s="12" t="n">
        <v>180</v>
      </c>
      <c r="N6" s="15" t="n">
        <v>10.53974183359801</v>
      </c>
      <c r="O6" s="12" t="n">
        <v>296.2851690775237</v>
      </c>
      <c r="P6" s="17" t="n">
        <v>3212.28</v>
      </c>
      <c r="Q6" s="17" t="n">
        <v>15792.62796</v>
      </c>
      <c r="R6" s="17" t="n">
        <v>14995.7649792</v>
      </c>
      <c r="S6" s="15" t="n">
        <v>0</v>
      </c>
      <c r="T6" s="12" t="n">
        <v>90.75</v>
      </c>
    </row>
    <row r="7">
      <c r="A7" s="6" t="inlineStr">
        <is>
          <t>U1-03</t>
        </is>
      </c>
      <c r="B7" s="5" t="n">
        <v>1</v>
      </c>
      <c r="C7" s="10" t="n">
        <v>6870863.9</v>
      </c>
      <c r="D7" s="10" t="n">
        <v>2233526.7</v>
      </c>
      <c r="E7" s="27" t="n">
        <v>-120.907482</v>
      </c>
      <c r="F7" s="27" t="n">
        <v>39.290128</v>
      </c>
      <c r="G7" s="5" t="n">
        <v>3242</v>
      </c>
      <c r="H7" s="5" t="n">
        <v>11.4</v>
      </c>
      <c r="I7" s="5" t="n">
        <v>223</v>
      </c>
      <c r="J7" s="5" t="n">
        <v>9</v>
      </c>
      <c r="K7" s="5" t="n">
        <v>102.3524016460454</v>
      </c>
      <c r="L7" s="5" t="n">
        <v>200</v>
      </c>
      <c r="M7" s="5" t="n">
        <v>140</v>
      </c>
      <c r="N7" s="8" t="n">
        <v>15.83643535200381</v>
      </c>
      <c r="O7" s="5" t="n">
        <v>196.8804621426494</v>
      </c>
      <c r="P7" s="10" t="n">
        <v>4294.08</v>
      </c>
      <c r="Q7" s="10" t="n">
        <v>21738.11472</v>
      </c>
      <c r="R7" s="10" t="n">
        <v>21024.138492</v>
      </c>
      <c r="S7" s="8" t="n">
        <v>0</v>
      </c>
      <c r="T7" s="5" t="n">
        <v>94.66666666666667</v>
      </c>
    </row>
    <row r="8">
      <c r="A8" s="13" t="inlineStr">
        <is>
          <t>U1-04</t>
        </is>
      </c>
      <c r="B8" s="12" t="n">
        <v>1</v>
      </c>
      <c r="C8" s="17" t="n">
        <v>6870863.9</v>
      </c>
      <c r="D8" s="17" t="n">
        <v>2233926.7</v>
      </c>
      <c r="E8" s="28" t="n">
        <v>-120.907465</v>
      </c>
      <c r="F8" s="28" t="n">
        <v>39.291226</v>
      </c>
      <c r="G8" s="12" t="n">
        <v>3295</v>
      </c>
      <c r="H8" s="12" t="n">
        <v>16.4</v>
      </c>
      <c r="I8" s="12" t="n">
        <v>176</v>
      </c>
      <c r="J8" s="12" t="n">
        <v>10</v>
      </c>
      <c r="K8" s="12" t="n">
        <v>102.2797037973758</v>
      </c>
      <c r="L8" s="12" t="n">
        <v>100</v>
      </c>
      <c r="M8" s="12" t="n">
        <v>180</v>
      </c>
      <c r="N8" s="15" t="n">
        <v>17.96321032509676</v>
      </c>
      <c r="O8" s="12" t="n">
        <v>249.270225501831</v>
      </c>
      <c r="P8" s="17" t="n">
        <v>6426</v>
      </c>
      <c r="Q8" s="17" t="n">
        <v>33215.14728</v>
      </c>
      <c r="R8" s="17" t="n">
        <v>31109.695596</v>
      </c>
      <c r="S8" s="15" t="n">
        <v>0</v>
      </c>
      <c r="T8" s="12" t="n">
        <v>119.6</v>
      </c>
    </row>
    <row r="9">
      <c r="A9" s="6" t="inlineStr">
        <is>
          <t>U1-05</t>
        </is>
      </c>
      <c r="B9" s="5" t="n">
        <v>1</v>
      </c>
      <c r="C9" s="10" t="n">
        <v>6870863.9</v>
      </c>
      <c r="D9" s="10" t="n">
        <v>2234326.7</v>
      </c>
      <c r="E9" s="27" t="n">
        <v>-120.907448</v>
      </c>
      <c r="F9" s="27" t="n">
        <v>39.292324</v>
      </c>
      <c r="G9" s="5" t="n">
        <v>3331</v>
      </c>
      <c r="H9" s="5" t="n">
        <v>12.2</v>
      </c>
      <c r="I9" s="5" t="n">
        <v>154</v>
      </c>
      <c r="J9" s="5" t="n">
        <v>19</v>
      </c>
      <c r="K9" s="5" t="n">
        <v>178.8581393215123</v>
      </c>
      <c r="L9" s="5" t="n">
        <v>400</v>
      </c>
      <c r="M9" s="5" t="n">
        <v>260</v>
      </c>
      <c r="N9" s="8" t="n">
        <v>16.32581056758493</v>
      </c>
      <c r="O9" s="5" t="n">
        <v>370.1118152972482</v>
      </c>
      <c r="P9" s="10" t="n">
        <v>7749</v>
      </c>
      <c r="Q9" s="10" t="n">
        <v>38503.0044</v>
      </c>
      <c r="R9" s="10" t="n">
        <v>36049.7736648</v>
      </c>
      <c r="S9" s="8" t="n">
        <v>10.67397903674872</v>
      </c>
      <c r="T9" s="5" t="n">
        <v>96.875</v>
      </c>
    </row>
    <row r="10">
      <c r="A10" s="13" t="inlineStr">
        <is>
          <t>U1-06</t>
        </is>
      </c>
      <c r="B10" s="12" t="n">
        <v>1</v>
      </c>
      <c r="C10" s="17" t="n">
        <v>6870863.9</v>
      </c>
      <c r="D10" s="17" t="n">
        <v>2234726.7</v>
      </c>
      <c r="E10" s="28" t="n">
        <v>-120.907431</v>
      </c>
      <c r="F10" s="28" t="n">
        <v>39.293422</v>
      </c>
      <c r="G10" s="12" t="n">
        <v>3362</v>
      </c>
      <c r="H10" s="12" t="n">
        <v>13.6</v>
      </c>
      <c r="I10" s="12" t="n">
        <v>199</v>
      </c>
      <c r="J10" s="12" t="n">
        <v>16</v>
      </c>
      <c r="K10" s="12" t="n">
        <v>350.6211287811193</v>
      </c>
      <c r="L10" s="12" t="n">
        <v>100</v>
      </c>
      <c r="M10" s="12" t="n">
        <v>300</v>
      </c>
      <c r="N10" s="15" t="n">
        <v>12.5251812378517</v>
      </c>
      <c r="O10" s="12" t="n">
        <v>456.973741845358</v>
      </c>
      <c r="P10" s="17" t="n">
        <v>7480.08</v>
      </c>
      <c r="Q10" s="17" t="n">
        <v>38759.01948</v>
      </c>
      <c r="R10" s="17" t="n">
        <v>36394.7483628</v>
      </c>
      <c r="S10" s="15" t="n">
        <v>0</v>
      </c>
      <c r="T10" s="12" t="n">
        <v>112.1666666666667</v>
      </c>
    </row>
    <row r="11">
      <c r="A11" s="6" t="inlineStr">
        <is>
          <t>U1-07</t>
        </is>
      </c>
      <c r="B11" s="5" t="n">
        <v>1</v>
      </c>
      <c r="C11" s="10" t="n">
        <v>6870863.9</v>
      </c>
      <c r="D11" s="10" t="n">
        <v>2235126.7</v>
      </c>
      <c r="E11" s="27" t="n">
        <v>-120.907414</v>
      </c>
      <c r="F11" s="27" t="n">
        <v>39.29452</v>
      </c>
      <c r="G11" s="5" t="n">
        <v>3372</v>
      </c>
      <c r="H11" s="5" t="n">
        <v>10.6</v>
      </c>
      <c r="I11" s="5" t="n">
        <v>188</v>
      </c>
      <c r="J11" s="5" t="n">
        <v>16</v>
      </c>
      <c r="K11" s="5" t="n">
        <v>518.9911270711456</v>
      </c>
      <c r="L11" s="5" t="n">
        <v>200</v>
      </c>
      <c r="M11" s="5" t="n">
        <v>280</v>
      </c>
      <c r="N11" s="8" t="n">
        <v>9.945840319868948</v>
      </c>
      <c r="O11" s="5" t="n">
        <v>456.316745802747</v>
      </c>
      <c r="P11" s="10" t="n">
        <v>6500.16</v>
      </c>
      <c r="Q11" s="10" t="n">
        <v>31369.8402</v>
      </c>
      <c r="R11" s="10" t="n">
        <v>30019.4710992</v>
      </c>
      <c r="S11" s="8" t="n">
        <v>0</v>
      </c>
      <c r="T11" s="5" t="n">
        <v>94.66666666666667</v>
      </c>
    </row>
    <row r="12">
      <c r="A12" s="13" t="inlineStr">
        <is>
          <t>U1-08</t>
        </is>
      </c>
      <c r="B12" s="12" t="n">
        <v>1</v>
      </c>
      <c r="C12" s="17" t="n">
        <v>6870863.9</v>
      </c>
      <c r="D12" s="17" t="n">
        <v>2235526.7</v>
      </c>
      <c r="E12" s="28" t="n">
        <v>-120.907397</v>
      </c>
      <c r="F12" s="28" t="n">
        <v>39.295619</v>
      </c>
      <c r="G12" s="12" t="n">
        <v>3431</v>
      </c>
      <c r="H12" s="12" t="n">
        <v>23.1</v>
      </c>
      <c r="I12" s="12" t="n">
        <v>140</v>
      </c>
      <c r="J12" s="12" t="n">
        <v>10</v>
      </c>
      <c r="K12" s="12" t="n">
        <v>56.87641338484521</v>
      </c>
      <c r="L12" s="12" t="n">
        <v>200</v>
      </c>
      <c r="M12" s="12" t="n">
        <v>140</v>
      </c>
      <c r="N12" s="15" t="n">
        <v>21.2441984662292</v>
      </c>
      <c r="O12" s="12" t="n">
        <v>188.0512084360232</v>
      </c>
      <c r="P12" s="17" t="n">
        <v>4898.879999999999</v>
      </c>
      <c r="Q12" s="17" t="n">
        <v>24313.20948</v>
      </c>
      <c r="R12" s="17" t="n">
        <v>23168.0857716</v>
      </c>
      <c r="S12" s="15" t="n">
        <v>24.23843856172693</v>
      </c>
      <c r="T12" s="12" t="n">
        <v>97.40000000000001</v>
      </c>
    </row>
    <row r="13">
      <c r="A13" s="6" t="inlineStr">
        <is>
          <t>U1-09</t>
        </is>
      </c>
      <c r="B13" s="5" t="n">
        <v>1</v>
      </c>
      <c r="C13" s="10" t="n">
        <v>6870863.9</v>
      </c>
      <c r="D13" s="10" t="n">
        <v>2235926.7</v>
      </c>
      <c r="E13" s="27" t="n">
        <v>-120.90738</v>
      </c>
      <c r="F13" s="27" t="n">
        <v>39.296717</v>
      </c>
      <c r="G13" s="5" t="n">
        <v>3542</v>
      </c>
      <c r="H13" s="5" t="n">
        <v>37.2</v>
      </c>
      <c r="I13" s="5" t="n">
        <v>104</v>
      </c>
      <c r="J13" s="5" t="n">
        <v>8</v>
      </c>
      <c r="K13" s="5" t="n">
        <v>41.82299805647745</v>
      </c>
      <c r="L13" s="5" t="n">
        <v>500</v>
      </c>
      <c r="M13" s="5" t="n">
        <v>60</v>
      </c>
      <c r="N13" s="8" t="n">
        <v>16.21849224620965</v>
      </c>
      <c r="O13" s="5" t="n">
        <v>89.87115559352611</v>
      </c>
      <c r="P13" s="10" t="n">
        <v>1534.32</v>
      </c>
      <c r="Q13" s="10" t="n">
        <v>6853.689</v>
      </c>
      <c r="R13" s="10" t="n">
        <v>6270.6866868</v>
      </c>
      <c r="S13" s="8" t="n">
        <v>0</v>
      </c>
      <c r="T13" s="5" t="n">
        <v>86</v>
      </c>
    </row>
    <row r="14">
      <c r="A14" s="13" t="inlineStr">
        <is>
          <t>U1-10</t>
        </is>
      </c>
      <c r="B14" s="12" t="n">
        <v>1</v>
      </c>
      <c r="C14" s="17" t="n">
        <v>6870863.9</v>
      </c>
      <c r="D14" s="17" t="n">
        <v>2236726.7</v>
      </c>
      <c r="E14" s="28" t="n">
        <v>-120.907346</v>
      </c>
      <c r="F14" s="28" t="n">
        <v>39.298913</v>
      </c>
      <c r="G14" s="12" t="n">
        <v>3876</v>
      </c>
      <c r="H14" s="12" t="n">
        <v>30.3</v>
      </c>
      <c r="I14" s="12" t="n">
        <v>159</v>
      </c>
      <c r="J14" s="12" t="n">
        <v>12</v>
      </c>
      <c r="K14" s="12" t="n">
        <v>122.9913541411645</v>
      </c>
      <c r="L14" s="12" t="n">
        <v>300</v>
      </c>
      <c r="M14" s="12" t="n">
        <v>180</v>
      </c>
      <c r="N14" s="15" t="n">
        <v>16.38103710986542</v>
      </c>
      <c r="O14" s="12" t="n">
        <v>263.6875626966963</v>
      </c>
      <c r="P14" s="17" t="n">
        <v>5329.8</v>
      </c>
      <c r="Q14" s="17" t="n">
        <v>24990.93324</v>
      </c>
      <c r="R14" s="17" t="n">
        <v>23555.1207276</v>
      </c>
      <c r="S14" s="15" t="n">
        <v>0</v>
      </c>
      <c r="T14" s="12" t="n">
        <v>95</v>
      </c>
    </row>
    <row r="15">
      <c r="A15" s="6" t="inlineStr">
        <is>
          <t>U1-11</t>
        </is>
      </c>
      <c r="B15" s="5" t="n">
        <v>1</v>
      </c>
      <c r="C15" s="10" t="n">
        <v>6870863.9</v>
      </c>
      <c r="D15" s="10" t="n">
        <v>2237126.7</v>
      </c>
      <c r="E15" s="27" t="n">
        <v>-120.907329</v>
      </c>
      <c r="F15" s="27" t="n">
        <v>39.300011</v>
      </c>
      <c r="G15" s="5" t="n">
        <v>3919</v>
      </c>
      <c r="H15" s="5" t="n">
        <v>4.5</v>
      </c>
      <c r="I15" s="5" t="n">
        <v>152</v>
      </c>
      <c r="J15" s="5" t="n">
        <v>16</v>
      </c>
      <c r="K15" s="5" t="n">
        <v>268.9185699424436</v>
      </c>
      <c r="L15" s="5" t="n">
        <v>100</v>
      </c>
      <c r="M15" s="5" t="n">
        <v>300</v>
      </c>
      <c r="N15" s="8" t="n">
        <v>14.30186466193296</v>
      </c>
      <c r="O15" s="5" t="n">
        <v>453.5467616852515</v>
      </c>
      <c r="P15" s="10" t="n">
        <v>8225.280000000001</v>
      </c>
      <c r="Q15" s="10" t="n">
        <v>39533.87844</v>
      </c>
      <c r="R15" s="10" t="n">
        <v>37189.1388456</v>
      </c>
      <c r="S15" s="8" t="n">
        <v>0</v>
      </c>
      <c r="T15" s="5" t="n">
        <v>103.8333333333333</v>
      </c>
    </row>
    <row r="16">
      <c r="A16" s="13" t="inlineStr">
        <is>
          <t>U1-12</t>
        </is>
      </c>
      <c r="B16" s="12" t="n">
        <v>1</v>
      </c>
      <c r="C16" s="17" t="n">
        <v>6871263.9</v>
      </c>
      <c r="D16" s="17" t="n">
        <v>2233526.7</v>
      </c>
      <c r="E16" s="28" t="n">
        <v>-120.906068</v>
      </c>
      <c r="F16" s="28" t="n">
        <v>39.290115</v>
      </c>
      <c r="G16" s="12" t="n">
        <v>3171</v>
      </c>
      <c r="H16" s="12" t="n">
        <v>38.2</v>
      </c>
      <c r="I16" s="12" t="n">
        <v>113</v>
      </c>
      <c r="J16" s="12" t="n">
        <v>13</v>
      </c>
      <c r="K16" s="12" t="n">
        <v>355.7589107954691</v>
      </c>
      <c r="L16" s="12" t="n">
        <v>0</v>
      </c>
      <c r="M16" s="12" t="n">
        <v>260</v>
      </c>
      <c r="N16" s="15" t="n">
        <v>11.57580530689276</v>
      </c>
      <c r="O16" s="12" t="n">
        <v>405.0264340183271</v>
      </c>
      <c r="P16" s="17" t="n">
        <v>6305.04</v>
      </c>
      <c r="Q16" s="17" t="n">
        <v>31117.21272</v>
      </c>
      <c r="R16" s="17" t="n">
        <v>29121.51725639999</v>
      </c>
      <c r="S16" s="15" t="n">
        <v>0</v>
      </c>
      <c r="T16" s="12" t="n">
        <v>101</v>
      </c>
    </row>
    <row r="17">
      <c r="A17" s="6" t="inlineStr">
        <is>
          <t>U1-13</t>
        </is>
      </c>
      <c r="B17" s="5" t="n">
        <v>1</v>
      </c>
      <c r="C17" s="10" t="n">
        <v>6871263.9</v>
      </c>
      <c r="D17" s="10" t="n">
        <v>2234326.7</v>
      </c>
      <c r="E17" s="27" t="n">
        <v>-120.906034</v>
      </c>
      <c r="F17" s="27" t="n">
        <v>39.292311</v>
      </c>
      <c r="G17" s="5" t="n">
        <v>3333</v>
      </c>
      <c r="H17" s="5" t="n">
        <v>24.7</v>
      </c>
      <c r="I17" s="5" t="n">
        <v>175</v>
      </c>
      <c r="J17" s="5" t="n">
        <v>20</v>
      </c>
      <c r="K17" s="5" t="n">
        <v>426.7504121015232</v>
      </c>
      <c r="L17" s="5" t="n">
        <v>300</v>
      </c>
      <c r="M17" s="5" t="n">
        <v>280</v>
      </c>
      <c r="N17" s="8" t="n">
        <v>10.96817760549171</v>
      </c>
      <c r="O17" s="5" t="n">
        <v>453.5580542478299</v>
      </c>
      <c r="P17" s="10" t="n">
        <v>6626.52</v>
      </c>
      <c r="Q17" s="10" t="n">
        <v>30849.21432</v>
      </c>
      <c r="R17" s="10" t="n">
        <v>29380.7882304</v>
      </c>
      <c r="S17" s="8" t="n">
        <v>66.79190565473969</v>
      </c>
      <c r="T17" s="5" t="n">
        <v>96</v>
      </c>
    </row>
    <row r="18">
      <c r="A18" s="13" t="inlineStr">
        <is>
          <t>U1-14</t>
        </is>
      </c>
      <c r="B18" s="12" t="n">
        <v>1</v>
      </c>
      <c r="C18" s="17" t="n">
        <v>6871263.9</v>
      </c>
      <c r="D18" s="17" t="n">
        <v>2234726.7</v>
      </c>
      <c r="E18" s="28" t="n">
        <v>-120.906017</v>
      </c>
      <c r="F18" s="28" t="n">
        <v>39.293409</v>
      </c>
      <c r="G18" s="12" t="n">
        <v>3377</v>
      </c>
      <c r="H18" s="12" t="n">
        <v>7.1</v>
      </c>
      <c r="I18" s="12" t="n">
        <v>303</v>
      </c>
      <c r="J18" s="12" t="n">
        <v>21</v>
      </c>
      <c r="K18" s="12" t="n">
        <v>230.3563471743602</v>
      </c>
      <c r="L18" s="12" t="n">
        <v>400</v>
      </c>
      <c r="M18" s="12" t="n">
        <v>260</v>
      </c>
      <c r="N18" s="15" t="n">
        <v>14.38563429240312</v>
      </c>
      <c r="O18" s="12" t="n">
        <v>380.6656216540565</v>
      </c>
      <c r="P18" s="17" t="n">
        <v>7452.719999999999</v>
      </c>
      <c r="Q18" s="17" t="n">
        <v>37674.95471999999</v>
      </c>
      <c r="R18" s="17" t="n">
        <v>34291.41065999999</v>
      </c>
      <c r="S18" s="15" t="n">
        <v>109.1464899737298</v>
      </c>
      <c r="T18" s="12" t="n">
        <v>101.5</v>
      </c>
    </row>
    <row r="19">
      <c r="A19" s="6" t="inlineStr">
        <is>
          <t>U1-15</t>
        </is>
      </c>
      <c r="B19" s="5" t="n">
        <v>1</v>
      </c>
      <c r="C19" s="10" t="n">
        <v>6871263.9</v>
      </c>
      <c r="D19" s="10" t="n">
        <v>2235126.7</v>
      </c>
      <c r="E19" s="27" t="n">
        <v>-120.906</v>
      </c>
      <c r="F19" s="27" t="n">
        <v>39.294507</v>
      </c>
      <c r="G19" s="5" t="n">
        <v>3402</v>
      </c>
      <c r="H19" s="5" t="n">
        <v>3.8</v>
      </c>
      <c r="I19" s="5" t="n">
        <v>201</v>
      </c>
      <c r="J19" s="5" t="n">
        <v>12</v>
      </c>
      <c r="K19" s="5" t="n">
        <v>298.1668385892353</v>
      </c>
      <c r="L19" s="5" t="n">
        <v>0</v>
      </c>
      <c r="M19" s="5" t="n">
        <v>200</v>
      </c>
      <c r="N19" s="8" t="n">
        <v>11.08990333722451</v>
      </c>
      <c r="O19" s="5" t="n">
        <v>312.3961364178548</v>
      </c>
      <c r="P19" s="10" t="n">
        <v>5322.240000000001</v>
      </c>
      <c r="Q19" s="10" t="n">
        <v>27421.87392</v>
      </c>
      <c r="R19" s="10" t="n">
        <v>26508.061566</v>
      </c>
      <c r="S19" s="8" t="n">
        <v>8.160920308347118</v>
      </c>
      <c r="T19" s="5" t="n">
        <v>113</v>
      </c>
    </row>
    <row r="20">
      <c r="A20" s="13" t="inlineStr">
        <is>
          <t>U1-16</t>
        </is>
      </c>
      <c r="B20" s="12" t="n">
        <v>1</v>
      </c>
      <c r="C20" s="17" t="n">
        <v>6871263.9</v>
      </c>
      <c r="D20" s="17" t="n">
        <v>2235526.7</v>
      </c>
      <c r="E20" s="28" t="n">
        <v>-120.905983</v>
      </c>
      <c r="F20" s="28" t="n">
        <v>39.295605</v>
      </c>
      <c r="G20" s="12" t="n">
        <v>3433</v>
      </c>
      <c r="H20" s="12" t="n">
        <v>6.5</v>
      </c>
      <c r="I20" s="12" t="n">
        <v>244</v>
      </c>
      <c r="J20" s="12" t="n">
        <v>12</v>
      </c>
      <c r="K20" s="12" t="n">
        <v>407.1335722878231</v>
      </c>
      <c r="L20" s="12" t="n">
        <v>200</v>
      </c>
      <c r="M20" s="12" t="n">
        <v>200</v>
      </c>
      <c r="N20" s="15" t="n">
        <v>9.490497368857504</v>
      </c>
      <c r="O20" s="12" t="n">
        <v>336.6643623517156</v>
      </c>
      <c r="P20" s="17" t="n">
        <v>4566.599999999999</v>
      </c>
      <c r="Q20" s="17" t="n">
        <v>21478.98672</v>
      </c>
      <c r="R20" s="17" t="n">
        <v>20670.0458256</v>
      </c>
      <c r="S20" s="15" t="n">
        <v>0</v>
      </c>
      <c r="T20" s="12" t="n">
        <v>102.3333333333333</v>
      </c>
    </row>
    <row r="21">
      <c r="A21" s="6" t="inlineStr">
        <is>
          <t>U1-17</t>
        </is>
      </c>
      <c r="B21" s="5" t="n">
        <v>1</v>
      </c>
      <c r="C21" s="10" t="n">
        <v>6871263.9</v>
      </c>
      <c r="D21" s="10" t="n">
        <v>2235926.7</v>
      </c>
      <c r="E21" s="27" t="n">
        <v>-120.905966</v>
      </c>
      <c r="F21" s="27" t="n">
        <v>39.296704</v>
      </c>
      <c r="G21" s="5" t="n">
        <v>3474</v>
      </c>
      <c r="H21" s="5" t="n">
        <v>27.3</v>
      </c>
      <c r="I21" s="5" t="n">
        <v>148</v>
      </c>
      <c r="J21" s="5" t="n">
        <v>18</v>
      </c>
      <c r="K21" s="5" t="n">
        <v>562.7995183424721</v>
      </c>
      <c r="L21" s="5" t="n">
        <v>100</v>
      </c>
      <c r="M21" s="5" t="n">
        <v>320</v>
      </c>
      <c r="N21" s="8" t="n">
        <v>10.21034845580283</v>
      </c>
      <c r="O21" s="5" t="n">
        <v>531.9964609161763</v>
      </c>
      <c r="P21" s="10" t="n">
        <v>6683.04</v>
      </c>
      <c r="Q21" s="10" t="n">
        <v>33791.121</v>
      </c>
      <c r="R21" s="10" t="n">
        <v>32190.5589264</v>
      </c>
      <c r="S21" s="8" t="n">
        <v>10.71448756757828</v>
      </c>
      <c r="T21" s="5" t="n">
        <v>105.8</v>
      </c>
    </row>
    <row r="22">
      <c r="A22" s="13" t="inlineStr">
        <is>
          <t>U1-18</t>
        </is>
      </c>
      <c r="B22" s="12" t="n">
        <v>1</v>
      </c>
      <c r="C22" s="17" t="n">
        <v>6871263.9</v>
      </c>
      <c r="D22" s="17" t="n">
        <v>2237126.7</v>
      </c>
      <c r="E22" s="28" t="n">
        <v>-120.905915</v>
      </c>
      <c r="F22" s="28" t="n">
        <v>39.299998</v>
      </c>
      <c r="G22" s="12" t="n">
        <v>3904</v>
      </c>
      <c r="H22" s="12" t="n">
        <v>17.4</v>
      </c>
      <c r="I22" s="12" t="n">
        <v>183</v>
      </c>
      <c r="J22" s="12" t="n">
        <v>22</v>
      </c>
      <c r="K22" s="12" t="n">
        <v>745.420925598874</v>
      </c>
      <c r="L22" s="12" t="n">
        <v>300</v>
      </c>
      <c r="M22" s="12" t="n">
        <v>360</v>
      </c>
      <c r="N22" s="15" t="n">
        <v>9.410070853726344</v>
      </c>
      <c r="O22" s="12" t="n">
        <v>599.9488259447468</v>
      </c>
      <c r="P22" s="17" t="n">
        <v>7889.04</v>
      </c>
      <c r="Q22" s="17" t="n">
        <v>38363.31972</v>
      </c>
      <c r="R22" s="17" t="n">
        <v>35386.4998944</v>
      </c>
      <c r="S22" s="15" t="n">
        <v>79.30435488762257</v>
      </c>
      <c r="T22" s="12" t="n">
        <v>95.59999999999999</v>
      </c>
    </row>
    <row r="23">
      <c r="A23" s="6" t="inlineStr">
        <is>
          <t>U1-19</t>
        </is>
      </c>
      <c r="B23" s="5" t="n">
        <v>1</v>
      </c>
      <c r="C23" s="10" t="n">
        <v>6871263.9</v>
      </c>
      <c r="D23" s="10" t="n">
        <v>2237526.7</v>
      </c>
      <c r="E23" s="27" t="n">
        <v>-120.905898</v>
      </c>
      <c r="F23" s="27" t="n">
        <v>39.301096</v>
      </c>
      <c r="G23" s="5" t="n">
        <v>3948</v>
      </c>
      <c r="H23" s="5" t="n">
        <v>21.6</v>
      </c>
      <c r="I23" s="5" t="n">
        <v>268</v>
      </c>
      <c r="J23" s="5" t="n">
        <v>19</v>
      </c>
      <c r="K23" s="5" t="n">
        <v>599.0783248292107</v>
      </c>
      <c r="L23" s="5" t="n">
        <v>300</v>
      </c>
      <c r="M23" s="5" t="n">
        <v>320</v>
      </c>
      <c r="N23" s="8" t="n">
        <v>9.89636304780584</v>
      </c>
      <c r="O23" s="5" t="n">
        <v>550.05591279931</v>
      </c>
      <c r="P23" s="10" t="n">
        <v>6073.92</v>
      </c>
      <c r="Q23" s="10" t="n">
        <v>27314.2962</v>
      </c>
      <c r="R23" s="10" t="n">
        <v>26051.1463764</v>
      </c>
      <c r="S23" s="8" t="n">
        <v>0</v>
      </c>
      <c r="T23" s="5" t="n">
        <v>102.6666666666667</v>
      </c>
    </row>
    <row r="24">
      <c r="A24" s="13" t="inlineStr">
        <is>
          <t>U1-20</t>
        </is>
      </c>
      <c r="B24" s="12" t="n">
        <v>1</v>
      </c>
      <c r="C24" s="17" t="n">
        <v>6871663.9</v>
      </c>
      <c r="D24" s="17" t="n">
        <v>2233126.7</v>
      </c>
      <c r="E24" s="28" t="n">
        <v>-120.904672</v>
      </c>
      <c r="F24" s="28" t="n">
        <v>39.289003</v>
      </c>
      <c r="G24" s="12" t="n">
        <v>3149</v>
      </c>
      <c r="H24" s="12" t="n">
        <v>7.5</v>
      </c>
      <c r="I24" s="12" t="n">
        <v>246</v>
      </c>
      <c r="J24" s="12" t="n">
        <v>20</v>
      </c>
      <c r="K24" s="12" t="n">
        <v>521.0225798430265</v>
      </c>
      <c r="L24" s="12" t="n">
        <v>200</v>
      </c>
      <c r="M24" s="12" t="n">
        <v>360</v>
      </c>
      <c r="N24" s="15" t="n">
        <v>11.25551603696319</v>
      </c>
      <c r="O24" s="12" t="n">
        <v>573.3298852630417</v>
      </c>
      <c r="P24" s="17" t="n">
        <v>8195.4</v>
      </c>
      <c r="Q24" s="17" t="n">
        <v>39294.036</v>
      </c>
      <c r="R24" s="17" t="n">
        <v>36443.5343568</v>
      </c>
      <c r="S24" s="15" t="n">
        <v>0</v>
      </c>
      <c r="T24" s="12" t="n">
        <v>97.16666666666667</v>
      </c>
    </row>
    <row r="25">
      <c r="A25" s="6" t="inlineStr">
        <is>
          <t>U1-21</t>
        </is>
      </c>
      <c r="B25" s="5" t="n">
        <v>1</v>
      </c>
      <c r="C25" s="10" t="n">
        <v>6871663.9</v>
      </c>
      <c r="D25" s="10" t="n">
        <v>2233526.7</v>
      </c>
      <c r="E25" s="27" t="n">
        <v>-120.904655</v>
      </c>
      <c r="F25" s="27" t="n">
        <v>39.290101</v>
      </c>
      <c r="G25" s="5" t="n">
        <v>3170</v>
      </c>
      <c r="H25" s="5" t="n">
        <v>5.9</v>
      </c>
      <c r="I25" s="5" t="n">
        <v>200</v>
      </c>
      <c r="J25" s="5" t="n">
        <v>9</v>
      </c>
      <c r="K25" s="5" t="n">
        <v>133.677479416056</v>
      </c>
      <c r="L25" s="5" t="n">
        <v>200</v>
      </c>
      <c r="M25" s="5" t="n">
        <v>140</v>
      </c>
      <c r="N25" s="8" t="n">
        <v>13.85725876928937</v>
      </c>
      <c r="O25" s="5" t="n">
        <v>216.5429124347298</v>
      </c>
      <c r="P25" s="10" t="n">
        <v>3727.08</v>
      </c>
      <c r="Q25" s="10" t="n">
        <v>17355.06864</v>
      </c>
      <c r="R25" s="10" t="n">
        <v>16823.306556</v>
      </c>
      <c r="S25" s="8" t="n">
        <v>0</v>
      </c>
      <c r="T25" s="5" t="n">
        <v>107.5</v>
      </c>
    </row>
    <row r="26">
      <c r="A26" s="13" t="inlineStr">
        <is>
          <t>U1-22</t>
        </is>
      </c>
      <c r="B26" s="12" t="n">
        <v>1</v>
      </c>
      <c r="C26" s="17" t="n">
        <v>6871663.9</v>
      </c>
      <c r="D26" s="17" t="n">
        <v>2233926.7</v>
      </c>
      <c r="E26" s="28" t="n">
        <v>-120.904638</v>
      </c>
      <c r="F26" s="28" t="n">
        <v>39.2912</v>
      </c>
      <c r="G26" s="12" t="n">
        <v>3165</v>
      </c>
      <c r="H26" s="12" t="n">
        <v>16.8</v>
      </c>
      <c r="I26" s="12" t="n">
        <v>175</v>
      </c>
      <c r="J26" s="12" t="n">
        <v>14</v>
      </c>
      <c r="K26" s="12" t="n">
        <v>296.1684930206347</v>
      </c>
      <c r="L26" s="12" t="n">
        <v>200</v>
      </c>
      <c r="M26" s="12" t="n">
        <v>240</v>
      </c>
      <c r="N26" s="15" t="n">
        <v>12.18929608051997</v>
      </c>
      <c r="O26" s="12" t="n">
        <v>382.4763901630174</v>
      </c>
      <c r="P26" s="17" t="n">
        <v>5330.160000000001</v>
      </c>
      <c r="Q26" s="17" t="n">
        <v>24609.2814</v>
      </c>
      <c r="R26" s="17" t="n">
        <v>23322.4956828</v>
      </c>
      <c r="S26" s="15" t="n">
        <v>0</v>
      </c>
      <c r="T26" s="12" t="n">
        <v>95.5</v>
      </c>
    </row>
    <row r="27">
      <c r="A27" s="6" t="inlineStr">
        <is>
          <t>U1-23</t>
        </is>
      </c>
      <c r="B27" s="5" t="n">
        <v>1</v>
      </c>
      <c r="C27" s="10" t="n">
        <v>6871663.9</v>
      </c>
      <c r="D27" s="10" t="n">
        <v>2234726.7</v>
      </c>
      <c r="E27" s="27" t="n">
        <v>-120.904604</v>
      </c>
      <c r="F27" s="27" t="n">
        <v>39.293396</v>
      </c>
      <c r="G27" s="5" t="n">
        <v>3351</v>
      </c>
      <c r="H27" s="5" t="n">
        <v>30.3</v>
      </c>
      <c r="I27" s="5" t="n">
        <v>149</v>
      </c>
      <c r="J27" s="5" t="n">
        <v>10</v>
      </c>
      <c r="K27" s="5" t="n">
        <v>370.9308204431958</v>
      </c>
      <c r="L27" s="5" t="n">
        <v>200</v>
      </c>
      <c r="M27" s="5" t="n">
        <v>160</v>
      </c>
      <c r="N27" s="8" t="n">
        <v>8.893157103104766</v>
      </c>
      <c r="O27" s="5" t="n">
        <v>280.8879853584164</v>
      </c>
      <c r="P27" s="10" t="n">
        <v>2850.12</v>
      </c>
      <c r="Q27" s="10" t="n">
        <v>13571.42472</v>
      </c>
      <c r="R27" s="10" t="n">
        <v>13129.1835444</v>
      </c>
      <c r="S27" s="8" t="n">
        <v>0</v>
      </c>
      <c r="T27" s="5" t="n">
        <v>106</v>
      </c>
    </row>
    <row r="28">
      <c r="A28" s="13" t="inlineStr">
        <is>
          <t>U1-24</t>
        </is>
      </c>
      <c r="B28" s="12" t="n">
        <v>1</v>
      </c>
      <c r="C28" s="17" t="n">
        <v>6871663.9</v>
      </c>
      <c r="D28" s="17" t="n">
        <v>2235126.7</v>
      </c>
      <c r="E28" s="28" t="n">
        <v>-120.904587</v>
      </c>
      <c r="F28" s="28" t="n">
        <v>39.294494</v>
      </c>
      <c r="G28" s="12" t="n">
        <v>3397</v>
      </c>
      <c r="H28" s="12" t="n">
        <v>19.4</v>
      </c>
      <c r="I28" s="12" t="n">
        <v>68</v>
      </c>
      <c r="J28" s="12" t="n">
        <v>15</v>
      </c>
      <c r="K28" s="12" t="n">
        <v>286.2672588466023</v>
      </c>
      <c r="L28" s="12" t="n">
        <v>200</v>
      </c>
      <c r="M28" s="12" t="n">
        <v>260</v>
      </c>
      <c r="N28" s="15" t="n">
        <v>12.90456196829798</v>
      </c>
      <c r="O28" s="12" t="n">
        <v>402.2219928245488</v>
      </c>
      <c r="P28" s="17" t="n">
        <v>7393.68</v>
      </c>
      <c r="Q28" s="17" t="n">
        <v>36358.96571999999</v>
      </c>
      <c r="R28" s="17" t="n">
        <v>35210.9242296</v>
      </c>
      <c r="S28" s="15" t="n">
        <v>0</v>
      </c>
      <c r="T28" s="12" t="n">
        <v>117.4</v>
      </c>
    </row>
    <row r="29">
      <c r="A29" s="6" t="inlineStr">
        <is>
          <t>U1-25</t>
        </is>
      </c>
      <c r="B29" s="5" t="n">
        <v>1</v>
      </c>
      <c r="C29" s="10" t="n">
        <v>6871663.9</v>
      </c>
      <c r="D29" s="10" t="n">
        <v>2235526.7</v>
      </c>
      <c r="E29" s="27" t="n">
        <v>-120.90457</v>
      </c>
      <c r="F29" s="27" t="n">
        <v>39.295592</v>
      </c>
      <c r="G29" s="5" t="n">
        <v>3395</v>
      </c>
      <c r="H29" s="5" t="n">
        <v>25.8</v>
      </c>
      <c r="I29" s="5" t="n">
        <v>91</v>
      </c>
      <c r="J29" s="5" t="n">
        <v>16</v>
      </c>
      <c r="K29" s="5" t="n">
        <v>166.4802335543515</v>
      </c>
      <c r="L29" s="5" t="n">
        <v>200</v>
      </c>
      <c r="M29" s="5" t="n">
        <v>240</v>
      </c>
      <c r="N29" s="8" t="n">
        <v>16.25798489852165</v>
      </c>
      <c r="O29" s="5" t="n">
        <v>347.4887896498885</v>
      </c>
      <c r="P29" s="10" t="n">
        <v>6922.799999999999</v>
      </c>
      <c r="Q29" s="10" t="n">
        <v>33979.37472</v>
      </c>
      <c r="R29" s="10" t="n">
        <v>31750.8040548</v>
      </c>
      <c r="S29" s="8" t="n">
        <v>19.51772096469838</v>
      </c>
      <c r="T29" s="5" t="n">
        <v>99.16666666666667</v>
      </c>
    </row>
    <row r="30">
      <c r="A30" s="13" t="inlineStr">
        <is>
          <t>U1-26</t>
        </is>
      </c>
      <c r="B30" s="12" t="n">
        <v>1</v>
      </c>
      <c r="C30" s="17" t="n">
        <v>6871663.9</v>
      </c>
      <c r="D30" s="17" t="n">
        <v>2235926.7</v>
      </c>
      <c r="E30" s="28" t="n">
        <v>-120.904553</v>
      </c>
      <c r="F30" s="28" t="n">
        <v>39.29669</v>
      </c>
      <c r="G30" s="12" t="n">
        <v>3418</v>
      </c>
      <c r="H30" s="12" t="n">
        <v>6.8</v>
      </c>
      <c r="I30" s="12" t="n">
        <v>145</v>
      </c>
      <c r="J30" s="12" t="n">
        <v>19</v>
      </c>
      <c r="K30" s="12" t="n">
        <v>364.4325252053908</v>
      </c>
      <c r="L30" s="12" t="n">
        <v>300</v>
      </c>
      <c r="M30" s="12" t="n">
        <v>280</v>
      </c>
      <c r="N30" s="15" t="n">
        <v>11.86896594374096</v>
      </c>
      <c r="O30" s="12" t="n">
        <v>434.0921220853535</v>
      </c>
      <c r="P30" s="17" t="n">
        <v>7455.96</v>
      </c>
      <c r="Q30" s="17" t="n">
        <v>36526.80888</v>
      </c>
      <c r="R30" s="17" t="n">
        <v>35037.41477399999</v>
      </c>
      <c r="S30" s="15" t="n">
        <v>9.682964811518099</v>
      </c>
      <c r="T30" s="12" t="n">
        <v>105.5</v>
      </c>
    </row>
    <row r="31">
      <c r="A31" s="6" t="inlineStr">
        <is>
          <t>U1-27</t>
        </is>
      </c>
      <c r="B31" s="5" t="n">
        <v>1</v>
      </c>
      <c r="C31" s="10" t="n">
        <v>6871663.9</v>
      </c>
      <c r="D31" s="10" t="n">
        <v>2236326.7</v>
      </c>
      <c r="E31" s="27" t="n">
        <v>-120.904536</v>
      </c>
      <c r="F31" s="27" t="n">
        <v>39.297789</v>
      </c>
      <c r="G31" s="5" t="n">
        <v>3531</v>
      </c>
      <c r="H31" s="5" t="n">
        <v>39.6</v>
      </c>
      <c r="I31" s="5" t="n">
        <v>125</v>
      </c>
      <c r="J31" s="5" t="n">
        <v>11</v>
      </c>
      <c r="K31" s="5" t="n">
        <v>184.9847982939986</v>
      </c>
      <c r="L31" s="5" t="n">
        <v>300</v>
      </c>
      <c r="M31" s="5" t="n">
        <v>160</v>
      </c>
      <c r="N31" s="8" t="n">
        <v>12.59315081106231</v>
      </c>
      <c r="O31" s="5" t="n">
        <v>257.3211080624882</v>
      </c>
      <c r="P31" s="10" t="n">
        <v>3749.76</v>
      </c>
      <c r="Q31" s="10" t="n">
        <v>16736.15412</v>
      </c>
      <c r="R31" s="10" t="n">
        <v>16022.6006472</v>
      </c>
      <c r="S31" s="8" t="n">
        <v>0</v>
      </c>
      <c r="T31" s="5" t="n">
        <v>107</v>
      </c>
    </row>
    <row r="32">
      <c r="A32" s="13" t="inlineStr">
        <is>
          <t>U1-28</t>
        </is>
      </c>
      <c r="B32" s="12" t="n">
        <v>1</v>
      </c>
      <c r="C32" s="17" t="n">
        <v>6871663.9</v>
      </c>
      <c r="D32" s="17" t="n">
        <v>2237526.7</v>
      </c>
      <c r="E32" s="28" t="n">
        <v>-120.904485</v>
      </c>
      <c r="F32" s="28" t="n">
        <v>39.301083</v>
      </c>
      <c r="G32" s="12" t="n">
        <v>3942</v>
      </c>
      <c r="H32" s="12" t="n">
        <v>36.3</v>
      </c>
      <c r="I32" s="12" t="n">
        <v>104</v>
      </c>
      <c r="J32" s="12" t="n">
        <v>15</v>
      </c>
      <c r="K32" s="12" t="n">
        <v>310.2408345463371</v>
      </c>
      <c r="L32" s="12" t="n">
        <v>200</v>
      </c>
      <c r="M32" s="12" t="n">
        <v>240</v>
      </c>
      <c r="N32" s="15" t="n">
        <v>11.90963835639471</v>
      </c>
      <c r="O32" s="12" t="n">
        <v>378.3078807333428</v>
      </c>
      <c r="P32" s="17" t="n">
        <v>5326.92</v>
      </c>
      <c r="Q32" s="17" t="n">
        <v>26256.38076</v>
      </c>
      <c r="R32" s="17" t="n">
        <v>24856.7777604</v>
      </c>
      <c r="S32" s="15" t="n">
        <v>17.44130021404836</v>
      </c>
      <c r="T32" s="12" t="n">
        <v>95.25</v>
      </c>
    </row>
    <row r="33">
      <c r="A33" s="6" t="inlineStr">
        <is>
          <t>U1-29</t>
        </is>
      </c>
      <c r="B33" s="5" t="n">
        <v>1</v>
      </c>
      <c r="C33" s="10" t="n">
        <v>6872063.9</v>
      </c>
      <c r="D33" s="10" t="n">
        <v>2233526.7</v>
      </c>
      <c r="E33" s="27" t="n">
        <v>-120.903242</v>
      </c>
      <c r="F33" s="27" t="n">
        <v>39.290088</v>
      </c>
      <c r="G33" s="5" t="n">
        <v>3162</v>
      </c>
      <c r="H33" s="5" t="n">
        <v>8.4</v>
      </c>
      <c r="I33" s="5" t="n">
        <v>289</v>
      </c>
      <c r="J33" s="5" t="n">
        <v>12</v>
      </c>
      <c r="K33" s="5" t="n">
        <v>179.772761421124</v>
      </c>
      <c r="L33" s="5" t="n">
        <v>100</v>
      </c>
      <c r="M33" s="5" t="n">
        <v>220</v>
      </c>
      <c r="N33" s="8" t="n">
        <v>14.97931069570313</v>
      </c>
      <c r="O33" s="5" t="n">
        <v>326.7509684400232</v>
      </c>
      <c r="P33" s="10" t="n">
        <v>5768.280000000001</v>
      </c>
      <c r="Q33" s="10" t="n">
        <v>27974.86524</v>
      </c>
      <c r="R33" s="10" t="n">
        <v>26056.0232136</v>
      </c>
      <c r="S33" s="8" t="n">
        <v>0</v>
      </c>
      <c r="T33" s="5" t="n">
        <v>93.5</v>
      </c>
    </row>
    <row r="34">
      <c r="A34" s="13" t="inlineStr">
        <is>
          <t>U1-30</t>
        </is>
      </c>
      <c r="B34" s="12" t="n">
        <v>1</v>
      </c>
      <c r="C34" s="17" t="n">
        <v>6872063.9</v>
      </c>
      <c r="D34" s="17" t="n">
        <v>2233926.7</v>
      </c>
      <c r="E34" s="28" t="n">
        <v>-120.903225</v>
      </c>
      <c r="F34" s="28" t="n">
        <v>39.291186</v>
      </c>
      <c r="G34" s="12" t="n">
        <v>3191</v>
      </c>
      <c r="H34" s="12" t="n">
        <v>16.3</v>
      </c>
      <c r="I34" s="12" t="n">
        <v>285</v>
      </c>
      <c r="J34" s="12" t="n">
        <v>14</v>
      </c>
      <c r="K34" s="12" t="n">
        <v>670.9300809411186</v>
      </c>
      <c r="L34" s="12" t="n">
        <v>100</v>
      </c>
      <c r="M34" s="12" t="n">
        <v>260</v>
      </c>
      <c r="N34" s="15" t="n">
        <v>8.429279903421039</v>
      </c>
      <c r="O34" s="12" t="n">
        <v>454.1274852922389</v>
      </c>
      <c r="P34" s="17" t="n">
        <v>5303.16</v>
      </c>
      <c r="Q34" s="17" t="n">
        <v>26573.05944</v>
      </c>
      <c r="R34" s="17" t="n">
        <v>24128.29086839999</v>
      </c>
      <c r="S34" s="15" t="n">
        <v>0</v>
      </c>
      <c r="T34" s="12" t="n">
        <v>114.25</v>
      </c>
    </row>
    <row r="35">
      <c r="A35" s="6" t="inlineStr">
        <is>
          <t>U1-31</t>
        </is>
      </c>
      <c r="B35" s="5" t="n">
        <v>1</v>
      </c>
      <c r="C35" s="10" t="n">
        <v>6872063.9</v>
      </c>
      <c r="D35" s="10" t="n">
        <v>2234326.7</v>
      </c>
      <c r="E35" s="27" t="n">
        <v>-120.903208</v>
      </c>
      <c r="F35" s="27" t="n">
        <v>39.292284</v>
      </c>
      <c r="G35" s="5" t="n">
        <v>3237</v>
      </c>
      <c r="H35" s="5" t="n">
        <v>26.8</v>
      </c>
      <c r="I35" s="5" t="n">
        <v>229</v>
      </c>
      <c r="J35" s="5" t="n">
        <v>7</v>
      </c>
      <c r="K35" s="5" t="n">
        <v>107.6631480583297</v>
      </c>
      <c r="L35" s="5" t="n">
        <v>100</v>
      </c>
      <c r="M35" s="5" t="n">
        <v>120</v>
      </c>
      <c r="N35" s="8" t="n">
        <v>14.29550556837227</v>
      </c>
      <c r="O35" s="5" t="n">
        <v>184.0370267523194</v>
      </c>
      <c r="P35" s="10" t="n">
        <v>2426.4</v>
      </c>
      <c r="Q35" s="10" t="n">
        <v>11015.46144</v>
      </c>
      <c r="R35" s="10" t="n">
        <v>10334.0952</v>
      </c>
      <c r="S35" s="8" t="n">
        <v>0</v>
      </c>
      <c r="T35" s="5" t="n">
        <v>69</v>
      </c>
    </row>
    <row r="36">
      <c r="A36" s="13" t="inlineStr">
        <is>
          <t>U1-32</t>
        </is>
      </c>
      <c r="B36" s="12" t="n">
        <v>1</v>
      </c>
      <c r="C36" s="17" t="n">
        <v>6872063.9</v>
      </c>
      <c r="D36" s="17" t="n">
        <v>2234726.7</v>
      </c>
      <c r="E36" s="28" t="n">
        <v>-120.903191</v>
      </c>
      <c r="F36" s="28" t="n">
        <v>39.293383</v>
      </c>
      <c r="G36" s="12" t="n">
        <v>3256</v>
      </c>
      <c r="H36" s="12" t="n">
        <v>10</v>
      </c>
      <c r="I36" s="12" t="n">
        <v>87</v>
      </c>
      <c r="J36" s="12" t="n">
        <v>11</v>
      </c>
      <c r="K36" s="12" t="n">
        <v>67.11868718821471</v>
      </c>
      <c r="L36" s="12" t="n">
        <v>400</v>
      </c>
      <c r="M36" s="12" t="n">
        <v>140</v>
      </c>
      <c r="N36" s="15" t="n">
        <v>19.55621144982575</v>
      </c>
      <c r="O36" s="12" t="n">
        <v>193.3038505840896</v>
      </c>
      <c r="P36" s="17" t="n">
        <v>4059</v>
      </c>
      <c r="Q36" s="17" t="n">
        <v>20022.19092</v>
      </c>
      <c r="R36" s="17" t="n">
        <v>18497.0815128</v>
      </c>
      <c r="S36" s="15" t="n">
        <v>0</v>
      </c>
      <c r="T36" s="12" t="n">
        <v>98.66666666666667</v>
      </c>
    </row>
    <row r="37">
      <c r="A37" s="6" t="inlineStr">
        <is>
          <t>U1-33</t>
        </is>
      </c>
      <c r="B37" s="5" t="n">
        <v>1</v>
      </c>
      <c r="C37" s="10" t="n">
        <v>6872063.9</v>
      </c>
      <c r="D37" s="10" t="n">
        <v>2235926.7</v>
      </c>
      <c r="E37" s="27" t="n">
        <v>-120.90314</v>
      </c>
      <c r="F37" s="27" t="n">
        <v>39.296677</v>
      </c>
      <c r="G37" s="5" t="n">
        <v>3378</v>
      </c>
      <c r="H37" s="5" t="n">
        <v>48.9</v>
      </c>
      <c r="I37" s="5" t="n">
        <v>124</v>
      </c>
      <c r="J37" s="5" t="n">
        <v>26</v>
      </c>
      <c r="K37" s="5" t="n">
        <v>762.1318536355195</v>
      </c>
      <c r="L37" s="5" t="n">
        <v>200</v>
      </c>
      <c r="M37" s="5" t="n">
        <v>420</v>
      </c>
      <c r="N37" s="8" t="n">
        <v>10.0519893925762</v>
      </c>
      <c r="O37" s="5" t="n">
        <v>687.3382343949792</v>
      </c>
      <c r="P37" s="10" t="n">
        <v>9024.839999999998</v>
      </c>
      <c r="Q37" s="10" t="n">
        <v>44216.9406</v>
      </c>
      <c r="R37" s="10" t="n">
        <v>41527.6406676</v>
      </c>
      <c r="S37" s="8" t="n">
        <v>93.55562007039332</v>
      </c>
      <c r="T37" s="5" t="n">
        <v>98.5</v>
      </c>
    </row>
    <row r="38">
      <c r="A38" s="13" t="inlineStr">
        <is>
          <t>U1-34</t>
        </is>
      </c>
      <c r="B38" s="12" t="n">
        <v>1</v>
      </c>
      <c r="C38" s="17" t="n">
        <v>6872063.9</v>
      </c>
      <c r="D38" s="17" t="n">
        <v>2236326.7</v>
      </c>
      <c r="E38" s="28" t="n">
        <v>-120.903123</v>
      </c>
      <c r="F38" s="28" t="n">
        <v>39.297775</v>
      </c>
      <c r="G38" s="12" t="n">
        <v>3416</v>
      </c>
      <c r="H38" s="12" t="n">
        <v>44</v>
      </c>
      <c r="I38" s="12" t="n">
        <v>190</v>
      </c>
      <c r="J38" s="12" t="n">
        <v>28</v>
      </c>
      <c r="K38" s="12" t="n">
        <v>417.4811235062577</v>
      </c>
      <c r="L38" s="12" t="n">
        <v>400</v>
      </c>
      <c r="M38" s="12" t="n">
        <v>480</v>
      </c>
      <c r="N38" s="15" t="n">
        <v>14.51926494039226</v>
      </c>
      <c r="O38" s="12" t="n">
        <v>728.0905865038817</v>
      </c>
      <c r="P38" s="17" t="n">
        <v>11976.12</v>
      </c>
      <c r="Q38" s="17" t="n">
        <v>56814.8958</v>
      </c>
      <c r="R38" s="17" t="n">
        <v>53874.49834799999</v>
      </c>
      <c r="S38" s="15" t="n">
        <v>0</v>
      </c>
      <c r="T38" s="12" t="n">
        <v>92.63636363636364</v>
      </c>
    </row>
    <row r="39">
      <c r="A39" s="6" t="inlineStr">
        <is>
          <t>U1-35</t>
        </is>
      </c>
      <c r="B39" s="5" t="n">
        <v>1</v>
      </c>
      <c r="C39" s="10" t="n">
        <v>6872463.9</v>
      </c>
      <c r="D39" s="10" t="n">
        <v>2233526.7</v>
      </c>
      <c r="E39" s="27" t="n">
        <v>-120.901829</v>
      </c>
      <c r="F39" s="27" t="n">
        <v>39.290075</v>
      </c>
      <c r="G39" s="5" t="n">
        <v>3167</v>
      </c>
      <c r="H39" s="5" t="n">
        <v>31.3</v>
      </c>
      <c r="I39" s="5" t="n">
        <v>186</v>
      </c>
      <c r="J39" s="5" t="n">
        <v>19</v>
      </c>
      <c r="K39" s="5" t="n">
        <v>358.2087056773889</v>
      </c>
      <c r="L39" s="5" t="n">
        <v>200</v>
      </c>
      <c r="M39" s="5" t="n">
        <v>300</v>
      </c>
      <c r="N39" s="8" t="n">
        <v>12.39181703159683</v>
      </c>
      <c r="O39" s="5" t="n">
        <v>456.7188294688596</v>
      </c>
      <c r="P39" s="10" t="n">
        <v>7822.800000000001</v>
      </c>
      <c r="Q39" s="10" t="n">
        <v>38348.07911999999</v>
      </c>
      <c r="R39" s="10" t="n">
        <v>36410.6961504</v>
      </c>
      <c r="S39" s="8" t="n">
        <v>34.63639499756837</v>
      </c>
      <c r="T39" s="5" t="n">
        <v>95.42857142857143</v>
      </c>
    </row>
    <row r="40">
      <c r="A40" s="13" t="inlineStr">
        <is>
          <t>U1-36</t>
        </is>
      </c>
      <c r="B40" s="12" t="n">
        <v>1</v>
      </c>
      <c r="C40" s="17" t="n">
        <v>6872463.9</v>
      </c>
      <c r="D40" s="17" t="n">
        <v>2233926.7</v>
      </c>
      <c r="E40" s="28" t="n">
        <v>-120.901812</v>
      </c>
      <c r="F40" s="28" t="n">
        <v>39.291173</v>
      </c>
      <c r="G40" s="12" t="n">
        <v>3192</v>
      </c>
      <c r="H40" s="12" t="n">
        <v>12.2</v>
      </c>
      <c r="I40" s="12" t="n">
        <v>264</v>
      </c>
      <c r="J40" s="12" t="n">
        <v>10</v>
      </c>
      <c r="K40" s="12" t="n">
        <v>208.4714140179042</v>
      </c>
      <c r="L40" s="12" t="n">
        <v>100</v>
      </c>
      <c r="M40" s="12" t="n">
        <v>180</v>
      </c>
      <c r="N40" s="15" t="n">
        <v>12.58216655121008</v>
      </c>
      <c r="O40" s="12" t="n">
        <v>273.2426276614428</v>
      </c>
      <c r="P40" s="17" t="n">
        <v>4914</v>
      </c>
      <c r="Q40" s="17" t="n">
        <v>25088.6916</v>
      </c>
      <c r="R40" s="17" t="n">
        <v>23630.1693768</v>
      </c>
      <c r="S40" s="15" t="n">
        <v>0</v>
      </c>
      <c r="T40" s="12" t="n">
        <v>106.4</v>
      </c>
    </row>
    <row r="41">
      <c r="A41" s="6" t="inlineStr">
        <is>
          <t>U1-37</t>
        </is>
      </c>
      <c r="B41" s="5" t="n">
        <v>1</v>
      </c>
      <c r="C41" s="10" t="n">
        <v>6872463.9</v>
      </c>
      <c r="D41" s="10" t="n">
        <v>2236326.7</v>
      </c>
      <c r="E41" s="27" t="n">
        <v>-120.901709</v>
      </c>
      <c r="F41" s="27" t="n">
        <v>39.297762</v>
      </c>
      <c r="G41" s="5" t="n">
        <v>3377</v>
      </c>
      <c r="H41" s="5" t="n">
        <v>31.3</v>
      </c>
      <c r="I41" s="5" t="n">
        <v>135</v>
      </c>
      <c r="J41" s="5" t="n">
        <v>12</v>
      </c>
      <c r="K41" s="5" t="n">
        <v>92.88921816422415</v>
      </c>
      <c r="L41" s="5" t="n">
        <v>600</v>
      </c>
      <c r="M41" s="5" t="n">
        <v>100</v>
      </c>
      <c r="N41" s="8" t="n">
        <v>14.04946476431026</v>
      </c>
      <c r="O41" s="5" t="n">
        <v>151.9503382465175</v>
      </c>
      <c r="P41" s="10" t="n">
        <v>2691.36</v>
      </c>
      <c r="Q41" s="10" t="n">
        <v>13036.47156</v>
      </c>
      <c r="R41" s="10" t="n">
        <v>11431.6292412</v>
      </c>
      <c r="S41" s="8" t="n">
        <v>4.848969745459395</v>
      </c>
      <c r="T41" s="5" t="n">
        <v>111</v>
      </c>
    </row>
    <row r="42">
      <c r="A42" s="13" t="inlineStr">
        <is>
          <t>U1-38</t>
        </is>
      </c>
      <c r="B42" s="12" t="n">
        <v>1</v>
      </c>
      <c r="C42" s="17" t="n">
        <v>6872463.9</v>
      </c>
      <c r="D42" s="17" t="n">
        <v>2237126.7</v>
      </c>
      <c r="E42" s="28" t="n">
        <v>-120.901675</v>
      </c>
      <c r="F42" s="28" t="n">
        <v>39.299958</v>
      </c>
      <c r="G42" s="12" t="n">
        <v>3527</v>
      </c>
      <c r="H42" s="12" t="n">
        <v>20.6</v>
      </c>
      <c r="I42" s="12" t="n">
        <v>96</v>
      </c>
      <c r="J42" s="12" t="n">
        <v>20</v>
      </c>
      <c r="K42" s="12" t="n">
        <v>261.6079010154968</v>
      </c>
      <c r="L42" s="12" t="n">
        <v>500</v>
      </c>
      <c r="M42" s="12" t="n">
        <v>300</v>
      </c>
      <c r="N42" s="15" t="n">
        <v>14.50032153074305</v>
      </c>
      <c r="O42" s="12" t="n">
        <v>455.4085318635786</v>
      </c>
      <c r="P42" s="17" t="n">
        <v>8159.040000000001</v>
      </c>
      <c r="Q42" s="17" t="n">
        <v>38589.97932</v>
      </c>
      <c r="R42" s="17" t="n">
        <v>36651.6694908</v>
      </c>
      <c r="S42" s="15" t="n">
        <v>0</v>
      </c>
      <c r="T42" s="12" t="n">
        <v>101.8</v>
      </c>
    </row>
    <row r="43">
      <c r="A43" s="6" t="inlineStr">
        <is>
          <t>U1-39</t>
        </is>
      </c>
      <c r="B43" s="5" t="n">
        <v>1</v>
      </c>
      <c r="C43" s="10" t="n">
        <v>6872463.9</v>
      </c>
      <c r="D43" s="10" t="n">
        <v>2237526.7</v>
      </c>
      <c r="E43" s="27" t="n">
        <v>-120.901658</v>
      </c>
      <c r="F43" s="27" t="n">
        <v>39.301057</v>
      </c>
      <c r="G43" s="5" t="n">
        <v>3547</v>
      </c>
      <c r="H43" s="5" t="n">
        <v>33.3</v>
      </c>
      <c r="I43" s="5" t="n">
        <v>93</v>
      </c>
      <c r="J43" s="5" t="n">
        <v>22</v>
      </c>
      <c r="K43" s="5" t="n">
        <v>353.1123087586636</v>
      </c>
      <c r="L43" s="5" t="n">
        <v>200</v>
      </c>
      <c r="M43" s="5" t="n">
        <v>320</v>
      </c>
      <c r="N43" s="8" t="n">
        <v>12.89023972396507</v>
      </c>
      <c r="O43" s="5" t="n">
        <v>485.127236646463</v>
      </c>
      <c r="P43" s="10" t="n">
        <v>9518.039999999999</v>
      </c>
      <c r="Q43" s="10" t="n">
        <v>46347.74424</v>
      </c>
      <c r="R43" s="10" t="n">
        <v>43929.58494959999</v>
      </c>
      <c r="S43" s="8" t="n">
        <v>37.91913673341869</v>
      </c>
      <c r="T43" s="5" t="n">
        <v>105.625</v>
      </c>
    </row>
    <row r="44">
      <c r="A44" s="13" t="inlineStr">
        <is>
          <t>U1-40</t>
        </is>
      </c>
      <c r="B44" s="12" t="n">
        <v>1</v>
      </c>
      <c r="C44" s="17" t="n">
        <v>6872863.9</v>
      </c>
      <c r="D44" s="17" t="n">
        <v>2237126.7</v>
      </c>
      <c r="E44" s="28" t="n">
        <v>-120.900262</v>
      </c>
      <c r="F44" s="28" t="n">
        <v>39.299945</v>
      </c>
      <c r="G44" s="12" t="n">
        <v>3388</v>
      </c>
      <c r="H44" s="12" t="n">
        <v>30.9</v>
      </c>
      <c r="I44" s="12" t="n">
        <v>113</v>
      </c>
      <c r="J44" s="12" t="n">
        <v>15</v>
      </c>
      <c r="K44" s="12" t="n">
        <v>290.7709173984564</v>
      </c>
      <c r="L44" s="12" t="n">
        <v>0</v>
      </c>
      <c r="M44" s="12" t="n">
        <v>260</v>
      </c>
      <c r="N44" s="15" t="n">
        <v>12.80423463319027</v>
      </c>
      <c r="O44" s="12" t="n">
        <v>387.6128928243315</v>
      </c>
      <c r="P44" s="17" t="n">
        <v>7785.719999999999</v>
      </c>
      <c r="Q44" s="17" t="n">
        <v>38440.53288</v>
      </c>
      <c r="R44" s="17" t="n">
        <v>36893.929752</v>
      </c>
      <c r="S44" s="15" t="n">
        <v>40.28233156675081</v>
      </c>
      <c r="T44" s="12" t="n">
        <v>102.8571428571429</v>
      </c>
    </row>
    <row r="45">
      <c r="A45" s="6" t="inlineStr">
        <is>
          <t>U1-41</t>
        </is>
      </c>
      <c r="B45" s="5" t="n">
        <v>1</v>
      </c>
      <c r="C45" s="10" t="n">
        <v>6872863.9</v>
      </c>
      <c r="D45" s="10" t="n">
        <v>2237526.7</v>
      </c>
      <c r="E45" s="27" t="n">
        <v>-120.900245</v>
      </c>
      <c r="F45" s="27" t="n">
        <v>39.301043</v>
      </c>
      <c r="G45" s="5" t="n">
        <v>3456</v>
      </c>
      <c r="H45" s="5" t="n">
        <v>15.6</v>
      </c>
      <c r="I45" s="5" t="n">
        <v>176</v>
      </c>
      <c r="J45" s="5" t="n">
        <v>19</v>
      </c>
      <c r="K45" s="5" t="n">
        <v>526.8095181172905</v>
      </c>
      <c r="L45" s="5" t="n">
        <v>200</v>
      </c>
      <c r="M45" s="5" t="n">
        <v>300</v>
      </c>
      <c r="N45" s="8" t="n">
        <v>10.2182436505598</v>
      </c>
      <c r="O45" s="5" t="n">
        <v>506.7377070078048</v>
      </c>
      <c r="P45" s="10" t="n">
        <v>5339.88</v>
      </c>
      <c r="Q45" s="10" t="n">
        <v>25795.6398</v>
      </c>
      <c r="R45" s="10" t="n">
        <v>24458.5761336</v>
      </c>
      <c r="S45" s="8" t="n">
        <v>85.99011456758436</v>
      </c>
      <c r="T45" s="5" t="n">
        <v>100.5</v>
      </c>
    </row>
    <row r="46">
      <c r="A46" s="13" t="inlineStr">
        <is>
          <t>U2-01</t>
        </is>
      </c>
      <c r="B46" s="12" t="n">
        <v>2</v>
      </c>
      <c r="C46" s="17" t="n">
        <v>6872463.9</v>
      </c>
      <c r="D46" s="17" t="n">
        <v>2235126.7</v>
      </c>
      <c r="E46" s="28" t="n">
        <v>-120.90176</v>
      </c>
      <c r="F46" s="28" t="n">
        <v>39.294468</v>
      </c>
      <c r="G46" s="12" t="n">
        <v>3267</v>
      </c>
      <c r="H46" s="12" t="n">
        <v>18.2</v>
      </c>
      <c r="I46" s="12" t="n">
        <v>215</v>
      </c>
      <c r="J46" s="12" t="n">
        <v>7</v>
      </c>
      <c r="K46" s="12" t="n">
        <v>60.14818569838873</v>
      </c>
      <c r="L46" s="12" t="n">
        <v>100</v>
      </c>
      <c r="M46" s="12" t="n">
        <v>100</v>
      </c>
      <c r="N46" s="15" t="n">
        <v>17.45947446811578</v>
      </c>
      <c r="O46" s="12" t="n">
        <v>135.8324611430647</v>
      </c>
      <c r="P46" s="17" t="n">
        <v>3825.360000000001</v>
      </c>
      <c r="Q46" s="17" t="n">
        <v>19814.36688</v>
      </c>
      <c r="R46" s="17" t="n">
        <v>18910.286136</v>
      </c>
      <c r="S46" s="15" t="n">
        <v>16.29792608890519</v>
      </c>
      <c r="T46" s="12" t="n">
        <v>125.3333333333333</v>
      </c>
    </row>
    <row r="47">
      <c r="A47" s="6" t="inlineStr">
        <is>
          <t>U2-02</t>
        </is>
      </c>
      <c r="B47" s="5" t="n">
        <v>2</v>
      </c>
      <c r="C47" s="10" t="n">
        <v>6872463.9</v>
      </c>
      <c r="D47" s="10" t="n">
        <v>2235526.7</v>
      </c>
      <c r="E47" s="27" t="n">
        <v>-120.901743</v>
      </c>
      <c r="F47" s="27" t="n">
        <v>39.295566</v>
      </c>
      <c r="G47" s="5" t="n">
        <v>3278</v>
      </c>
      <c r="H47" s="5" t="n">
        <v>9</v>
      </c>
      <c r="I47" s="5" t="n">
        <v>261</v>
      </c>
      <c r="J47" s="5" t="n">
        <v>8</v>
      </c>
      <c r="K47" s="5" t="n">
        <v>391.9611005822142</v>
      </c>
      <c r="L47" s="5" t="n">
        <v>100</v>
      </c>
      <c r="M47" s="5" t="n">
        <v>140</v>
      </c>
      <c r="N47" s="8" t="n">
        <v>8.092542088690648</v>
      </c>
      <c r="O47" s="5" t="n">
        <v>242.0563576025057</v>
      </c>
      <c r="P47" s="10" t="n">
        <v>2835</v>
      </c>
      <c r="Q47" s="10" t="n">
        <v>14630.868</v>
      </c>
      <c r="R47" s="10" t="n">
        <v>13909.777434</v>
      </c>
      <c r="S47" s="8" t="n">
        <v>0</v>
      </c>
      <c r="T47" s="5" t="n">
        <v>96.66666666666667</v>
      </c>
    </row>
    <row r="48">
      <c r="A48" s="13" t="inlineStr">
        <is>
          <t>U2-03</t>
        </is>
      </c>
      <c r="B48" s="12" t="n">
        <v>2</v>
      </c>
      <c r="C48" s="17" t="n">
        <v>6872863.9</v>
      </c>
      <c r="D48" s="17" t="n">
        <v>2234726.7</v>
      </c>
      <c r="E48" s="28" t="n">
        <v>-120.900364</v>
      </c>
      <c r="F48" s="28" t="n">
        <v>39.293356</v>
      </c>
      <c r="G48" s="12" t="n">
        <v>3246</v>
      </c>
      <c r="H48" s="12" t="n">
        <v>28.6</v>
      </c>
      <c r="I48" s="12" t="n">
        <v>282</v>
      </c>
      <c r="J48" s="12" t="n">
        <v>29</v>
      </c>
      <c r="K48" s="12" t="n">
        <v>574.0068127714733</v>
      </c>
      <c r="L48" s="12" t="n">
        <v>300</v>
      </c>
      <c r="M48" s="12" t="n">
        <v>460</v>
      </c>
      <c r="N48" s="15" t="n">
        <v>12.12168029734372</v>
      </c>
      <c r="O48" s="12" t="n">
        <v>735.1937237749969</v>
      </c>
      <c r="P48" s="17" t="n">
        <v>10688.04</v>
      </c>
      <c r="Q48" s="17" t="n">
        <v>49358.75148</v>
      </c>
      <c r="R48" s="17" t="n">
        <v>47259.9696744</v>
      </c>
      <c r="S48" s="15" t="n">
        <v>111.6761001471002</v>
      </c>
      <c r="T48" s="12" t="n">
        <v>98</v>
      </c>
    </row>
    <row r="49">
      <c r="A49" s="6" t="inlineStr">
        <is>
          <t>U2-04</t>
        </is>
      </c>
      <c r="B49" s="5" t="n">
        <v>2</v>
      </c>
      <c r="C49" s="10" t="n">
        <v>6872863.9</v>
      </c>
      <c r="D49" s="10" t="n">
        <v>2235126.7</v>
      </c>
      <c r="E49" s="27" t="n">
        <v>-120.900347</v>
      </c>
      <c r="F49" s="27" t="n">
        <v>39.294454</v>
      </c>
      <c r="G49" s="5" t="n">
        <v>3306</v>
      </c>
      <c r="H49" s="5" t="n">
        <v>9.199999999999999</v>
      </c>
      <c r="I49" s="5" t="n">
        <v>209</v>
      </c>
      <c r="J49" s="5" t="n">
        <v>12</v>
      </c>
      <c r="K49" s="5" t="n">
        <v>204.6019541890267</v>
      </c>
      <c r="L49" s="5" t="n">
        <v>0</v>
      </c>
      <c r="M49" s="5" t="n">
        <v>200</v>
      </c>
      <c r="N49" s="8" t="n">
        <v>13.38759428060332</v>
      </c>
      <c r="O49" s="5" t="n">
        <v>304.2389850868663</v>
      </c>
      <c r="P49" s="10" t="n">
        <v>4849.2</v>
      </c>
      <c r="Q49" s="10" t="n">
        <v>24871.94208</v>
      </c>
      <c r="R49" s="10" t="n">
        <v>23305.0281192</v>
      </c>
      <c r="S49" s="8" t="n">
        <v>28.44675762589233</v>
      </c>
      <c r="T49" s="5" t="n">
        <v>106.8</v>
      </c>
    </row>
    <row r="50">
      <c r="A50" s="13" t="inlineStr">
        <is>
          <t>U2-05</t>
        </is>
      </c>
      <c r="B50" s="12" t="n">
        <v>2</v>
      </c>
      <c r="C50" s="17" t="n">
        <v>6872863.9</v>
      </c>
      <c r="D50" s="17" t="n">
        <v>2235526.7</v>
      </c>
      <c r="E50" s="28" t="n">
        <v>-120.90033</v>
      </c>
      <c r="F50" s="28" t="n">
        <v>39.295552</v>
      </c>
      <c r="G50" s="12" t="n">
        <v>3318</v>
      </c>
      <c r="H50" s="12" t="n">
        <v>13</v>
      </c>
      <c r="I50" s="12" t="n">
        <v>235</v>
      </c>
      <c r="J50" s="12" t="n">
        <v>15</v>
      </c>
      <c r="K50" s="12" t="n">
        <v>297.7661387221546</v>
      </c>
      <c r="L50" s="12" t="n">
        <v>200</v>
      </c>
      <c r="M50" s="12" t="n">
        <v>240</v>
      </c>
      <c r="N50" s="15" t="n">
        <v>12.15655164430646</v>
      </c>
      <c r="O50" s="12" t="n">
        <v>366.0188999872598</v>
      </c>
      <c r="P50" s="17" t="n">
        <v>6592.32</v>
      </c>
      <c r="Q50" s="17" t="n">
        <v>35444.8332</v>
      </c>
      <c r="R50" s="17" t="n">
        <v>33124.0267512</v>
      </c>
      <c r="S50" s="15" t="n">
        <v>4.390552519729969</v>
      </c>
      <c r="T50" s="12" t="n">
        <v>117</v>
      </c>
    </row>
    <row r="51">
      <c r="A51" s="6" t="inlineStr">
        <is>
          <t>U2-06</t>
        </is>
      </c>
      <c r="B51" s="5" t="n">
        <v>2</v>
      </c>
      <c r="C51" s="10" t="n">
        <v>6872863.9</v>
      </c>
      <c r="D51" s="10" t="n">
        <v>2235926.7</v>
      </c>
      <c r="E51" s="27" t="n">
        <v>-120.900313</v>
      </c>
      <c r="F51" s="27" t="n">
        <v>39.296651</v>
      </c>
      <c r="G51" s="5" t="n">
        <v>3329</v>
      </c>
      <c r="H51" s="5" t="n">
        <v>5</v>
      </c>
      <c r="I51" s="5" t="n">
        <v>295</v>
      </c>
      <c r="J51" s="5" t="n">
        <v>10</v>
      </c>
      <c r="K51" s="5" t="n">
        <v>148.0882438976457</v>
      </c>
      <c r="L51" s="5" t="n">
        <v>200</v>
      </c>
      <c r="M51" s="5" t="n">
        <v>160</v>
      </c>
      <c r="N51" s="8" t="n">
        <v>14.07479678033436</v>
      </c>
      <c r="O51" s="5" t="n">
        <v>250.7785063608473</v>
      </c>
      <c r="P51" s="10" t="n">
        <v>4124.16</v>
      </c>
      <c r="Q51" s="10" t="n">
        <v>18502.00308</v>
      </c>
      <c r="R51" s="10" t="n">
        <v>17399.597202</v>
      </c>
      <c r="S51" s="8" t="n">
        <v>0</v>
      </c>
      <c r="T51" s="5" t="n">
        <v>111</v>
      </c>
    </row>
    <row r="52">
      <c r="A52" s="13" t="inlineStr">
        <is>
          <t>U2-07</t>
        </is>
      </c>
      <c r="B52" s="12" t="n">
        <v>2</v>
      </c>
      <c r="C52" s="17" t="n">
        <v>6872863.9</v>
      </c>
      <c r="D52" s="17" t="n">
        <v>2236326.7</v>
      </c>
      <c r="E52" s="28" t="n">
        <v>-120.900296</v>
      </c>
      <c r="F52" s="28" t="n">
        <v>39.297749</v>
      </c>
      <c r="G52" s="12" t="n">
        <v>3344</v>
      </c>
      <c r="H52" s="12" t="n">
        <v>24.6</v>
      </c>
      <c r="I52" s="12" t="n">
        <v>277</v>
      </c>
      <c r="J52" s="12" t="n">
        <v>14</v>
      </c>
      <c r="K52" s="12" t="n">
        <v>304.5504301202631</v>
      </c>
      <c r="L52" s="12" t="n">
        <v>0</v>
      </c>
      <c r="M52" s="12" t="n">
        <v>280</v>
      </c>
      <c r="N52" s="15" t="n">
        <v>12.98350173367987</v>
      </c>
      <c r="O52" s="12" t="n">
        <v>431.8117517046875</v>
      </c>
      <c r="P52" s="17" t="n">
        <v>7360.2</v>
      </c>
      <c r="Q52" s="17" t="n">
        <v>34773.54732</v>
      </c>
      <c r="R52" s="17" t="n">
        <v>32084.4567132</v>
      </c>
      <c r="S52" s="15" t="n">
        <v>0</v>
      </c>
      <c r="T52" s="12" t="n">
        <v>98.33333333333333</v>
      </c>
    </row>
    <row r="53">
      <c r="A53" s="6" t="inlineStr">
        <is>
          <t>U2-08</t>
        </is>
      </c>
      <c r="B53" s="5" t="n">
        <v>2</v>
      </c>
      <c r="C53" s="10" t="n">
        <v>6873263.9</v>
      </c>
      <c r="D53" s="10" t="n">
        <v>2234726.7</v>
      </c>
      <c r="E53" s="27" t="n">
        <v>-120.898951</v>
      </c>
      <c r="F53" s="27" t="n">
        <v>39.293343</v>
      </c>
      <c r="G53" s="5" t="n">
        <v>3253</v>
      </c>
      <c r="H53" s="5" t="n">
        <v>41.5</v>
      </c>
      <c r="I53" s="5" t="n">
        <v>171</v>
      </c>
      <c r="J53" s="5" t="n">
        <v>16</v>
      </c>
      <c r="K53" s="5" t="n">
        <v>236.159154123942</v>
      </c>
      <c r="L53" s="5" t="n">
        <v>200</v>
      </c>
      <c r="M53" s="5" t="n">
        <v>260</v>
      </c>
      <c r="N53" s="8" t="n">
        <v>14.20779607021188</v>
      </c>
      <c r="O53" s="5" t="n">
        <v>384.6852753711977</v>
      </c>
      <c r="P53" s="10" t="n">
        <v>6548.039999999999</v>
      </c>
      <c r="Q53" s="10" t="n">
        <v>33330.78396</v>
      </c>
      <c r="R53" s="10" t="n">
        <v>30835.78511399999</v>
      </c>
      <c r="S53" s="8" t="n">
        <v>16.74138682434107</v>
      </c>
      <c r="T53" s="5" t="n">
        <v>94.14285714285714</v>
      </c>
    </row>
    <row r="54">
      <c r="A54" s="13" t="inlineStr">
        <is>
          <t>U2-09</t>
        </is>
      </c>
      <c r="B54" s="12" t="n">
        <v>2</v>
      </c>
      <c r="C54" s="17" t="n">
        <v>6873263.9</v>
      </c>
      <c r="D54" s="17" t="n">
        <v>2235126.7</v>
      </c>
      <c r="E54" s="28" t="n">
        <v>-120.898934</v>
      </c>
      <c r="F54" s="28" t="n">
        <v>39.294441</v>
      </c>
      <c r="G54" s="12" t="n">
        <v>3329</v>
      </c>
      <c r="H54" s="12" t="n">
        <v>10.3</v>
      </c>
      <c r="I54" s="12" t="n">
        <v>208</v>
      </c>
      <c r="J54" s="12" t="n">
        <v>15</v>
      </c>
      <c r="K54" s="12" t="n">
        <v>388.7124711338183</v>
      </c>
      <c r="L54" s="12" t="n">
        <v>200</v>
      </c>
      <c r="M54" s="12" t="n">
        <v>260</v>
      </c>
      <c r="N54" s="15" t="n">
        <v>11.07426393651831</v>
      </c>
      <c r="O54" s="12" t="n">
        <v>412.7605559067129</v>
      </c>
      <c r="P54" s="17" t="n">
        <v>6426.000000000001</v>
      </c>
      <c r="Q54" s="17" t="n">
        <v>32457.47652</v>
      </c>
      <c r="R54" s="17" t="n">
        <v>29996.4469644</v>
      </c>
      <c r="S54" s="15" t="n">
        <v>0</v>
      </c>
      <c r="T54" s="12" t="n">
        <v>106.8333333333333</v>
      </c>
    </row>
    <row r="55">
      <c r="A55" s="6" t="inlineStr">
        <is>
          <t>U2-10</t>
        </is>
      </c>
      <c r="B55" s="5" t="n">
        <v>2</v>
      </c>
      <c r="C55" s="10" t="n">
        <v>6873263.9</v>
      </c>
      <c r="D55" s="10" t="n">
        <v>2235526.7</v>
      </c>
      <c r="E55" s="27" t="n">
        <v>-120.898917</v>
      </c>
      <c r="F55" s="27" t="n">
        <v>39.295539</v>
      </c>
      <c r="G55" s="5" t="n">
        <v>3346</v>
      </c>
      <c r="H55" s="5" t="n">
        <v>4.5</v>
      </c>
      <c r="I55" s="5" t="n">
        <v>200</v>
      </c>
      <c r="J55" s="5" t="n">
        <v>16</v>
      </c>
      <c r="K55" s="5" t="n">
        <v>389.6366328687569</v>
      </c>
      <c r="L55" s="5" t="n">
        <v>300</v>
      </c>
      <c r="M55" s="5" t="n">
        <v>260</v>
      </c>
      <c r="N55" s="8" t="n">
        <v>11.06112286359016</v>
      </c>
      <c r="O55" s="5" t="n">
        <v>433.2614768857125</v>
      </c>
      <c r="P55" s="10" t="n">
        <v>4487.76</v>
      </c>
      <c r="Q55" s="10" t="n">
        <v>21097.1214</v>
      </c>
      <c r="R55" s="10" t="n">
        <v>19979.3479932</v>
      </c>
      <c r="S55" s="8" t="n">
        <v>0</v>
      </c>
      <c r="T55" s="5" t="n">
        <v>99.66666666666667</v>
      </c>
    </row>
    <row r="56">
      <c r="A56" s="13" t="inlineStr">
        <is>
          <t>U2-11</t>
        </is>
      </c>
      <c r="B56" s="12" t="n">
        <v>2</v>
      </c>
      <c r="C56" s="17" t="n">
        <v>6873263.9</v>
      </c>
      <c r="D56" s="17" t="n">
        <v>2235926.7</v>
      </c>
      <c r="E56" s="28" t="n">
        <v>-120.8989</v>
      </c>
      <c r="F56" s="28" t="n">
        <v>39.296637</v>
      </c>
      <c r="G56" s="12" t="n">
        <v>3359</v>
      </c>
      <c r="H56" s="12" t="n">
        <v>24.6</v>
      </c>
      <c r="I56" s="12" t="n">
        <v>251</v>
      </c>
      <c r="J56" s="12" t="n">
        <v>12</v>
      </c>
      <c r="K56" s="12" t="n">
        <v>155.1660328250185</v>
      </c>
      <c r="L56" s="12" t="n">
        <v>0</v>
      </c>
      <c r="M56" s="12" t="n">
        <v>240</v>
      </c>
      <c r="N56" s="15" t="n">
        <v>16.84029619412599</v>
      </c>
      <c r="O56" s="12" t="n">
        <v>330.9078879581438</v>
      </c>
      <c r="P56" s="17" t="n">
        <v>7866</v>
      </c>
      <c r="Q56" s="17" t="n">
        <v>41979.00996</v>
      </c>
      <c r="R56" s="17" t="n">
        <v>38704.677282</v>
      </c>
      <c r="S56" s="15" t="n">
        <v>0</v>
      </c>
      <c r="T56" s="12" t="n">
        <v>117.5</v>
      </c>
    </row>
    <row r="57">
      <c r="A57" s="6" t="inlineStr">
        <is>
          <t>U2-12</t>
        </is>
      </c>
      <c r="B57" s="5" t="n">
        <v>2</v>
      </c>
      <c r="C57" s="10" t="n">
        <v>6873263.9</v>
      </c>
      <c r="D57" s="10" t="n">
        <v>2236326.7</v>
      </c>
      <c r="E57" s="27" t="n">
        <v>-120.898882</v>
      </c>
      <c r="F57" s="27" t="n">
        <v>39.297735</v>
      </c>
      <c r="G57" s="5" t="n">
        <v>3407</v>
      </c>
      <c r="H57" s="5" t="n">
        <v>17.9</v>
      </c>
      <c r="I57" s="5" t="n">
        <v>262</v>
      </c>
      <c r="J57" s="5" t="n">
        <v>11</v>
      </c>
      <c r="K57" s="5" t="n">
        <v>113.2356336645644</v>
      </c>
      <c r="L57" s="5" t="n">
        <v>100</v>
      </c>
      <c r="M57" s="5" t="n">
        <v>200</v>
      </c>
      <c r="N57" s="8" t="n">
        <v>17.99558103902556</v>
      </c>
      <c r="O57" s="5" t="n">
        <v>273.9604710886657</v>
      </c>
      <c r="P57" s="10" t="n">
        <v>6426</v>
      </c>
      <c r="Q57" s="10" t="n">
        <v>33876.83628</v>
      </c>
      <c r="R57" s="10" t="n">
        <v>31903.455906</v>
      </c>
      <c r="S57" s="8" t="n">
        <v>0</v>
      </c>
      <c r="T57" s="5" t="n">
        <v>116</v>
      </c>
    </row>
    <row r="58">
      <c r="A58" s="13" t="inlineStr">
        <is>
          <t>U2-13</t>
        </is>
      </c>
      <c r="B58" s="12" t="n">
        <v>2</v>
      </c>
      <c r="C58" s="17" t="n">
        <v>6873263.9</v>
      </c>
      <c r="D58" s="17" t="n">
        <v>2236726.7</v>
      </c>
      <c r="E58" s="28" t="n">
        <v>-120.898865</v>
      </c>
      <c r="F58" s="28" t="n">
        <v>39.298834</v>
      </c>
      <c r="G58" s="12" t="n">
        <v>3410</v>
      </c>
      <c r="H58" s="12" t="n">
        <v>7.9</v>
      </c>
      <c r="I58" s="12" t="n">
        <v>229</v>
      </c>
      <c r="J58" s="12" t="n">
        <v>17</v>
      </c>
      <c r="K58" s="12" t="n">
        <v>744.7823027577604</v>
      </c>
      <c r="L58" s="12" t="n">
        <v>200</v>
      </c>
      <c r="M58" s="12" t="n">
        <v>300</v>
      </c>
      <c r="N58" s="15" t="n">
        <v>8.593862213052059</v>
      </c>
      <c r="O58" s="12" t="n">
        <v>529.307261294815</v>
      </c>
      <c r="P58" s="17" t="n">
        <v>5221.8</v>
      </c>
      <c r="Q58" s="17" t="n">
        <v>25465.4874</v>
      </c>
      <c r="R58" s="17" t="n">
        <v>23846.5280556</v>
      </c>
      <c r="S58" s="15" t="n">
        <v>0</v>
      </c>
      <c r="T58" s="12" t="n">
        <v>107</v>
      </c>
    </row>
    <row r="59">
      <c r="A59" s="6" t="inlineStr">
        <is>
          <t>U2-14</t>
        </is>
      </c>
      <c r="B59" s="5" t="n">
        <v>2</v>
      </c>
      <c r="C59" s="10" t="n">
        <v>6873263.9</v>
      </c>
      <c r="D59" s="10" t="n">
        <v>2237126.7</v>
      </c>
      <c r="E59" s="27" t="n">
        <v>-120.898848</v>
      </c>
      <c r="F59" s="27" t="n">
        <v>39.299932</v>
      </c>
      <c r="G59" s="5" t="n">
        <v>3416</v>
      </c>
      <c r="H59" s="5" t="n">
        <v>11.6</v>
      </c>
      <c r="I59" s="5" t="n">
        <v>236</v>
      </c>
      <c r="J59" s="5" t="n">
        <v>22</v>
      </c>
      <c r="K59" s="5" t="n">
        <v>308.9244035037174</v>
      </c>
      <c r="L59" s="5" t="n">
        <v>500</v>
      </c>
      <c r="M59" s="5" t="n">
        <v>340</v>
      </c>
      <c r="N59" s="8" t="n">
        <v>14.20547575788928</v>
      </c>
      <c r="O59" s="5" t="n">
        <v>502.8634836693458</v>
      </c>
      <c r="P59" s="10" t="n">
        <v>10478.16</v>
      </c>
      <c r="Q59" s="10" t="n">
        <v>52624.04111999999</v>
      </c>
      <c r="R59" s="10" t="n">
        <v>50305.6275624</v>
      </c>
      <c r="S59" s="8" t="n">
        <v>0</v>
      </c>
      <c r="T59" s="5" t="n">
        <v>109.2</v>
      </c>
    </row>
    <row r="60">
      <c r="A60" s="13" t="inlineStr">
        <is>
          <t>U2-15</t>
        </is>
      </c>
      <c r="B60" s="12" t="n">
        <v>2</v>
      </c>
      <c r="C60" s="17" t="n">
        <v>6873263.9</v>
      </c>
      <c r="D60" s="17" t="n">
        <v>2237526.7</v>
      </c>
      <c r="E60" s="28" t="n">
        <v>-120.898831</v>
      </c>
      <c r="F60" s="28" t="n">
        <v>39.30103</v>
      </c>
      <c r="G60" s="12" t="n">
        <v>3455</v>
      </c>
      <c r="H60" s="12" t="n">
        <v>12.4</v>
      </c>
      <c r="I60" s="12" t="n">
        <v>243</v>
      </c>
      <c r="J60" s="12" t="n">
        <v>10</v>
      </c>
      <c r="K60" s="12" t="n">
        <v>181.6866690238758</v>
      </c>
      <c r="L60" s="12" t="n">
        <v>100</v>
      </c>
      <c r="M60" s="12" t="n">
        <v>180</v>
      </c>
      <c r="N60" s="15" t="n">
        <v>13.47774249009556</v>
      </c>
      <c r="O60" s="12" t="n">
        <v>273.2225755605259</v>
      </c>
      <c r="P60" s="17" t="n">
        <v>5095.440000000001</v>
      </c>
      <c r="Q60" s="17" t="n">
        <v>24704.08416</v>
      </c>
      <c r="R60" s="17" t="n">
        <v>23152.8343032</v>
      </c>
      <c r="S60" s="15" t="n">
        <v>0</v>
      </c>
      <c r="T60" s="12" t="n">
        <v>103.25</v>
      </c>
    </row>
    <row r="61">
      <c r="A61" s="6" t="inlineStr">
        <is>
          <t>U2-16</t>
        </is>
      </c>
      <c r="B61" s="5" t="n">
        <v>2</v>
      </c>
      <c r="C61" s="10" t="n">
        <v>6873663.9</v>
      </c>
      <c r="D61" s="10" t="n">
        <v>2235126.7</v>
      </c>
      <c r="E61" s="27" t="n">
        <v>-120.897521</v>
      </c>
      <c r="F61" s="27" t="n">
        <v>39.294428</v>
      </c>
      <c r="G61" s="5" t="n">
        <v>3344</v>
      </c>
      <c r="H61" s="5" t="n">
        <v>20</v>
      </c>
      <c r="I61" s="5" t="n">
        <v>161</v>
      </c>
      <c r="J61" s="5" t="n">
        <v>20</v>
      </c>
      <c r="K61" s="5" t="n">
        <v>368.1776957806788</v>
      </c>
      <c r="L61" s="5" t="n">
        <v>300</v>
      </c>
      <c r="M61" s="5" t="n">
        <v>320</v>
      </c>
      <c r="N61" s="8" t="n">
        <v>12.6237587043361</v>
      </c>
      <c r="O61" s="5" t="n">
        <v>518.6813605340444</v>
      </c>
      <c r="P61" s="10" t="n">
        <v>6442.559999999999</v>
      </c>
      <c r="Q61" s="10" t="n">
        <v>28482.37308</v>
      </c>
      <c r="R61" s="10" t="n">
        <v>27319.520088</v>
      </c>
      <c r="S61" s="8" t="n">
        <v>12.11201403753358</v>
      </c>
      <c r="T61" s="5" t="n">
        <v>85.5</v>
      </c>
    </row>
    <row r="62">
      <c r="A62" s="13" t="inlineStr">
        <is>
          <t>U2-17</t>
        </is>
      </c>
      <c r="B62" s="12" t="n">
        <v>2</v>
      </c>
      <c r="C62" s="17" t="n">
        <v>6873663.9</v>
      </c>
      <c r="D62" s="17" t="n">
        <v>2235526.7</v>
      </c>
      <c r="E62" s="28" t="n">
        <v>-120.897503</v>
      </c>
      <c r="F62" s="28" t="n">
        <v>39.295526</v>
      </c>
      <c r="G62" s="12" t="n">
        <v>3374</v>
      </c>
      <c r="H62" s="12" t="n">
        <v>8</v>
      </c>
      <c r="I62" s="12" t="n">
        <v>284</v>
      </c>
      <c r="J62" s="12" t="n">
        <v>13</v>
      </c>
      <c r="K62" s="12" t="n">
        <v>255.9768558356227</v>
      </c>
      <c r="L62" s="12" t="n">
        <v>300</v>
      </c>
      <c r="M62" s="12" t="n">
        <v>180</v>
      </c>
      <c r="N62" s="15" t="n">
        <v>11.35476984121421</v>
      </c>
      <c r="O62" s="12" t="n">
        <v>283.3270684152979</v>
      </c>
      <c r="P62" s="17" t="n">
        <v>4649.4</v>
      </c>
      <c r="Q62" s="17" t="n">
        <v>23728.17888</v>
      </c>
      <c r="R62" s="17" t="n">
        <v>23130.9635256</v>
      </c>
      <c r="S62" s="15" t="n">
        <v>11.44481561125954</v>
      </c>
      <c r="T62" s="12" t="n">
        <v>110.75</v>
      </c>
    </row>
    <row r="63">
      <c r="A63" s="6" t="inlineStr">
        <is>
          <t>U2-18</t>
        </is>
      </c>
      <c r="B63" s="5" t="n">
        <v>2</v>
      </c>
      <c r="C63" s="10" t="n">
        <v>6873663.9</v>
      </c>
      <c r="D63" s="10" t="n">
        <v>2235926.7</v>
      </c>
      <c r="E63" s="27" t="n">
        <v>-120.897486</v>
      </c>
      <c r="F63" s="27" t="n">
        <v>39.296624</v>
      </c>
      <c r="G63" s="5" t="n">
        <v>3404</v>
      </c>
      <c r="H63" s="5" t="n">
        <v>16.7</v>
      </c>
      <c r="I63" s="5" t="n">
        <v>218</v>
      </c>
      <c r="J63" s="5" t="n">
        <v>13</v>
      </c>
      <c r="K63" s="5" t="n">
        <v>282.1066329673835</v>
      </c>
      <c r="L63" s="5" t="n">
        <v>200</v>
      </c>
      <c r="M63" s="5" t="n">
        <v>160</v>
      </c>
      <c r="N63" s="8" t="n">
        <v>10.19754841182244</v>
      </c>
      <c r="O63" s="5" t="n">
        <v>266.5234663008949</v>
      </c>
      <c r="P63" s="10" t="n">
        <v>2987.28</v>
      </c>
      <c r="Q63" s="10" t="n">
        <v>14669.62488</v>
      </c>
      <c r="R63" s="10" t="n">
        <v>14059.4990328</v>
      </c>
      <c r="S63" s="8" t="n">
        <v>30.81848155318196</v>
      </c>
      <c r="T63" s="5" t="n">
        <v>87.66666666666667</v>
      </c>
    </row>
    <row r="64">
      <c r="A64" s="13" t="inlineStr">
        <is>
          <t>U2-19</t>
        </is>
      </c>
      <c r="B64" s="12" t="n">
        <v>2</v>
      </c>
      <c r="C64" s="17" t="n">
        <v>6873663.9</v>
      </c>
      <c r="D64" s="17" t="n">
        <v>2236326.7</v>
      </c>
      <c r="E64" s="28" t="n">
        <v>-120.897469</v>
      </c>
      <c r="F64" s="28" t="n">
        <v>39.297722</v>
      </c>
      <c r="G64" s="12" t="n">
        <v>3427</v>
      </c>
      <c r="H64" s="12" t="n">
        <v>15.8</v>
      </c>
      <c r="I64" s="12" t="n">
        <v>264</v>
      </c>
      <c r="J64" s="12" t="n">
        <v>8</v>
      </c>
      <c r="K64" s="12" t="n">
        <v>251.1551202957581</v>
      </c>
      <c r="L64" s="12" t="n">
        <v>0</v>
      </c>
      <c r="M64" s="12" t="n">
        <v>160</v>
      </c>
      <c r="N64" s="15" t="n">
        <v>10.80765334483654</v>
      </c>
      <c r="O64" s="12" t="n">
        <v>253.0237388893257</v>
      </c>
      <c r="P64" s="17" t="n">
        <v>4294.08</v>
      </c>
      <c r="Q64" s="17" t="n">
        <v>22687.13664</v>
      </c>
      <c r="R64" s="17" t="n">
        <v>19998.5726304</v>
      </c>
      <c r="S64" s="15" t="n">
        <v>0</v>
      </c>
      <c r="T64" s="12" t="n">
        <v>118.75</v>
      </c>
    </row>
    <row r="65">
      <c r="A65" s="6" t="inlineStr">
        <is>
          <t>U2-20</t>
        </is>
      </c>
      <c r="B65" s="5" t="n">
        <v>2</v>
      </c>
      <c r="C65" s="10" t="n">
        <v>6873663.9</v>
      </c>
      <c r="D65" s="10" t="n">
        <v>2236726.7</v>
      </c>
      <c r="E65" s="27" t="n">
        <v>-120.897452</v>
      </c>
      <c r="F65" s="27" t="n">
        <v>39.29882</v>
      </c>
      <c r="G65" s="5" t="n">
        <v>3462</v>
      </c>
      <c r="H65" s="5" t="n">
        <v>9.800000000000001</v>
      </c>
      <c r="I65" s="5" t="n">
        <v>226</v>
      </c>
      <c r="J65" s="5" t="n">
        <v>14</v>
      </c>
      <c r="K65" s="5" t="n">
        <v>429.1211808739955</v>
      </c>
      <c r="L65" s="5" t="n">
        <v>300</v>
      </c>
      <c r="M65" s="5" t="n">
        <v>160</v>
      </c>
      <c r="N65" s="8" t="n">
        <v>8.268228093345675</v>
      </c>
      <c r="O65" s="5" t="n">
        <v>293.8061374473606</v>
      </c>
      <c r="P65" s="10" t="n">
        <v>2221.2</v>
      </c>
      <c r="Q65" s="10" t="n">
        <v>9464.7564</v>
      </c>
      <c r="R65" s="10" t="n">
        <v>8930.744852400001</v>
      </c>
      <c r="S65" s="8" t="n">
        <v>37.1625754718672</v>
      </c>
      <c r="T65" s="5" t="n">
        <v>81</v>
      </c>
    </row>
    <row r="66">
      <c r="A66" s="13" t="inlineStr">
        <is>
          <t>U2-21</t>
        </is>
      </c>
      <c r="B66" s="12" t="n">
        <v>2</v>
      </c>
      <c r="C66" s="17" t="n">
        <v>6873663.9</v>
      </c>
      <c r="D66" s="17" t="n">
        <v>2237126.7</v>
      </c>
      <c r="E66" s="28" t="n">
        <v>-120.897435</v>
      </c>
      <c r="F66" s="28" t="n">
        <v>39.299919</v>
      </c>
      <c r="G66" s="12" t="n">
        <v>3485</v>
      </c>
      <c r="H66" s="12" t="n">
        <v>16.6</v>
      </c>
      <c r="I66" s="12" t="n">
        <v>237</v>
      </c>
      <c r="J66" s="12" t="n">
        <v>11</v>
      </c>
      <c r="K66" s="12" t="n">
        <v>272.151714977897</v>
      </c>
      <c r="L66" s="12" t="n">
        <v>100</v>
      </c>
      <c r="M66" s="12" t="n">
        <v>200</v>
      </c>
      <c r="N66" s="15" t="n">
        <v>11.60785283176045</v>
      </c>
      <c r="O66" s="12" t="n">
        <v>318.5861574944346</v>
      </c>
      <c r="P66" s="17" t="n">
        <v>4809.240000000001</v>
      </c>
      <c r="Q66" s="17" t="n">
        <v>22499.72532</v>
      </c>
      <c r="R66" s="17" t="n">
        <v>21259.5800184</v>
      </c>
      <c r="S66" s="15" t="n">
        <v>0</v>
      </c>
      <c r="T66" s="12" t="n">
        <v>91.66666666666667</v>
      </c>
    </row>
    <row r="67">
      <c r="A67" s="6" t="inlineStr">
        <is>
          <t>U2-22</t>
        </is>
      </c>
      <c r="B67" s="5" t="n">
        <v>2</v>
      </c>
      <c r="C67" s="10" t="n">
        <v>6873663.9</v>
      </c>
      <c r="D67" s="10" t="n">
        <v>2237526.7</v>
      </c>
      <c r="E67" s="27" t="n">
        <v>-120.897418</v>
      </c>
      <c r="F67" s="27" t="n">
        <v>39.301017</v>
      </c>
      <c r="G67" s="5" t="n">
        <v>3494</v>
      </c>
      <c r="H67" s="5" t="n">
        <v>18.2</v>
      </c>
      <c r="I67" s="5" t="n">
        <v>279</v>
      </c>
      <c r="J67" s="5" t="n">
        <v>9</v>
      </c>
      <c r="K67" s="5" t="n">
        <v>28.18701281616088</v>
      </c>
      <c r="L67" s="5" t="n">
        <v>300</v>
      </c>
      <c r="M67" s="5" t="n">
        <v>60</v>
      </c>
      <c r="N67" s="8" t="n">
        <v>19.75575046348486</v>
      </c>
      <c r="O67" s="5" t="n">
        <v>83.22458684980154</v>
      </c>
      <c r="P67" s="10" t="n">
        <v>2131.92</v>
      </c>
      <c r="Q67" s="10" t="n">
        <v>10166.92236</v>
      </c>
      <c r="R67" s="10" t="n">
        <v>9980.9607996</v>
      </c>
      <c r="S67" s="8" t="n">
        <v>26.91007515100453</v>
      </c>
      <c r="T67" s="5" t="n">
        <v>102</v>
      </c>
    </row>
    <row r="68">
      <c r="A68" s="13" t="inlineStr">
        <is>
          <t>U2-23</t>
        </is>
      </c>
      <c r="B68" s="12" t="n">
        <v>2</v>
      </c>
      <c r="C68" s="17" t="n">
        <v>6874063.9</v>
      </c>
      <c r="D68" s="17" t="n">
        <v>2235526.7</v>
      </c>
      <c r="E68" s="28" t="n">
        <v>-120.89609</v>
      </c>
      <c r="F68" s="28" t="n">
        <v>39.295512</v>
      </c>
      <c r="G68" s="12" t="n">
        <v>3397</v>
      </c>
      <c r="H68" s="12" t="n">
        <v>15.2</v>
      </c>
      <c r="I68" s="12" t="n">
        <v>220</v>
      </c>
      <c r="J68" s="12" t="n">
        <v>13</v>
      </c>
      <c r="K68" s="12" t="n">
        <v>167.1100703016333</v>
      </c>
      <c r="L68" s="12" t="n">
        <v>400</v>
      </c>
      <c r="M68" s="12" t="n">
        <v>180</v>
      </c>
      <c r="N68" s="15" t="n">
        <v>14.0532694991136</v>
      </c>
      <c r="O68" s="12" t="n">
        <v>278.7729066227226</v>
      </c>
      <c r="P68" s="17" t="n">
        <v>5193.72</v>
      </c>
      <c r="Q68" s="17" t="n">
        <v>23731.24068</v>
      </c>
      <c r="R68" s="17" t="n">
        <v>22698.7010208</v>
      </c>
      <c r="S68" s="15" t="n">
        <v>0</v>
      </c>
      <c r="T68" s="12" t="n">
        <v>107.6666666666667</v>
      </c>
    </row>
    <row r="69">
      <c r="A69" s="6" t="inlineStr">
        <is>
          <t>U2-24</t>
        </is>
      </c>
      <c r="B69" s="5" t="n">
        <v>2</v>
      </c>
      <c r="C69" s="10" t="n">
        <v>6874063.9</v>
      </c>
      <c r="D69" s="10" t="n">
        <v>2235926.7</v>
      </c>
      <c r="E69" s="27" t="n">
        <v>-120.896073</v>
      </c>
      <c r="F69" s="27" t="n">
        <v>39.296611</v>
      </c>
      <c r="G69" s="5" t="n">
        <v>3416</v>
      </c>
      <c r="H69" s="5" t="n">
        <v>15.1</v>
      </c>
      <c r="I69" s="5" t="n">
        <v>311</v>
      </c>
      <c r="J69" s="5" t="n">
        <v>15</v>
      </c>
      <c r="K69" s="5" t="n">
        <v>407.694701949438</v>
      </c>
      <c r="L69" s="5" t="n">
        <v>300</v>
      </c>
      <c r="M69" s="5" t="n">
        <v>240</v>
      </c>
      <c r="N69" s="8" t="n">
        <v>10.38916204346445</v>
      </c>
      <c r="O69" s="5" t="n">
        <v>390.7866614151206</v>
      </c>
      <c r="P69" s="10" t="n">
        <v>5481</v>
      </c>
      <c r="Q69" s="10" t="n">
        <v>26976.16656</v>
      </c>
      <c r="R69" s="10" t="n">
        <v>24969.868812</v>
      </c>
      <c r="S69" s="8" t="n">
        <v>0</v>
      </c>
      <c r="T69" s="5" t="n">
        <v>102</v>
      </c>
    </row>
    <row r="70">
      <c r="A70" s="13" t="inlineStr">
        <is>
          <t>U2-25</t>
        </is>
      </c>
      <c r="B70" s="12" t="n">
        <v>2</v>
      </c>
      <c r="C70" s="17" t="n">
        <v>6874063.9</v>
      </c>
      <c r="D70" s="17" t="n">
        <v>2236326.7</v>
      </c>
      <c r="E70" s="28" t="n">
        <v>-120.896056</v>
      </c>
      <c r="F70" s="28" t="n">
        <v>39.297709</v>
      </c>
      <c r="G70" s="12" t="n">
        <v>3458</v>
      </c>
      <c r="H70" s="12" t="n">
        <v>10.8</v>
      </c>
      <c r="I70" s="12" t="n">
        <v>200</v>
      </c>
      <c r="J70" s="12" t="n">
        <v>14</v>
      </c>
      <c r="K70" s="12" t="n">
        <v>273.8036198292655</v>
      </c>
      <c r="L70" s="12" t="n">
        <v>0</v>
      </c>
      <c r="M70" s="12" t="n">
        <v>260</v>
      </c>
      <c r="N70" s="15" t="n">
        <v>13.19500364307979</v>
      </c>
      <c r="O70" s="12" t="n">
        <v>399.7366088434125</v>
      </c>
      <c r="P70" s="17" t="n">
        <v>6684.840000000001</v>
      </c>
      <c r="Q70" s="17" t="n">
        <v>32646.77928</v>
      </c>
      <c r="R70" s="17" t="n">
        <v>30877.107588</v>
      </c>
      <c r="S70" s="15" t="n">
        <v>6.528571578635311</v>
      </c>
      <c r="T70" s="12" t="n">
        <v>103.6</v>
      </c>
    </row>
    <row r="71">
      <c r="A71" s="6" t="inlineStr">
        <is>
          <t>U2-26</t>
        </is>
      </c>
      <c r="B71" s="5" t="n">
        <v>2</v>
      </c>
      <c r="C71" s="10" t="n">
        <v>6874063.9</v>
      </c>
      <c r="D71" s="10" t="n">
        <v>2236726.7</v>
      </c>
      <c r="E71" s="27" t="n">
        <v>-120.896039</v>
      </c>
      <c r="F71" s="27" t="n">
        <v>39.298807</v>
      </c>
      <c r="G71" s="5" t="n">
        <v>3494</v>
      </c>
      <c r="H71" s="5" t="n">
        <v>13.3</v>
      </c>
      <c r="I71" s="5" t="n">
        <v>175</v>
      </c>
      <c r="J71" s="5" t="n">
        <v>10</v>
      </c>
      <c r="K71" s="5" t="n">
        <v>61.69548322482285</v>
      </c>
      <c r="L71" s="5" t="n">
        <v>300</v>
      </c>
      <c r="M71" s="5" t="n">
        <v>140</v>
      </c>
      <c r="N71" s="8" t="n">
        <v>20.39763264259037</v>
      </c>
      <c r="O71" s="5" t="n">
        <v>190.3113670110564</v>
      </c>
      <c r="P71" s="10" t="n">
        <v>4206.6</v>
      </c>
      <c r="Q71" s="10" t="n">
        <v>21010.05756</v>
      </c>
      <c r="R71" s="10" t="n">
        <v>18493.3387332</v>
      </c>
      <c r="S71" s="8" t="n">
        <v>0</v>
      </c>
      <c r="T71" s="5" t="n">
        <v>87</v>
      </c>
    </row>
    <row r="72">
      <c r="A72" s="13" t="inlineStr">
        <is>
          <t>U2-27</t>
        </is>
      </c>
      <c r="B72" s="12" t="n">
        <v>2</v>
      </c>
      <c r="C72" s="17" t="n">
        <v>6874063.9</v>
      </c>
      <c r="D72" s="17" t="n">
        <v>2237126.7</v>
      </c>
      <c r="E72" s="28" t="n">
        <v>-120.896021</v>
      </c>
      <c r="F72" s="28" t="n">
        <v>39.299905</v>
      </c>
      <c r="G72" s="12" t="n">
        <v>3512</v>
      </c>
      <c r="H72" s="12" t="n">
        <v>1.7</v>
      </c>
      <c r="I72" s="12" t="n">
        <v>205</v>
      </c>
      <c r="J72" s="12" t="n">
        <v>16</v>
      </c>
      <c r="K72" s="12" t="n">
        <v>179.5881408580193</v>
      </c>
      <c r="L72" s="12" t="n">
        <v>400</v>
      </c>
      <c r="M72" s="12" t="n">
        <v>240</v>
      </c>
      <c r="N72" s="15" t="n">
        <v>15.65341959413404</v>
      </c>
      <c r="O72" s="12" t="n">
        <v>363.7134363279469</v>
      </c>
      <c r="P72" s="17" t="n">
        <v>6743.52</v>
      </c>
      <c r="Q72" s="17" t="n">
        <v>29845.01268</v>
      </c>
      <c r="R72" s="17" t="n">
        <v>28404.5957496</v>
      </c>
      <c r="S72" s="15" t="n">
        <v>0</v>
      </c>
      <c r="T72" s="12" t="n">
        <v>88</v>
      </c>
    </row>
    <row r="73">
      <c r="A73" s="6" t="inlineStr">
        <is>
          <t>U2-28</t>
        </is>
      </c>
      <c r="B73" s="5" t="n">
        <v>2</v>
      </c>
      <c r="C73" s="10" t="n">
        <v>6874063.9</v>
      </c>
      <c r="D73" s="10" t="n">
        <v>2237526.7</v>
      </c>
      <c r="E73" s="27" t="n">
        <v>-120.896004</v>
      </c>
      <c r="F73" s="27" t="n">
        <v>39.301003</v>
      </c>
      <c r="G73" s="5" t="n">
        <v>3540</v>
      </c>
      <c r="H73" s="5" t="n">
        <v>9.199999999999999</v>
      </c>
      <c r="I73" s="5" t="n">
        <v>161</v>
      </c>
      <c r="J73" s="5" t="n">
        <v>17</v>
      </c>
      <c r="K73" s="5" t="n">
        <v>233.9532640545546</v>
      </c>
      <c r="L73" s="5" t="n">
        <v>600</v>
      </c>
      <c r="M73" s="5" t="n">
        <v>180</v>
      </c>
      <c r="N73" s="8" t="n">
        <v>11.8772016893108</v>
      </c>
      <c r="O73" s="5" t="n">
        <v>280.0950640078572</v>
      </c>
      <c r="P73" s="10" t="n">
        <v>4058.64</v>
      </c>
      <c r="Q73" s="10" t="n">
        <v>18898.26012</v>
      </c>
      <c r="R73" s="10" t="n">
        <v>17254.9485</v>
      </c>
      <c r="S73" s="8" t="n">
        <v>8.878321367706876</v>
      </c>
      <c r="T73" s="5" t="n">
        <v>81.25</v>
      </c>
    </row>
    <row r="74">
      <c r="A74" s="13" t="inlineStr">
        <is>
          <t>U2-29</t>
        </is>
      </c>
      <c r="B74" s="12" t="n">
        <v>2</v>
      </c>
      <c r="C74" s="17" t="n">
        <v>6874463.9</v>
      </c>
      <c r="D74" s="17" t="n">
        <v>2235526.7</v>
      </c>
      <c r="E74" s="28" t="n">
        <v>-120.894677</v>
      </c>
      <c r="F74" s="28" t="n">
        <v>39.295499</v>
      </c>
      <c r="G74" s="12" t="n">
        <v>3381</v>
      </c>
      <c r="H74" s="12" t="n">
        <v>36.9</v>
      </c>
      <c r="I74" s="12" t="n">
        <v>123</v>
      </c>
      <c r="J74" s="12" t="n">
        <v>15</v>
      </c>
      <c r="K74" s="12" t="n">
        <v>409.0099591270916</v>
      </c>
      <c r="L74" s="12" t="n">
        <v>0</v>
      </c>
      <c r="M74" s="12" t="n">
        <v>300</v>
      </c>
      <c r="N74" s="15" t="n">
        <v>11.5967453070212</v>
      </c>
      <c r="O74" s="12" t="n">
        <v>450.3072763621378</v>
      </c>
      <c r="P74" s="17" t="n">
        <v>8822.52</v>
      </c>
      <c r="Q74" s="17" t="n">
        <v>46783.66896</v>
      </c>
      <c r="R74" s="17" t="n">
        <v>43542.7951644</v>
      </c>
      <c r="S74" s="15" t="n">
        <v>0</v>
      </c>
      <c r="T74" s="12" t="n">
        <v>114</v>
      </c>
    </row>
    <row r="75">
      <c r="A75" s="6" t="inlineStr">
        <is>
          <t>U2-30</t>
        </is>
      </c>
      <c r="B75" s="5" t="n">
        <v>2</v>
      </c>
      <c r="C75" s="10" t="n">
        <v>6874463.9</v>
      </c>
      <c r="D75" s="10" t="n">
        <v>2235926.7</v>
      </c>
      <c r="E75" s="27" t="n">
        <v>-120.89466</v>
      </c>
      <c r="F75" s="27" t="n">
        <v>39.296597</v>
      </c>
      <c r="G75" s="5" t="n">
        <v>3415</v>
      </c>
      <c r="H75" s="5" t="n">
        <v>24.4</v>
      </c>
      <c r="I75" s="5" t="n">
        <v>264</v>
      </c>
      <c r="J75" s="5" t="n">
        <v>15</v>
      </c>
      <c r="K75" s="5" t="n">
        <v>150.9330703774331</v>
      </c>
      <c r="L75" s="5" t="n">
        <v>600</v>
      </c>
      <c r="M75" s="5" t="n">
        <v>140</v>
      </c>
      <c r="N75" s="8" t="n">
        <v>13.04110067559247</v>
      </c>
      <c r="O75" s="5" t="n">
        <v>220.0281343504401</v>
      </c>
      <c r="P75" s="10" t="n">
        <v>3780</v>
      </c>
      <c r="Q75" s="10" t="n">
        <v>17816.55372</v>
      </c>
      <c r="R75" s="10" t="n">
        <v>17355.3443532</v>
      </c>
      <c r="S75" s="8" t="n">
        <v>19.31821105148851</v>
      </c>
      <c r="T75" s="5" t="n">
        <v>115</v>
      </c>
    </row>
    <row r="76">
      <c r="A76" s="13" t="inlineStr">
        <is>
          <t>U2-31</t>
        </is>
      </c>
      <c r="B76" s="12" t="n">
        <v>2</v>
      </c>
      <c r="C76" s="17" t="n">
        <v>6874463.9</v>
      </c>
      <c r="D76" s="17" t="n">
        <v>2236326.7</v>
      </c>
      <c r="E76" s="28" t="n">
        <v>-120.894642</v>
      </c>
      <c r="F76" s="28" t="n">
        <v>39.297695</v>
      </c>
      <c r="G76" s="12" t="n">
        <v>3445</v>
      </c>
      <c r="H76" s="12" t="n">
        <v>12.2</v>
      </c>
      <c r="I76" s="12" t="n">
        <v>199</v>
      </c>
      <c r="J76" s="12" t="n">
        <v>23</v>
      </c>
      <c r="K76" s="12" t="n">
        <v>502.0290031342127</v>
      </c>
      <c r="L76" s="12" t="n">
        <v>100</v>
      </c>
      <c r="M76" s="12" t="n">
        <v>420</v>
      </c>
      <c r="N76" s="15" t="n">
        <v>12.38519002923738</v>
      </c>
      <c r="O76" s="12" t="n">
        <v>676.8317523704476</v>
      </c>
      <c r="P76" s="17" t="n">
        <v>10099.44</v>
      </c>
      <c r="Q76" s="17" t="n">
        <v>46002.63528000001</v>
      </c>
      <c r="R76" s="17" t="n">
        <v>43747.040214</v>
      </c>
      <c r="S76" s="15" t="n">
        <v>16.96993553613618</v>
      </c>
      <c r="T76" s="12" t="n">
        <v>111.25</v>
      </c>
    </row>
    <row r="77">
      <c r="A77" s="6" t="inlineStr">
        <is>
          <t>U2-32</t>
        </is>
      </c>
      <c r="B77" s="5" t="n">
        <v>2</v>
      </c>
      <c r="C77" s="10" t="n">
        <v>6874463.9</v>
      </c>
      <c r="D77" s="10" t="n">
        <v>2236726.7</v>
      </c>
      <c r="E77" s="27" t="n">
        <v>-120.894625</v>
      </c>
      <c r="F77" s="27" t="n">
        <v>39.298794</v>
      </c>
      <c r="G77" s="5" t="n">
        <v>3528</v>
      </c>
      <c r="H77" s="5" t="n">
        <v>20.6</v>
      </c>
      <c r="I77" s="5" t="n">
        <v>195</v>
      </c>
      <c r="J77" s="5" t="n">
        <v>10</v>
      </c>
      <c r="K77" s="5" t="n">
        <v>87.99746685103811</v>
      </c>
      <c r="L77" s="5" t="n">
        <v>400</v>
      </c>
      <c r="M77" s="5" t="n">
        <v>120</v>
      </c>
      <c r="N77" s="8" t="n">
        <v>15.81240651744898</v>
      </c>
      <c r="O77" s="5" t="n">
        <v>173.2260144141865</v>
      </c>
      <c r="P77" s="10" t="n">
        <v>3946.32</v>
      </c>
      <c r="Q77" s="10" t="n">
        <v>20077.83288</v>
      </c>
      <c r="R77" s="10" t="n">
        <v>19484.3270664</v>
      </c>
      <c r="S77" s="8" t="n">
        <v>0</v>
      </c>
      <c r="T77" s="5" t="n">
        <v>114.3333333333333</v>
      </c>
    </row>
    <row r="78">
      <c r="A78" s="13" t="inlineStr">
        <is>
          <t>U2-33</t>
        </is>
      </c>
      <c r="B78" s="12" t="n">
        <v>2</v>
      </c>
      <c r="C78" s="17" t="n">
        <v>6874463.9</v>
      </c>
      <c r="D78" s="17" t="n">
        <v>2237126.7</v>
      </c>
      <c r="E78" s="28" t="n">
        <v>-120.894608</v>
      </c>
      <c r="F78" s="28" t="n">
        <v>39.299892</v>
      </c>
      <c r="G78" s="12" t="n">
        <v>3531</v>
      </c>
      <c r="H78" s="12" t="n">
        <v>11.7</v>
      </c>
      <c r="I78" s="12" t="n">
        <v>198</v>
      </c>
      <c r="J78" s="12" t="n">
        <v>11</v>
      </c>
      <c r="K78" s="12" t="n">
        <v>150.6810935688665</v>
      </c>
      <c r="L78" s="12" t="n">
        <v>100</v>
      </c>
      <c r="M78" s="12" t="n">
        <v>180</v>
      </c>
      <c r="N78" s="15" t="n">
        <v>14.79957704833678</v>
      </c>
      <c r="O78" s="12" t="n">
        <v>261.8926440951074</v>
      </c>
      <c r="P78" s="17" t="n">
        <v>5186.16</v>
      </c>
      <c r="Q78" s="17" t="n">
        <v>26158.41648</v>
      </c>
      <c r="R78" s="17" t="n">
        <v>25183.5781428</v>
      </c>
      <c r="S78" s="15" t="n">
        <v>10.37526417497642</v>
      </c>
      <c r="T78" s="12" t="n">
        <v>101</v>
      </c>
    </row>
    <row r="79">
      <c r="A79" s="6" t="inlineStr">
        <is>
          <t>U2-34</t>
        </is>
      </c>
      <c r="B79" s="5" t="n">
        <v>2</v>
      </c>
      <c r="C79" s="10" t="n">
        <v>6874463.9</v>
      </c>
      <c r="D79" s="10" t="n">
        <v>2237526.7</v>
      </c>
      <c r="E79" s="27" t="n">
        <v>-120.894591</v>
      </c>
      <c r="F79" s="27" t="n">
        <v>39.30099</v>
      </c>
      <c r="G79" s="5" t="n">
        <v>3564</v>
      </c>
      <c r="H79" s="5" t="n">
        <v>17.8</v>
      </c>
      <c r="I79" s="5" t="n">
        <v>235</v>
      </c>
      <c r="J79" s="5" t="n">
        <v>10</v>
      </c>
      <c r="K79" s="5" t="n">
        <v>115.923896315165</v>
      </c>
      <c r="L79" s="5" t="n">
        <v>0</v>
      </c>
      <c r="M79" s="5" t="n">
        <v>200</v>
      </c>
      <c r="N79" s="8" t="n">
        <v>17.78569932665187</v>
      </c>
      <c r="O79" s="5" t="n">
        <v>279.4077357848965</v>
      </c>
      <c r="P79" s="10" t="n">
        <v>6059.16</v>
      </c>
      <c r="Q79" s="10" t="n">
        <v>30439.94652</v>
      </c>
      <c r="R79" s="10" t="n">
        <v>27113.1700464</v>
      </c>
      <c r="S79" s="8" t="n">
        <v>0</v>
      </c>
      <c r="T79" s="5" t="n">
        <v>96.5</v>
      </c>
    </row>
    <row r="80">
      <c r="A80" s="13" t="inlineStr">
        <is>
          <t>U2-35</t>
        </is>
      </c>
      <c r="B80" s="12" t="n">
        <v>2</v>
      </c>
      <c r="C80" s="17" t="n">
        <v>6874863.9</v>
      </c>
      <c r="D80" s="17" t="n">
        <v>2235926.7</v>
      </c>
      <c r="E80" s="28" t="n">
        <v>-120.893246</v>
      </c>
      <c r="F80" s="28" t="n">
        <v>39.296584</v>
      </c>
      <c r="G80" s="12" t="n">
        <v>3421</v>
      </c>
      <c r="H80" s="12" t="n">
        <v>18.2</v>
      </c>
      <c r="I80" s="12" t="n">
        <v>153</v>
      </c>
      <c r="J80" s="12" t="n">
        <v>9</v>
      </c>
      <c r="K80" s="12" t="n">
        <v>107.7866307182251</v>
      </c>
      <c r="L80" s="12" t="n">
        <v>200</v>
      </c>
      <c r="M80" s="12" t="n">
        <v>140</v>
      </c>
      <c r="N80" s="15" t="n">
        <v>15.43206353744621</v>
      </c>
      <c r="O80" s="12" t="n">
        <v>204.469030455826</v>
      </c>
      <c r="P80" s="17" t="n">
        <v>3485.16</v>
      </c>
      <c r="Q80" s="17" t="n">
        <v>17422.29108</v>
      </c>
      <c r="R80" s="17" t="n">
        <v>16276.8625704</v>
      </c>
      <c r="S80" s="15" t="n">
        <v>0</v>
      </c>
      <c r="T80" s="12" t="n">
        <v>89</v>
      </c>
    </row>
    <row r="81">
      <c r="A81" s="6" t="inlineStr">
        <is>
          <t>U2-36</t>
        </is>
      </c>
      <c r="B81" s="5" t="n">
        <v>2</v>
      </c>
      <c r="C81" s="10" t="n">
        <v>6874863.9</v>
      </c>
      <c r="D81" s="10" t="n">
        <v>2236326.7</v>
      </c>
      <c r="E81" s="27" t="n">
        <v>-120.893229</v>
      </c>
      <c r="F81" s="27" t="n">
        <v>39.297682</v>
      </c>
      <c r="G81" s="5" t="n">
        <v>3479</v>
      </c>
      <c r="H81" s="5" t="n">
        <v>18.7</v>
      </c>
      <c r="I81" s="5" t="n">
        <v>151</v>
      </c>
      <c r="J81" s="5" t="n">
        <v>17</v>
      </c>
      <c r="K81" s="5" t="n">
        <v>338.6911597713444</v>
      </c>
      <c r="L81" s="5" t="n">
        <v>200</v>
      </c>
      <c r="M81" s="5" t="n">
        <v>260</v>
      </c>
      <c r="N81" s="8" t="n">
        <v>11.86389178235512</v>
      </c>
      <c r="O81" s="5" t="n">
        <v>402.3098198588514</v>
      </c>
      <c r="P81" s="10" t="n">
        <v>7058.879999999998</v>
      </c>
      <c r="Q81" s="10" t="n">
        <v>34747.34219999999</v>
      </c>
      <c r="R81" s="10" t="n">
        <v>31978.98758519999</v>
      </c>
      <c r="S81" s="8" t="n">
        <v>114.2428733482962</v>
      </c>
      <c r="T81" s="5" t="n">
        <v>102.6666666666667</v>
      </c>
    </row>
    <row r="82">
      <c r="A82" s="13" t="inlineStr">
        <is>
          <t>U2-37</t>
        </is>
      </c>
      <c r="B82" s="12" t="n">
        <v>2</v>
      </c>
      <c r="C82" s="17" t="n">
        <v>6874863.9</v>
      </c>
      <c r="D82" s="17" t="n">
        <v>2236726.7</v>
      </c>
      <c r="E82" s="28" t="n">
        <v>-120.893212</v>
      </c>
      <c r="F82" s="28" t="n">
        <v>39.29878</v>
      </c>
      <c r="G82" s="12" t="n">
        <v>3542</v>
      </c>
      <c r="H82" s="12" t="n">
        <v>4.9</v>
      </c>
      <c r="I82" s="12" t="n">
        <v>157</v>
      </c>
      <c r="J82" s="12" t="n">
        <v>18</v>
      </c>
      <c r="K82" s="12" t="n">
        <v>284.1759790898259</v>
      </c>
      <c r="L82" s="12" t="n">
        <v>200</v>
      </c>
      <c r="M82" s="12" t="n">
        <v>300</v>
      </c>
      <c r="N82" s="15" t="n">
        <v>13.91263456978301</v>
      </c>
      <c r="O82" s="12" t="n">
        <v>433.0648625893851</v>
      </c>
      <c r="P82" s="17" t="n">
        <v>9102.24</v>
      </c>
      <c r="Q82" s="17" t="n">
        <v>45277.44048</v>
      </c>
      <c r="R82" s="17" t="n">
        <v>42662.4310584</v>
      </c>
      <c r="S82" s="15" t="n">
        <v>47.3532201705019</v>
      </c>
      <c r="T82" s="12" t="n">
        <v>99.66666666666667</v>
      </c>
    </row>
    <row r="83">
      <c r="A83" s="6" t="inlineStr">
        <is>
          <t>U2-38</t>
        </is>
      </c>
      <c r="B83" s="5" t="n">
        <v>2</v>
      </c>
      <c r="C83" s="10" t="n">
        <v>6874863.9</v>
      </c>
      <c r="D83" s="10" t="n">
        <v>2237126.7</v>
      </c>
      <c r="E83" s="27" t="n">
        <v>-120.893195</v>
      </c>
      <c r="F83" s="27" t="n">
        <v>39.299878</v>
      </c>
      <c r="G83" s="5" t="n">
        <v>3550</v>
      </c>
      <c r="H83" s="5" t="n">
        <v>11.9</v>
      </c>
      <c r="I83" s="5" t="n">
        <v>310</v>
      </c>
      <c r="J83" s="5" t="n">
        <v>17</v>
      </c>
      <c r="K83" s="5" t="n">
        <v>402.3799460878245</v>
      </c>
      <c r="L83" s="5" t="n">
        <v>200</v>
      </c>
      <c r="M83" s="5" t="n">
        <v>280</v>
      </c>
      <c r="N83" s="8" t="n">
        <v>11.29544342843645</v>
      </c>
      <c r="O83" s="5" t="n">
        <v>456.8470318331682</v>
      </c>
      <c r="P83" s="10" t="n">
        <v>6269.759999999999</v>
      </c>
      <c r="Q83" s="10" t="n">
        <v>31385.26188</v>
      </c>
      <c r="R83" s="10" t="n">
        <v>29352.3615</v>
      </c>
      <c r="S83" s="8" t="n">
        <v>33.26107365082692</v>
      </c>
      <c r="T83" s="5" t="n">
        <v>119.25</v>
      </c>
    </row>
    <row r="84">
      <c r="A84" s="13" t="inlineStr">
        <is>
          <t>U2-39</t>
        </is>
      </c>
      <c r="B84" s="12" t="n">
        <v>2</v>
      </c>
      <c r="C84" s="17" t="n">
        <v>6874863.9</v>
      </c>
      <c r="D84" s="17" t="n">
        <v>2237526.7</v>
      </c>
      <c r="E84" s="28" t="n">
        <v>-120.893177</v>
      </c>
      <c r="F84" s="28" t="n">
        <v>39.300977</v>
      </c>
      <c r="G84" s="12" t="n">
        <v>3554</v>
      </c>
      <c r="H84" s="12" t="n">
        <v>11.2</v>
      </c>
      <c r="I84" s="12" t="n">
        <v>249</v>
      </c>
      <c r="J84" s="12" t="n">
        <v>18</v>
      </c>
      <c r="K84" s="12" t="n">
        <v>433.9310986056638</v>
      </c>
      <c r="L84" s="12" t="n">
        <v>100</v>
      </c>
      <c r="M84" s="12" t="n">
        <v>340</v>
      </c>
      <c r="N84" s="15" t="n">
        <v>11.98592356296404</v>
      </c>
      <c r="O84" s="12" t="n">
        <v>546.815340765203</v>
      </c>
      <c r="P84" s="17" t="n">
        <v>8208.719999999999</v>
      </c>
      <c r="Q84" s="17" t="n">
        <v>40385.2104</v>
      </c>
      <c r="R84" s="17" t="n">
        <v>37707.2784036</v>
      </c>
      <c r="S84" s="15" t="n">
        <v>0</v>
      </c>
      <c r="T84" s="12" t="n">
        <v>139</v>
      </c>
    </row>
    <row r="85">
      <c r="A85" s="6" t="inlineStr">
        <is>
          <t>U2-40</t>
        </is>
      </c>
      <c r="B85" s="5" t="n">
        <v>2</v>
      </c>
      <c r="C85" s="10" t="n">
        <v>6875263.9</v>
      </c>
      <c r="D85" s="10" t="n">
        <v>2236326.7</v>
      </c>
      <c r="E85" s="27" t="n">
        <v>-120.891816</v>
      </c>
      <c r="F85" s="27" t="n">
        <v>39.297669</v>
      </c>
      <c r="G85" s="5" t="n">
        <v>3469</v>
      </c>
      <c r="H85" s="5" t="n">
        <v>31.3</v>
      </c>
      <c r="I85" s="5" t="n">
        <v>266</v>
      </c>
      <c r="J85" s="5" t="n">
        <v>11</v>
      </c>
      <c r="K85" s="5" t="n">
        <v>47.69488623291394</v>
      </c>
      <c r="L85" s="5" t="n">
        <v>300</v>
      </c>
      <c r="M85" s="5" t="n">
        <v>140</v>
      </c>
      <c r="N85" s="8" t="n">
        <v>23.19906824329894</v>
      </c>
      <c r="O85" s="5" t="n">
        <v>180.6229108019027</v>
      </c>
      <c r="P85" s="10" t="n">
        <v>4618.44</v>
      </c>
      <c r="Q85" s="10" t="n">
        <v>23914.66644</v>
      </c>
      <c r="R85" s="10" t="n">
        <v>21538.0641168</v>
      </c>
      <c r="S85" s="8" t="n">
        <v>11.19328888008201</v>
      </c>
      <c r="T85" s="5" t="n">
        <v>92.16666666666667</v>
      </c>
    </row>
    <row r="86">
      <c r="A86" s="13" t="inlineStr">
        <is>
          <t>U2-41</t>
        </is>
      </c>
      <c r="B86" s="12" t="n">
        <v>2</v>
      </c>
      <c r="C86" s="17" t="n">
        <v>6875263.9</v>
      </c>
      <c r="D86" s="17" t="n">
        <v>2236726.7</v>
      </c>
      <c r="E86" s="28" t="n">
        <v>-120.891798</v>
      </c>
      <c r="F86" s="28" t="n">
        <v>39.298767</v>
      </c>
      <c r="G86" s="12" t="n">
        <v>3558</v>
      </c>
      <c r="H86" s="12" t="n">
        <v>25.9</v>
      </c>
      <c r="I86" s="12" t="n">
        <v>213</v>
      </c>
      <c r="J86" s="12" t="n">
        <v>23</v>
      </c>
      <c r="K86" s="12" t="n">
        <v>518.0046918061192</v>
      </c>
      <c r="L86" s="12" t="n">
        <v>100</v>
      </c>
      <c r="M86" s="12" t="n">
        <v>400</v>
      </c>
      <c r="N86" s="15" t="n">
        <v>11.89886623196459</v>
      </c>
      <c r="O86" s="12" t="n">
        <v>621.1327696595831</v>
      </c>
      <c r="P86" s="17" t="n">
        <v>10387.44</v>
      </c>
      <c r="Q86" s="17" t="n">
        <v>50392.48788</v>
      </c>
      <c r="R86" s="17" t="n">
        <v>46825.8402276</v>
      </c>
      <c r="S86" s="15" t="n">
        <v>15.53315061610241</v>
      </c>
      <c r="T86" s="12" t="n">
        <v>98.66666666666667</v>
      </c>
    </row>
    <row r="87">
      <c r="A87" s="6" t="inlineStr">
        <is>
          <t>U2-42</t>
        </is>
      </c>
      <c r="B87" s="5" t="n">
        <v>2</v>
      </c>
      <c r="C87" s="10" t="n">
        <v>6875263.9</v>
      </c>
      <c r="D87" s="10" t="n">
        <v>2237126.7</v>
      </c>
      <c r="E87" s="27" t="n">
        <v>-120.891781</v>
      </c>
      <c r="F87" s="27" t="n">
        <v>39.299865</v>
      </c>
      <c r="G87" s="5" t="n">
        <v>3583</v>
      </c>
      <c r="H87" s="5" t="n">
        <v>14.8</v>
      </c>
      <c r="I87" s="5" t="n">
        <v>293</v>
      </c>
      <c r="J87" s="5" t="n">
        <v>16</v>
      </c>
      <c r="K87" s="5" t="n">
        <v>417.6526567710939</v>
      </c>
      <c r="L87" s="5" t="n">
        <v>200</v>
      </c>
      <c r="M87" s="5" t="n">
        <v>280</v>
      </c>
      <c r="N87" s="8" t="n">
        <v>11.08699431086138</v>
      </c>
      <c r="O87" s="5" t="n">
        <v>443.8170306264163</v>
      </c>
      <c r="P87" s="10" t="n">
        <v>7091.28</v>
      </c>
      <c r="Q87" s="10" t="n">
        <v>34845.01523999999</v>
      </c>
      <c r="R87" s="10" t="n">
        <v>32939.36225999999</v>
      </c>
      <c r="S87" s="8" t="n">
        <v>0</v>
      </c>
      <c r="T87" s="5" t="n">
        <v>98</v>
      </c>
    </row>
    <row r="88">
      <c r="A88" s="13" t="inlineStr">
        <is>
          <t>U2-43</t>
        </is>
      </c>
      <c r="B88" s="12" t="n">
        <v>2</v>
      </c>
      <c r="C88" s="17" t="n">
        <v>6875263.9</v>
      </c>
      <c r="D88" s="17" t="n">
        <v>2237526.7</v>
      </c>
      <c r="E88" s="28" t="n">
        <v>-120.891764</v>
      </c>
      <c r="F88" s="28" t="n">
        <v>39.300963</v>
      </c>
      <c r="G88" s="12" t="n">
        <v>3672</v>
      </c>
      <c r="H88" s="12" t="n">
        <v>30.3</v>
      </c>
      <c r="I88" s="12" t="n">
        <v>212</v>
      </c>
      <c r="J88" s="12" t="n">
        <v>19</v>
      </c>
      <c r="K88" s="12" t="n">
        <v>415.6727450689669</v>
      </c>
      <c r="L88" s="12" t="n">
        <v>100</v>
      </c>
      <c r="M88" s="12" t="n">
        <v>340</v>
      </c>
      <c r="N88" s="15" t="n">
        <v>12.24633447889878</v>
      </c>
      <c r="O88" s="12" t="n">
        <v>522.098951853733</v>
      </c>
      <c r="P88" s="17" t="n">
        <v>8269.200000000001</v>
      </c>
      <c r="Q88" s="17" t="n">
        <v>43011.33192</v>
      </c>
      <c r="R88" s="17" t="n">
        <v>40586.53860359999</v>
      </c>
      <c r="S88" s="15" t="n">
        <v>5.914474556867902</v>
      </c>
      <c r="T88" s="12" t="n">
        <v>102.8888888888889</v>
      </c>
    </row>
    <row r="89">
      <c r="A89" s="6" t="inlineStr">
        <is>
          <t>U2-44</t>
        </is>
      </c>
      <c r="B89" s="5" t="n">
        <v>2</v>
      </c>
      <c r="C89" s="10" t="n">
        <v>6875663.9</v>
      </c>
      <c r="D89" s="10" t="n">
        <v>2236326.7</v>
      </c>
      <c r="E89" s="27" t="n">
        <v>-120.890402</v>
      </c>
      <c r="F89" s="27" t="n">
        <v>39.297655</v>
      </c>
      <c r="G89" s="5" t="n">
        <v>3529</v>
      </c>
      <c r="H89" s="5" t="n">
        <v>31.4</v>
      </c>
      <c r="I89" s="5" t="n">
        <v>150</v>
      </c>
      <c r="J89" s="5" t="n">
        <v>17</v>
      </c>
      <c r="K89" s="5" t="n">
        <v>268.5780698916946</v>
      </c>
      <c r="L89" s="5" t="n">
        <v>200</v>
      </c>
      <c r="M89" s="5" t="n">
        <v>260</v>
      </c>
      <c r="N89" s="8" t="n">
        <v>13.32274860292449</v>
      </c>
      <c r="O89" s="5" t="n">
        <v>403.8311348480849</v>
      </c>
      <c r="P89" s="10" t="n">
        <v>6038.639999999999</v>
      </c>
      <c r="Q89" s="10" t="n">
        <v>28139.51519999999</v>
      </c>
      <c r="R89" s="10" t="n">
        <v>26463.3504228</v>
      </c>
      <c r="S89" s="8" t="n">
        <v>20.29363042827219</v>
      </c>
      <c r="T89" s="5" t="n">
        <v>98</v>
      </c>
    </row>
    <row r="90">
      <c r="A90" s="13" t="inlineStr">
        <is>
          <t>U2-45</t>
        </is>
      </c>
      <c r="B90" s="12" t="n">
        <v>2</v>
      </c>
      <c r="C90" s="17" t="n">
        <v>6875663.9</v>
      </c>
      <c r="D90" s="17" t="n">
        <v>2236726.7</v>
      </c>
      <c r="E90" s="28" t="n">
        <v>-120.890385</v>
      </c>
      <c r="F90" s="28" t="n">
        <v>39.298754</v>
      </c>
      <c r="G90" s="12" t="n">
        <v>3614</v>
      </c>
      <c r="H90" s="12" t="n">
        <v>19.5</v>
      </c>
      <c r="I90" s="12" t="n">
        <v>202</v>
      </c>
      <c r="J90" s="12" t="n">
        <v>11</v>
      </c>
      <c r="K90" s="12" t="n">
        <v>108.8020620770247</v>
      </c>
      <c r="L90" s="12" t="n">
        <v>200</v>
      </c>
      <c r="M90" s="12" t="n">
        <v>160</v>
      </c>
      <c r="N90" s="15" t="n">
        <v>16.42040487775852</v>
      </c>
      <c r="O90" s="12" t="n">
        <v>226.6200015190936</v>
      </c>
      <c r="P90" s="17" t="n">
        <v>5012.28</v>
      </c>
      <c r="Q90" s="17" t="n">
        <v>25986.88008</v>
      </c>
      <c r="R90" s="17" t="n">
        <v>24750.20016</v>
      </c>
      <c r="S90" s="15" t="n">
        <v>6.584015674381764</v>
      </c>
      <c r="T90" s="12" t="n">
        <v>105.6</v>
      </c>
    </row>
    <row r="91">
      <c r="A91" s="6" t="inlineStr">
        <is>
          <t>U2-46</t>
        </is>
      </c>
      <c r="B91" s="5" t="n">
        <v>2</v>
      </c>
      <c r="C91" s="10" t="n">
        <v>6875663.9</v>
      </c>
      <c r="D91" s="10" t="n">
        <v>2237126.7</v>
      </c>
      <c r="E91" s="27" t="n">
        <v>-120.890368</v>
      </c>
      <c r="F91" s="27" t="n">
        <v>39.299852</v>
      </c>
      <c r="G91" s="5" t="n">
        <v>3637</v>
      </c>
      <c r="H91" s="5" t="n">
        <v>7.1</v>
      </c>
      <c r="I91" s="5" t="n">
        <v>252</v>
      </c>
      <c r="J91" s="5" t="n">
        <v>10</v>
      </c>
      <c r="K91" s="5" t="n">
        <v>469.9513679692362</v>
      </c>
      <c r="L91" s="5" t="n">
        <v>300</v>
      </c>
      <c r="M91" s="5" t="n">
        <v>140</v>
      </c>
      <c r="N91" s="8" t="n">
        <v>7.390605008234674</v>
      </c>
      <c r="O91" s="5" t="n">
        <v>250.6588017033444</v>
      </c>
      <c r="P91" s="10" t="n">
        <v>2454.12</v>
      </c>
      <c r="Q91" s="10" t="n">
        <v>12262.10688</v>
      </c>
      <c r="R91" s="10" t="n">
        <v>10839.0221856</v>
      </c>
      <c r="S91" s="8" t="n">
        <v>0</v>
      </c>
      <c r="T91" s="5" t="n">
        <v>85.66666666666667</v>
      </c>
    </row>
    <row r="92">
      <c r="A92" s="13" t="inlineStr">
        <is>
          <t>U2-47</t>
        </is>
      </c>
      <c r="B92" s="12" t="n">
        <v>2</v>
      </c>
      <c r="C92" s="17" t="n">
        <v>6875663.9</v>
      </c>
      <c r="D92" s="17" t="n">
        <v>2237526.7</v>
      </c>
      <c r="E92" s="28" t="n">
        <v>-120.89035</v>
      </c>
      <c r="F92" s="28" t="n">
        <v>39.30095</v>
      </c>
      <c r="G92" s="12" t="n">
        <v>3704</v>
      </c>
      <c r="H92" s="12" t="n">
        <v>34.6</v>
      </c>
      <c r="I92" s="12" t="n">
        <v>181</v>
      </c>
      <c r="J92" s="12" t="n">
        <v>18</v>
      </c>
      <c r="K92" s="12" t="n">
        <v>583.8195044363183</v>
      </c>
      <c r="L92" s="12" t="n">
        <v>300</v>
      </c>
      <c r="M92" s="12" t="n">
        <v>280</v>
      </c>
      <c r="N92" s="15" t="n">
        <v>9.377393680707963</v>
      </c>
      <c r="O92" s="12" t="n">
        <v>482.4541270306974</v>
      </c>
      <c r="P92" s="17" t="n">
        <v>4900.320000000001</v>
      </c>
      <c r="Q92" s="17" t="n">
        <v>23896.88208</v>
      </c>
      <c r="R92" s="17" t="n">
        <v>22133.6692704</v>
      </c>
      <c r="S92" s="15" t="n">
        <v>12.25244201277579</v>
      </c>
      <c r="T92" s="12" t="n">
        <v>97.5</v>
      </c>
    </row>
    <row r="93">
      <c r="A93" s="6" t="inlineStr">
        <is>
          <t>U3-01</t>
        </is>
      </c>
      <c r="B93" s="5" t="n">
        <v>3</v>
      </c>
      <c r="C93" s="10" t="n">
        <v>6872863.9</v>
      </c>
      <c r="D93" s="10" t="n">
        <v>2232726.7</v>
      </c>
      <c r="E93" s="27" t="n">
        <v>-120.90045</v>
      </c>
      <c r="F93" s="27" t="n">
        <v>39.287865</v>
      </c>
      <c r="G93" s="5" t="n">
        <v>3207</v>
      </c>
      <c r="H93" s="5" t="n">
        <v>36.3</v>
      </c>
      <c r="I93" s="5" t="n">
        <v>355</v>
      </c>
      <c r="J93" s="5" t="n">
        <v>24</v>
      </c>
      <c r="K93" s="5" t="n">
        <v>395.1346501136526</v>
      </c>
      <c r="L93" s="5" t="n">
        <v>200</v>
      </c>
      <c r="M93" s="5" t="n">
        <v>400</v>
      </c>
      <c r="N93" s="8" t="n">
        <v>13.62385055759485</v>
      </c>
      <c r="O93" s="5" t="n">
        <v>608.8870997484754</v>
      </c>
      <c r="P93" s="10" t="n">
        <v>11219.04</v>
      </c>
      <c r="Q93" s="10" t="n">
        <v>53973.39528</v>
      </c>
      <c r="R93" s="10" t="n">
        <v>50151.03607080001</v>
      </c>
      <c r="S93" s="8" t="n">
        <v>15.86964361614683</v>
      </c>
      <c r="T93" s="5" t="n">
        <v>107</v>
      </c>
    </row>
    <row r="94">
      <c r="A94" s="13" t="inlineStr">
        <is>
          <t>U3-02</t>
        </is>
      </c>
      <c r="B94" s="12" t="n">
        <v>3</v>
      </c>
      <c r="C94" s="17" t="n">
        <v>6873263.9</v>
      </c>
      <c r="D94" s="17" t="n">
        <v>2232726.7</v>
      </c>
      <c r="E94" s="28" t="n">
        <v>-120.899037</v>
      </c>
      <c r="F94" s="28" t="n">
        <v>39.287852</v>
      </c>
      <c r="G94" s="12" t="n">
        <v>3281</v>
      </c>
      <c r="H94" s="12" t="n">
        <v>28.5</v>
      </c>
      <c r="I94" s="12" t="n">
        <v>231</v>
      </c>
      <c r="J94" s="12" t="n">
        <v>12</v>
      </c>
      <c r="K94" s="12" t="n">
        <v>208.300768469395</v>
      </c>
      <c r="L94" s="12" t="n">
        <v>200</v>
      </c>
      <c r="M94" s="12" t="n">
        <v>180</v>
      </c>
      <c r="N94" s="15" t="n">
        <v>12.58731931941604</v>
      </c>
      <c r="O94" s="12" t="n">
        <v>279.8371791155961</v>
      </c>
      <c r="P94" s="17" t="n">
        <v>4196.52</v>
      </c>
      <c r="Q94" s="17" t="n">
        <v>20677.39956</v>
      </c>
      <c r="R94" s="17" t="n">
        <v>19179.8060904</v>
      </c>
      <c r="S94" s="15" t="n">
        <v>19.53771309075427</v>
      </c>
      <c r="T94" s="12" t="n">
        <v>94</v>
      </c>
    </row>
    <row r="95">
      <c r="A95" s="6" t="inlineStr">
        <is>
          <t>U3-03</t>
        </is>
      </c>
      <c r="B95" s="5" t="n">
        <v>3</v>
      </c>
      <c r="C95" s="10" t="n">
        <v>6873263.9</v>
      </c>
      <c r="D95" s="10" t="n">
        <v>2233126.7</v>
      </c>
      <c r="E95" s="27" t="n">
        <v>-120.899019</v>
      </c>
      <c r="F95" s="27" t="n">
        <v>39.28895</v>
      </c>
      <c r="G95" s="5" t="n">
        <v>3276</v>
      </c>
      <c r="H95" s="5" t="n">
        <v>18.2</v>
      </c>
      <c r="I95" s="5" t="n">
        <v>307</v>
      </c>
      <c r="J95" s="5" t="n">
        <v>12</v>
      </c>
      <c r="K95" s="5" t="n">
        <v>292.7394850651658</v>
      </c>
      <c r="L95" s="5" t="n">
        <v>200</v>
      </c>
      <c r="M95" s="5" t="n">
        <v>180</v>
      </c>
      <c r="N95" s="8" t="n">
        <v>10.61788539571018</v>
      </c>
      <c r="O95" s="5" t="n">
        <v>299.7755918508158</v>
      </c>
      <c r="P95" s="10" t="n">
        <v>3609.72</v>
      </c>
      <c r="Q95" s="10" t="n">
        <v>18125.98308</v>
      </c>
      <c r="R95" s="10" t="n">
        <v>16747.605036</v>
      </c>
      <c r="S95" s="8" t="n">
        <v>16.51742430522799</v>
      </c>
      <c r="T95" s="5" t="n">
        <v>119.5</v>
      </c>
    </row>
    <row r="96">
      <c r="A96" s="13" t="inlineStr">
        <is>
          <t>U3-04</t>
        </is>
      </c>
      <c r="B96" s="12" t="n">
        <v>3</v>
      </c>
      <c r="C96" s="17" t="n">
        <v>6873663.9</v>
      </c>
      <c r="D96" s="17" t="n">
        <v>2232726.7</v>
      </c>
      <c r="E96" s="28" t="n">
        <v>-120.897623</v>
      </c>
      <c r="F96" s="28" t="n">
        <v>39.287839</v>
      </c>
      <c r="G96" s="12" t="n">
        <v>3361</v>
      </c>
      <c r="H96" s="12" t="n">
        <v>29.1</v>
      </c>
      <c r="I96" s="12" t="n">
        <v>314</v>
      </c>
      <c r="J96" s="12" t="n">
        <v>20</v>
      </c>
      <c r="K96" s="12" t="n">
        <v>267.6639089140244</v>
      </c>
      <c r="L96" s="12" t="n">
        <v>200</v>
      </c>
      <c r="M96" s="12" t="n">
        <v>360</v>
      </c>
      <c r="N96" s="15" t="n">
        <v>15.70358376920115</v>
      </c>
      <c r="O96" s="12" t="n">
        <v>538.212687898734</v>
      </c>
      <c r="P96" s="17" t="n">
        <v>10189.8</v>
      </c>
      <c r="Q96" s="17" t="n">
        <v>47317.38444</v>
      </c>
      <c r="R96" s="17" t="n">
        <v>44543.18577239999</v>
      </c>
      <c r="S96" s="15" t="n">
        <v>0</v>
      </c>
      <c r="T96" s="12" t="n">
        <v>110.25</v>
      </c>
    </row>
    <row r="97">
      <c r="A97" s="6" t="inlineStr">
        <is>
          <t>U3-05</t>
        </is>
      </c>
      <c r="B97" s="5" t="n">
        <v>3</v>
      </c>
      <c r="C97" s="10" t="n">
        <v>6874063.9</v>
      </c>
      <c r="D97" s="10" t="n">
        <v>2232726.7</v>
      </c>
      <c r="E97" s="27" t="n">
        <v>-120.89621</v>
      </c>
      <c r="F97" s="27" t="n">
        <v>39.287825</v>
      </c>
      <c r="G97" s="5" t="n">
        <v>3388</v>
      </c>
      <c r="H97" s="5" t="n">
        <v>31.6</v>
      </c>
      <c r="I97" s="5" t="n">
        <v>258</v>
      </c>
      <c r="J97" s="5" t="n">
        <v>14</v>
      </c>
      <c r="K97" s="5" t="n">
        <v>304.9090081889649</v>
      </c>
      <c r="L97" s="5" t="n">
        <v>200</v>
      </c>
      <c r="M97" s="5" t="n">
        <v>240</v>
      </c>
      <c r="N97" s="8" t="n">
        <v>12.01331670368588</v>
      </c>
      <c r="O97" s="5" t="n">
        <v>360.1611518811171</v>
      </c>
      <c r="P97" s="10" t="n">
        <v>6759.720000000001</v>
      </c>
      <c r="Q97" s="10" t="n">
        <v>35308.77372</v>
      </c>
      <c r="R97" s="10" t="n">
        <v>32028.1134696</v>
      </c>
      <c r="S97" s="8" t="n">
        <v>0</v>
      </c>
      <c r="T97" s="5" t="n">
        <v>110.6</v>
      </c>
    </row>
    <row r="98">
      <c r="A98" s="13" t="inlineStr">
        <is>
          <t>U3-06</t>
        </is>
      </c>
      <c r="B98" s="12" t="n">
        <v>3</v>
      </c>
      <c r="C98" s="17" t="n">
        <v>6875663.9</v>
      </c>
      <c r="D98" s="17" t="n">
        <v>2234326.7</v>
      </c>
      <c r="E98" s="28" t="n">
        <v>-120.890489</v>
      </c>
      <c r="F98" s="28" t="n">
        <v>39.292164</v>
      </c>
      <c r="G98" s="12" t="n">
        <v>3506</v>
      </c>
      <c r="H98" s="12" t="n">
        <v>31.7</v>
      </c>
      <c r="I98" s="12" t="n">
        <v>253</v>
      </c>
      <c r="J98" s="12" t="n">
        <v>9</v>
      </c>
      <c r="K98" s="12" t="n">
        <v>80.90343572790415</v>
      </c>
      <c r="L98" s="12" t="n">
        <v>100</v>
      </c>
      <c r="M98" s="12" t="n">
        <v>120</v>
      </c>
      <c r="N98" s="15" t="n">
        <v>16.49109804143293</v>
      </c>
      <c r="O98" s="12" t="n">
        <v>175.5271293882052</v>
      </c>
      <c r="P98" s="17" t="n">
        <v>3900.96</v>
      </c>
      <c r="Q98" s="17" t="n">
        <v>18163.52748</v>
      </c>
      <c r="R98" s="17" t="n">
        <v>17202.8190852</v>
      </c>
      <c r="S98" s="15" t="n">
        <v>21.82624895480404</v>
      </c>
      <c r="T98" s="12" t="n">
        <v>104</v>
      </c>
    </row>
    <row r="99">
      <c r="A99" s="6" t="inlineStr">
        <is>
          <t>U4-01</t>
        </is>
      </c>
      <c r="B99" s="5" t="n">
        <v>4</v>
      </c>
      <c r="C99" s="10" t="n">
        <v>6873263.9</v>
      </c>
      <c r="D99" s="10" t="n">
        <v>2233926.7</v>
      </c>
      <c r="E99" s="27" t="n">
        <v>-120.898985</v>
      </c>
      <c r="F99" s="27" t="n">
        <v>39.291146</v>
      </c>
      <c r="G99" s="5" t="n">
        <v>3189</v>
      </c>
      <c r="H99" s="5" t="n">
        <v>44.9</v>
      </c>
      <c r="I99" s="5" t="n">
        <v>282</v>
      </c>
      <c r="J99" s="5" t="n">
        <v>14</v>
      </c>
      <c r="K99" s="5" t="n">
        <v>595.2131977859585</v>
      </c>
      <c r="L99" s="5" t="n">
        <v>200</v>
      </c>
      <c r="M99" s="5" t="n">
        <v>220</v>
      </c>
      <c r="N99" s="8" t="n">
        <v>8.232230033591566</v>
      </c>
      <c r="O99" s="5" t="n">
        <v>389.3511233183088</v>
      </c>
      <c r="P99" s="10" t="n">
        <v>3863.159999999999</v>
      </c>
      <c r="Q99" s="10" t="n">
        <v>20619.35568</v>
      </c>
      <c r="R99" s="10" t="n">
        <v>19836.08766719999</v>
      </c>
      <c r="S99" s="8" t="n">
        <v>61.84910389616574</v>
      </c>
      <c r="T99" s="5" t="n">
        <v>108.25</v>
      </c>
    </row>
    <row r="100">
      <c r="A100" s="13" t="inlineStr">
        <is>
          <t>U4-02</t>
        </is>
      </c>
      <c r="B100" s="12" t="n">
        <v>4</v>
      </c>
      <c r="C100" s="17" t="n">
        <v>6873663.9</v>
      </c>
      <c r="D100" s="17" t="n">
        <v>2233526.7</v>
      </c>
      <c r="E100" s="28" t="n">
        <v>-120.897589</v>
      </c>
      <c r="F100" s="28" t="n">
        <v>39.290035</v>
      </c>
      <c r="G100" s="12" t="n">
        <v>3275</v>
      </c>
      <c r="H100" s="12" t="n">
        <v>37.5</v>
      </c>
      <c r="I100" s="12" t="n">
        <v>310</v>
      </c>
      <c r="J100" s="12" t="n">
        <v>13</v>
      </c>
      <c r="K100" s="12" t="n">
        <v>243.3286830058845</v>
      </c>
      <c r="L100" s="12" t="n">
        <v>100</v>
      </c>
      <c r="M100" s="12" t="n">
        <v>240</v>
      </c>
      <c r="N100" s="15" t="n">
        <v>13.44780494712496</v>
      </c>
      <c r="O100" s="12" t="n">
        <v>345.3667683051942</v>
      </c>
      <c r="P100" s="17" t="n">
        <v>8195.039999999999</v>
      </c>
      <c r="Q100" s="17" t="n">
        <v>42576.70283999999</v>
      </c>
      <c r="R100" s="17" t="n">
        <v>39741.56214839999</v>
      </c>
      <c r="S100" s="15" t="n">
        <v>0</v>
      </c>
      <c r="T100" s="12" t="n">
        <v>114.1428571428571</v>
      </c>
    </row>
    <row r="101">
      <c r="A101" s="6" t="inlineStr">
        <is>
          <t>U4-03</t>
        </is>
      </c>
      <c r="B101" s="5" t="n">
        <v>4</v>
      </c>
      <c r="C101" s="10" t="n">
        <v>6873663.9</v>
      </c>
      <c r="D101" s="10" t="n">
        <v>2233926.7</v>
      </c>
      <c r="E101" s="27" t="n">
        <v>-120.897572</v>
      </c>
      <c r="F101" s="27" t="n">
        <v>39.291133</v>
      </c>
      <c r="G101" s="5" t="n">
        <v>3296</v>
      </c>
      <c r="H101" s="5" t="n">
        <v>15.3</v>
      </c>
      <c r="I101" s="5" t="n">
        <v>227</v>
      </c>
      <c r="J101" s="5" t="n">
        <v>17</v>
      </c>
      <c r="K101" s="5" t="n">
        <v>255.0473160463731</v>
      </c>
      <c r="L101" s="5" t="n">
        <v>600</v>
      </c>
      <c r="M101" s="5" t="n">
        <v>220</v>
      </c>
      <c r="N101" s="8" t="n">
        <v>12.57602507951678</v>
      </c>
      <c r="O101" s="5" t="n">
        <v>345.55596217709</v>
      </c>
      <c r="P101" s="10" t="n">
        <v>5501.879999999999</v>
      </c>
      <c r="Q101" s="10" t="n">
        <v>25584.22656</v>
      </c>
      <c r="R101" s="10" t="n">
        <v>23909.823792</v>
      </c>
      <c r="S101" s="8" t="n">
        <v>0</v>
      </c>
      <c r="T101" s="5" t="n">
        <v>102.75</v>
      </c>
    </row>
    <row r="102">
      <c r="A102" s="13" t="inlineStr">
        <is>
          <t>U4-04</t>
        </is>
      </c>
      <c r="B102" s="12" t="n">
        <v>4</v>
      </c>
      <c r="C102" s="17" t="n">
        <v>6874063.9</v>
      </c>
      <c r="D102" s="17" t="n">
        <v>2233126.7</v>
      </c>
      <c r="E102" s="28" t="n">
        <v>-120.896193</v>
      </c>
      <c r="F102" s="28" t="n">
        <v>39.288923</v>
      </c>
      <c r="G102" s="12" t="n">
        <v>3327</v>
      </c>
      <c r="H102" s="12" t="n">
        <v>37.8</v>
      </c>
      <c r="I102" s="12" t="n">
        <v>269</v>
      </c>
      <c r="J102" s="12" t="n">
        <v>17</v>
      </c>
      <c r="K102" s="12" t="n">
        <v>310.9388072368552</v>
      </c>
      <c r="L102" s="12" t="n">
        <v>300</v>
      </c>
      <c r="M102" s="12" t="n">
        <v>280</v>
      </c>
      <c r="N102" s="15" t="n">
        <v>12.84943360711577</v>
      </c>
      <c r="O102" s="12" t="n">
        <v>438.1854833410205</v>
      </c>
      <c r="P102" s="17" t="n">
        <v>7416.360000000001</v>
      </c>
      <c r="Q102" s="17" t="n">
        <v>33751.17396</v>
      </c>
      <c r="R102" s="17" t="n">
        <v>31491.9573192</v>
      </c>
      <c r="S102" s="15" t="n">
        <v>0</v>
      </c>
      <c r="T102" s="12" t="n">
        <v>92.8</v>
      </c>
    </row>
    <row r="103">
      <c r="A103" s="6" t="inlineStr">
        <is>
          <t>U4-05</t>
        </is>
      </c>
      <c r="B103" s="5" t="n">
        <v>4</v>
      </c>
      <c r="C103" s="10" t="n">
        <v>6874063.9</v>
      </c>
      <c r="D103" s="10" t="n">
        <v>2233526.7</v>
      </c>
      <c r="E103" s="27" t="n">
        <v>-120.896176</v>
      </c>
      <c r="F103" s="27" t="n">
        <v>39.290022</v>
      </c>
      <c r="G103" s="5" t="n">
        <v>3352</v>
      </c>
      <c r="H103" s="5" t="n">
        <v>19.6</v>
      </c>
      <c r="I103" s="5" t="n">
        <v>269</v>
      </c>
      <c r="J103" s="5" t="n">
        <v>18</v>
      </c>
      <c r="K103" s="5" t="n">
        <v>212.4463757033146</v>
      </c>
      <c r="L103" s="5" t="n">
        <v>100</v>
      </c>
      <c r="M103" s="5" t="n">
        <v>300</v>
      </c>
      <c r="N103" s="8" t="n">
        <v>16.09082817617833</v>
      </c>
      <c r="O103" s="5" t="n">
        <v>432.4944536842542</v>
      </c>
      <c r="P103" s="10" t="n">
        <v>8624.16</v>
      </c>
      <c r="Q103" s="10" t="n">
        <v>42144.32124</v>
      </c>
      <c r="R103" s="10" t="n">
        <v>38964.8764512</v>
      </c>
      <c r="S103" s="8" t="n">
        <v>20.84539332405636</v>
      </c>
      <c r="T103" s="5" t="n">
        <v>92.875</v>
      </c>
    </row>
    <row r="104">
      <c r="A104" s="13" t="inlineStr">
        <is>
          <t>U4-06</t>
        </is>
      </c>
      <c r="B104" s="12" t="n">
        <v>4</v>
      </c>
      <c r="C104" s="17" t="n">
        <v>6874063.9</v>
      </c>
      <c r="D104" s="17" t="n">
        <v>2233926.7</v>
      </c>
      <c r="E104" s="28" t="n">
        <v>-120.896159</v>
      </c>
      <c r="F104" s="28" t="n">
        <v>39.29112</v>
      </c>
      <c r="G104" s="12" t="n">
        <v>3364</v>
      </c>
      <c r="H104" s="12" t="n">
        <v>21.2</v>
      </c>
      <c r="I104" s="12" t="n">
        <v>269</v>
      </c>
      <c r="J104" s="12" t="n">
        <v>17</v>
      </c>
      <c r="K104" s="12" t="n">
        <v>526.2763935210385</v>
      </c>
      <c r="L104" s="12" t="n">
        <v>200</v>
      </c>
      <c r="M104" s="12" t="n">
        <v>280</v>
      </c>
      <c r="N104" s="15" t="n">
        <v>9.876760071708572</v>
      </c>
      <c r="O104" s="12" t="n">
        <v>486.4098631227871</v>
      </c>
      <c r="P104" s="17" t="n">
        <v>5159.88</v>
      </c>
      <c r="Q104" s="17" t="n">
        <v>24020.09028</v>
      </c>
      <c r="R104" s="17" t="n">
        <v>22654.0194156</v>
      </c>
      <c r="S104" s="15" t="n">
        <v>15.46227597404144</v>
      </c>
      <c r="T104" s="12" t="n">
        <v>107.6666666666667</v>
      </c>
    </row>
    <row r="105">
      <c r="A105" s="6" t="inlineStr">
        <is>
          <t>U4-07</t>
        </is>
      </c>
      <c r="B105" s="5" t="n">
        <v>4</v>
      </c>
      <c r="C105" s="10" t="n">
        <v>6874463.9</v>
      </c>
      <c r="D105" s="10" t="n">
        <v>2233126.7</v>
      </c>
      <c r="E105" s="27" t="n">
        <v>-120.89478</v>
      </c>
      <c r="F105" s="27" t="n">
        <v>39.28891</v>
      </c>
      <c r="G105" s="5" t="n">
        <v>3402</v>
      </c>
      <c r="H105" s="5" t="n">
        <v>10.7</v>
      </c>
      <c r="I105" s="5" t="n">
        <v>287</v>
      </c>
      <c r="J105" s="5" t="n">
        <v>25</v>
      </c>
      <c r="K105" s="5" t="n">
        <v>420.2728055891757</v>
      </c>
      <c r="L105" s="5" t="n">
        <v>300</v>
      </c>
      <c r="M105" s="5" t="n">
        <v>400</v>
      </c>
      <c r="N105" s="8" t="n">
        <v>13.21012065449344</v>
      </c>
      <c r="O105" s="5" t="n">
        <v>592.3985568485001</v>
      </c>
      <c r="P105" s="10" t="n">
        <v>11511.72</v>
      </c>
      <c r="Q105" s="10" t="n">
        <v>58140.70812</v>
      </c>
      <c r="R105" s="10" t="n">
        <v>54584.8857504</v>
      </c>
      <c r="S105" s="8" t="n">
        <v>14.56150758572865</v>
      </c>
      <c r="T105" s="5" t="n">
        <v>101.5</v>
      </c>
    </row>
    <row r="106">
      <c r="A106" s="13" t="inlineStr">
        <is>
          <t>U4-08</t>
        </is>
      </c>
      <c r="B106" s="12" t="n">
        <v>4</v>
      </c>
      <c r="C106" s="17" t="n">
        <v>6874463.9</v>
      </c>
      <c r="D106" s="17" t="n">
        <v>2233526.7</v>
      </c>
      <c r="E106" s="28" t="n">
        <v>-120.894763</v>
      </c>
      <c r="F106" s="28" t="n">
        <v>39.290008</v>
      </c>
      <c r="G106" s="12" t="n">
        <v>3434</v>
      </c>
      <c r="H106" s="12" t="n">
        <v>15.5</v>
      </c>
      <c r="I106" s="12" t="n">
        <v>208</v>
      </c>
      <c r="J106" s="12" t="n">
        <v>9</v>
      </c>
      <c r="K106" s="12" t="n">
        <v>128.536197232113</v>
      </c>
      <c r="L106" s="12" t="n">
        <v>100</v>
      </c>
      <c r="M106" s="12" t="n">
        <v>160</v>
      </c>
      <c r="N106" s="15" t="n">
        <v>15.10739905274127</v>
      </c>
      <c r="O106" s="12" t="n">
        <v>244.8536037638588</v>
      </c>
      <c r="P106" s="17" t="n">
        <v>4278.96</v>
      </c>
      <c r="Q106" s="17" t="n">
        <v>18980.83152</v>
      </c>
      <c r="R106" s="17" t="n">
        <v>18244.8029232</v>
      </c>
      <c r="S106" s="15" t="n">
        <v>0</v>
      </c>
      <c r="T106" s="12" t="n">
        <v>93</v>
      </c>
    </row>
    <row r="107">
      <c r="A107" s="6" t="inlineStr">
        <is>
          <t>U4-09</t>
        </is>
      </c>
      <c r="B107" s="5" t="n">
        <v>4</v>
      </c>
      <c r="C107" s="10" t="n">
        <v>6874463.9</v>
      </c>
      <c r="D107" s="10" t="n">
        <v>2233926.7</v>
      </c>
      <c r="E107" s="27" t="n">
        <v>-120.894745</v>
      </c>
      <c r="F107" s="27" t="n">
        <v>39.291106</v>
      </c>
      <c r="G107" s="5" t="n">
        <v>3418</v>
      </c>
      <c r="H107" s="5" t="n">
        <v>29.5</v>
      </c>
      <c r="I107" s="5" t="n">
        <v>343</v>
      </c>
      <c r="J107" s="5" t="n">
        <v>22</v>
      </c>
      <c r="K107" s="5" t="n">
        <v>365.0657304197929</v>
      </c>
      <c r="L107" s="5" t="n">
        <v>100</v>
      </c>
      <c r="M107" s="5" t="n">
        <v>420</v>
      </c>
      <c r="N107" s="8" t="n">
        <v>14.52384298203468</v>
      </c>
      <c r="O107" s="5" t="n">
        <v>624.5743978602161</v>
      </c>
      <c r="P107" s="10" t="n">
        <v>11476.08</v>
      </c>
      <c r="Q107" s="10" t="n">
        <v>55031.24124</v>
      </c>
      <c r="R107" s="10" t="n">
        <v>51042.57814439999</v>
      </c>
      <c r="S107" s="8" t="n">
        <v>0</v>
      </c>
      <c r="T107" s="5" t="n">
        <v>92.27272727272727</v>
      </c>
    </row>
    <row r="108">
      <c r="A108" s="13" t="inlineStr">
        <is>
          <t>U4-10</t>
        </is>
      </c>
      <c r="B108" s="12" t="n">
        <v>4</v>
      </c>
      <c r="C108" s="17" t="n">
        <v>6874863.9</v>
      </c>
      <c r="D108" s="17" t="n">
        <v>2233126.7</v>
      </c>
      <c r="E108" s="28" t="n">
        <v>-120.893367</v>
      </c>
      <c r="F108" s="28" t="n">
        <v>39.288897</v>
      </c>
      <c r="G108" s="12" t="n">
        <v>3452</v>
      </c>
      <c r="H108" s="12" t="n">
        <v>19.7</v>
      </c>
      <c r="I108" s="12" t="n">
        <v>283</v>
      </c>
      <c r="J108" s="12" t="n">
        <v>10</v>
      </c>
      <c r="K108" s="12" t="n">
        <v>168.0209890873965</v>
      </c>
      <c r="L108" s="12" t="n">
        <v>100</v>
      </c>
      <c r="M108" s="12" t="n">
        <v>160</v>
      </c>
      <c r="N108" s="15" t="n">
        <v>13.21358479577678</v>
      </c>
      <c r="O108" s="12" t="n">
        <v>244.4880661412682</v>
      </c>
      <c r="P108" s="17" t="n">
        <v>4588.92</v>
      </c>
      <c r="Q108" s="17" t="n">
        <v>22265.87832</v>
      </c>
      <c r="R108" s="17" t="n">
        <v>21234.0158856</v>
      </c>
      <c r="S108" s="15" t="n">
        <v>11.19328888008201</v>
      </c>
      <c r="T108" s="12" t="n">
        <v>95.8</v>
      </c>
    </row>
    <row r="109">
      <c r="A109" s="6" t="inlineStr">
        <is>
          <t>U4-11</t>
        </is>
      </c>
      <c r="B109" s="5" t="n">
        <v>4</v>
      </c>
      <c r="C109" s="10" t="n">
        <v>6874863.9</v>
      </c>
      <c r="D109" s="10" t="n">
        <v>2233526.7</v>
      </c>
      <c r="E109" s="27" t="n">
        <v>-120.893349</v>
      </c>
      <c r="F109" s="27" t="n">
        <v>39.289995</v>
      </c>
      <c r="G109" s="5" t="n">
        <v>3511</v>
      </c>
      <c r="H109" s="5" t="n">
        <v>26.9</v>
      </c>
      <c r="I109" s="5" t="n">
        <v>199</v>
      </c>
      <c r="J109" s="5" t="n">
        <v>16</v>
      </c>
      <c r="K109" s="5" t="n">
        <v>520.6029291351555</v>
      </c>
      <c r="L109" s="5" t="n">
        <v>300</v>
      </c>
      <c r="M109" s="5" t="n">
        <v>260</v>
      </c>
      <c r="N109" s="8" t="n">
        <v>9.569203788259955</v>
      </c>
      <c r="O109" s="5" t="n">
        <v>432.0053441016894</v>
      </c>
      <c r="P109" s="10" t="n">
        <v>6223.68</v>
      </c>
      <c r="Q109" s="10" t="n">
        <v>29488.91112</v>
      </c>
      <c r="R109" s="10" t="n">
        <v>27643.8535452</v>
      </c>
      <c r="S109" s="8" t="n">
        <v>0</v>
      </c>
      <c r="T109" s="5" t="n">
        <v>105.25</v>
      </c>
    </row>
    <row r="110">
      <c r="A110" s="13" t="inlineStr">
        <is>
          <t>U4-12</t>
        </is>
      </c>
      <c r="B110" s="12" t="n">
        <v>4</v>
      </c>
      <c r="C110" s="17" t="n">
        <v>6874863.9</v>
      </c>
      <c r="D110" s="17" t="n">
        <v>2233926.7</v>
      </c>
      <c r="E110" s="28" t="n">
        <v>-120.893332</v>
      </c>
      <c r="F110" s="28" t="n">
        <v>39.291093</v>
      </c>
      <c r="G110" s="12" t="n">
        <v>3476</v>
      </c>
      <c r="H110" s="12" t="n">
        <v>45.7</v>
      </c>
      <c r="I110" s="12" t="n">
        <v>4</v>
      </c>
      <c r="J110" s="12" t="n">
        <v>12</v>
      </c>
      <c r="K110" s="12" t="n">
        <v>243.9136287039601</v>
      </c>
      <c r="L110" s="12" t="n">
        <v>200</v>
      </c>
      <c r="M110" s="12" t="n">
        <v>200</v>
      </c>
      <c r="N110" s="15" t="n">
        <v>12.26138127827866</v>
      </c>
      <c r="O110" s="12" t="n">
        <v>325.7774539609165</v>
      </c>
      <c r="P110" s="17" t="n">
        <v>4800.6</v>
      </c>
      <c r="Q110" s="17" t="n">
        <v>20812.28688</v>
      </c>
      <c r="R110" s="17" t="n">
        <v>19781.9751528</v>
      </c>
      <c r="S110" s="15" t="n">
        <v>0</v>
      </c>
      <c r="T110" s="12" t="n">
        <v>86.5</v>
      </c>
    </row>
    <row r="111">
      <c r="A111" s="6" t="inlineStr">
        <is>
          <t>U4-13</t>
        </is>
      </c>
      <c r="B111" s="5" t="n">
        <v>4</v>
      </c>
      <c r="C111" s="10" t="n">
        <v>6875263.9</v>
      </c>
      <c r="D111" s="10" t="n">
        <v>2233126.7</v>
      </c>
      <c r="E111" s="27" t="n">
        <v>-120.891953</v>
      </c>
      <c r="F111" s="27" t="n">
        <v>39.288883</v>
      </c>
      <c r="G111" s="5" t="n">
        <v>3547</v>
      </c>
      <c r="H111" s="5" t="n">
        <v>47.1</v>
      </c>
      <c r="I111" s="5" t="n">
        <v>264</v>
      </c>
      <c r="J111" s="5" t="n">
        <v>13</v>
      </c>
      <c r="K111" s="5" t="n">
        <v>309.4359441485602</v>
      </c>
      <c r="L111" s="5" t="n">
        <v>300</v>
      </c>
      <c r="M111" s="5" t="n">
        <v>200</v>
      </c>
      <c r="N111" s="8" t="n">
        <v>10.88609327149929</v>
      </c>
      <c r="O111" s="5" t="n">
        <v>336.2088942735289</v>
      </c>
      <c r="P111" s="10" t="n">
        <v>4253.4</v>
      </c>
      <c r="Q111" s="10" t="n">
        <v>18913.38516</v>
      </c>
      <c r="R111" s="10" t="n">
        <v>17803.443798</v>
      </c>
      <c r="S111" s="8" t="n">
        <v>0</v>
      </c>
      <c r="T111" s="5" t="n">
        <v>94.33333333333333</v>
      </c>
    </row>
    <row r="112">
      <c r="A112" s="13" t="inlineStr">
        <is>
          <t>U4-14</t>
        </is>
      </c>
      <c r="B112" s="12" t="n">
        <v>4</v>
      </c>
      <c r="C112" s="17" t="n">
        <v>6875263.9</v>
      </c>
      <c r="D112" s="17" t="n">
        <v>2233526.7</v>
      </c>
      <c r="E112" s="28" t="n">
        <v>-120.891936</v>
      </c>
      <c r="F112" s="28" t="n">
        <v>39.289982</v>
      </c>
      <c r="G112" s="12" t="n">
        <v>3598</v>
      </c>
      <c r="H112" s="12" t="n">
        <v>48.4</v>
      </c>
      <c r="I112" s="12" t="n">
        <v>312</v>
      </c>
      <c r="J112" s="12" t="n">
        <v>17</v>
      </c>
      <c r="K112" s="12" t="n">
        <v>396.0448785415824</v>
      </c>
      <c r="L112" s="12" t="n">
        <v>300</v>
      </c>
      <c r="M112" s="12" t="n">
        <v>280</v>
      </c>
      <c r="N112" s="15" t="n">
        <v>11.38542503396595</v>
      </c>
      <c r="O112" s="12" t="n">
        <v>431.7452728049644</v>
      </c>
      <c r="P112" s="17" t="n">
        <v>8051.4</v>
      </c>
      <c r="Q112" s="17" t="n">
        <v>40185.03636</v>
      </c>
      <c r="R112" s="17" t="n">
        <v>37691.39515679999</v>
      </c>
      <c r="S112" s="15" t="n">
        <v>0</v>
      </c>
      <c r="T112" s="12" t="n">
        <v>108.1428571428571</v>
      </c>
    </row>
    <row r="113">
      <c r="A113" s="6" t="inlineStr">
        <is>
          <t>U5-01</t>
        </is>
      </c>
      <c r="B113" s="5" t="n">
        <v>5</v>
      </c>
      <c r="C113" s="10" t="n">
        <v>6870863.9</v>
      </c>
      <c r="D113" s="10" t="n">
        <v>2236326.7</v>
      </c>
      <c r="E113" s="27" t="n">
        <v>-120.907363</v>
      </c>
      <c r="F113" s="27" t="n">
        <v>39.297815</v>
      </c>
      <c r="G113" s="5" t="n">
        <v>3649</v>
      </c>
      <c r="H113" s="5" t="n">
        <v>55.8</v>
      </c>
      <c r="I113" s="5" t="n">
        <v>156</v>
      </c>
      <c r="J113" s="5" t="n">
        <v>7</v>
      </c>
      <c r="K113" s="5" t="n">
        <v>63.30427306614148</v>
      </c>
      <c r="L113" s="5" t="n">
        <v>100</v>
      </c>
      <c r="M113" s="5" t="n">
        <v>120</v>
      </c>
      <c r="N113" s="8" t="n">
        <v>18.64303192101964</v>
      </c>
      <c r="O113" s="5" t="n">
        <v>154.8055552492744</v>
      </c>
      <c r="P113" s="10" t="n">
        <v>4142.88</v>
      </c>
      <c r="Q113" s="10" t="n">
        <v>23929.87968</v>
      </c>
      <c r="R113" s="10" t="n">
        <v>23145.891048</v>
      </c>
      <c r="S113" s="8" t="n">
        <v>0</v>
      </c>
      <c r="T113" s="5" t="n">
        <v>114.25</v>
      </c>
    </row>
    <row r="114">
      <c r="A114" s="13" t="inlineStr">
        <is>
          <t>U5-02</t>
        </is>
      </c>
      <c r="B114" s="12" t="n">
        <v>5</v>
      </c>
      <c r="C114" s="17" t="n">
        <v>6871263.9</v>
      </c>
      <c r="D114" s="17" t="n">
        <v>2236326.7</v>
      </c>
      <c r="E114" s="28" t="n">
        <v>-120.905949</v>
      </c>
      <c r="F114" s="28" t="n">
        <v>39.297802</v>
      </c>
      <c r="G114" s="12" t="n">
        <v>3580</v>
      </c>
      <c r="H114" s="12" t="n">
        <v>72.2</v>
      </c>
      <c r="I114" s="12" t="n">
        <v>134</v>
      </c>
      <c r="J114" s="12" t="n">
        <v>11</v>
      </c>
      <c r="K114" s="12" t="n">
        <v>130.6649302607203</v>
      </c>
      <c r="L114" s="12" t="n">
        <v>200</v>
      </c>
      <c r="M114" s="12" t="n">
        <v>160</v>
      </c>
      <c r="N114" s="15" t="n">
        <v>14.98383230971964</v>
      </c>
      <c r="O114" s="12" t="n">
        <v>243.8658316737991</v>
      </c>
      <c r="P114" s="17" t="n">
        <v>3632.04</v>
      </c>
      <c r="Q114" s="17" t="n">
        <v>16445.02824</v>
      </c>
      <c r="R114" s="17" t="n">
        <v>15029.4678624</v>
      </c>
      <c r="S114" s="15" t="n">
        <v>116.9334620536884</v>
      </c>
      <c r="T114" s="12" t="n">
        <v>90</v>
      </c>
    </row>
    <row r="115">
      <c r="A115" s="6" t="inlineStr">
        <is>
          <t>U5-03</t>
        </is>
      </c>
      <c r="B115" s="5" t="n">
        <v>5</v>
      </c>
      <c r="C115" s="10" t="n">
        <v>6871263.9</v>
      </c>
      <c r="D115" s="10" t="n">
        <v>2236726.7</v>
      </c>
      <c r="E115" s="27" t="n">
        <v>-120.905932</v>
      </c>
      <c r="F115" s="27" t="n">
        <v>39.2989</v>
      </c>
      <c r="G115" s="5" t="n">
        <v>3809</v>
      </c>
      <c r="H115" s="5" t="n">
        <v>52</v>
      </c>
      <c r="I115" s="5" t="n">
        <v>114</v>
      </c>
      <c r="J115" s="5" t="n">
        <v>18</v>
      </c>
      <c r="K115" s="5" t="n">
        <v>217.6010385515641</v>
      </c>
      <c r="L115" s="5" t="n">
        <v>200</v>
      </c>
      <c r="M115" s="5" t="n">
        <v>320</v>
      </c>
      <c r="N115" s="8" t="n">
        <v>16.42052129876189</v>
      </c>
      <c r="O115" s="5" t="n">
        <v>448.9393005562986</v>
      </c>
      <c r="P115" s="10" t="n">
        <v>9941.400000000001</v>
      </c>
      <c r="Q115" s="10" t="n">
        <v>51972.5052</v>
      </c>
      <c r="R115" s="10" t="n">
        <v>47003.7627864</v>
      </c>
      <c r="S115" s="8" t="n">
        <v>0</v>
      </c>
      <c r="T115" s="5" t="n">
        <v>126.4</v>
      </c>
    </row>
    <row r="116">
      <c r="A116" s="13" t="inlineStr">
        <is>
          <t>U5-04</t>
        </is>
      </c>
      <c r="B116" s="12" t="n">
        <v>5</v>
      </c>
      <c r="C116" s="17" t="n">
        <v>6871663.9</v>
      </c>
      <c r="D116" s="17" t="n">
        <v>2236726.7</v>
      </c>
      <c r="E116" s="28" t="n">
        <v>-120.904519</v>
      </c>
      <c r="F116" s="28" t="n">
        <v>39.298887</v>
      </c>
      <c r="G116" s="12" t="n">
        <v>3628</v>
      </c>
      <c r="H116" s="12" t="n">
        <v>86.59999999999999</v>
      </c>
      <c r="I116" s="12" t="n">
        <v>143</v>
      </c>
      <c r="J116" s="12" t="n">
        <v>12</v>
      </c>
      <c r="K116" s="12" t="n">
        <v>433.4751702210072</v>
      </c>
      <c r="L116" s="12" t="n">
        <v>0</v>
      </c>
      <c r="M116" s="12" t="n">
        <v>240</v>
      </c>
      <c r="N116" s="15" t="n">
        <v>10.07548454416946</v>
      </c>
      <c r="O116" s="12" t="n">
        <v>397.7726246927318</v>
      </c>
      <c r="P116" s="17" t="n">
        <v>4997.16</v>
      </c>
      <c r="Q116" s="17" t="n">
        <v>25202.89296</v>
      </c>
      <c r="R116" s="17" t="n">
        <v>24388.27839</v>
      </c>
      <c r="S116" s="15" t="n">
        <v>0</v>
      </c>
      <c r="T116" s="12" t="n">
        <v>111.3333333333333</v>
      </c>
    </row>
    <row r="117">
      <c r="A117" s="6" t="inlineStr">
        <is>
          <t>U5-05</t>
        </is>
      </c>
      <c r="B117" s="5" t="n">
        <v>5</v>
      </c>
      <c r="C117" s="10" t="n">
        <v>6871663.9</v>
      </c>
      <c r="D117" s="10" t="n">
        <v>2237126.7</v>
      </c>
      <c r="E117" s="27" t="n">
        <v>-120.904502</v>
      </c>
      <c r="F117" s="27" t="n">
        <v>39.299985</v>
      </c>
      <c r="G117" s="5" t="n">
        <v>3858</v>
      </c>
      <c r="H117" s="5" t="n">
        <v>49.2</v>
      </c>
      <c r="I117" s="5" t="n">
        <v>126</v>
      </c>
      <c r="J117" s="5" t="n">
        <v>13</v>
      </c>
      <c r="K117" s="5" t="n">
        <v>420.7054752714209</v>
      </c>
      <c r="L117" s="5" t="n">
        <v>200</v>
      </c>
      <c r="M117" s="5" t="n">
        <v>200</v>
      </c>
      <c r="N117" s="8" t="n">
        <v>9.336161355281957</v>
      </c>
      <c r="O117" s="5" t="n">
        <v>327.4458524968579</v>
      </c>
      <c r="P117" s="10" t="n">
        <v>4747.68</v>
      </c>
      <c r="Q117" s="10" t="n">
        <v>25912.23264</v>
      </c>
      <c r="R117" s="10" t="n">
        <v>25120.6127928</v>
      </c>
      <c r="S117" s="8" t="n">
        <v>11.57377026260468</v>
      </c>
      <c r="T117" s="5" t="n">
        <v>121.75</v>
      </c>
    </row>
    <row r="118">
      <c r="A118" s="13" t="inlineStr">
        <is>
          <t>U5-06</t>
        </is>
      </c>
      <c r="B118" s="12" t="n">
        <v>5</v>
      </c>
      <c r="C118" s="17" t="n">
        <v>6872063.9</v>
      </c>
      <c r="D118" s="17" t="n">
        <v>2236726.7</v>
      </c>
      <c r="E118" s="28" t="n">
        <v>-120.903106</v>
      </c>
      <c r="F118" s="28" t="n">
        <v>39.298874</v>
      </c>
      <c r="G118" s="12" t="n">
        <v>3612</v>
      </c>
      <c r="H118" s="12" t="n">
        <v>50.2</v>
      </c>
      <c r="I118" s="12" t="n">
        <v>138</v>
      </c>
      <c r="J118" s="12" t="n">
        <v>6</v>
      </c>
      <c r="K118" s="12" t="n">
        <v>111.7547788582918</v>
      </c>
      <c r="L118" s="12" t="n">
        <v>100</v>
      </c>
      <c r="M118" s="12" t="n">
        <v>100</v>
      </c>
      <c r="N118" s="15" t="n">
        <v>12.80882763324497</v>
      </c>
      <c r="O118" s="12" t="n">
        <v>146.1495727689044</v>
      </c>
      <c r="P118" s="17" t="n">
        <v>2812.32</v>
      </c>
      <c r="Q118" s="17" t="n">
        <v>16495.59492</v>
      </c>
      <c r="R118" s="17" t="n">
        <v>13760.8146648</v>
      </c>
      <c r="S118" s="15" t="n">
        <v>0</v>
      </c>
      <c r="T118" s="12" t="n">
        <v>136.5</v>
      </c>
    </row>
    <row r="119">
      <c r="A119" s="6" t="inlineStr">
        <is>
          <t>U5-07</t>
        </is>
      </c>
      <c r="B119" s="5" t="n">
        <v>5</v>
      </c>
      <c r="C119" s="10" t="n">
        <v>6872063.9</v>
      </c>
      <c r="D119" s="10" t="n">
        <v>2237126.7</v>
      </c>
      <c r="E119" s="27" t="n">
        <v>-120.903088</v>
      </c>
      <c r="F119" s="27" t="n">
        <v>39.299972</v>
      </c>
      <c r="G119" s="5" t="n">
        <v>3682</v>
      </c>
      <c r="H119" s="5" t="n">
        <v>56.4</v>
      </c>
      <c r="I119" s="5" t="n">
        <v>163</v>
      </c>
      <c r="J119" s="5" t="n">
        <v>7</v>
      </c>
      <c r="K119" s="5" t="n">
        <v>99.92689727353158</v>
      </c>
      <c r="L119" s="5" t="n">
        <v>0</v>
      </c>
      <c r="M119" s="5" t="n">
        <v>140</v>
      </c>
      <c r="N119" s="8" t="n">
        <v>16.02748022221191</v>
      </c>
      <c r="O119" s="5" t="n">
        <v>191.9603268259922</v>
      </c>
      <c r="P119" s="10" t="n">
        <v>4672.08</v>
      </c>
      <c r="Q119" s="10" t="n">
        <v>26061.11172</v>
      </c>
      <c r="R119" s="10" t="n">
        <v>24720.7205448</v>
      </c>
      <c r="S119" s="8" t="n">
        <v>0</v>
      </c>
      <c r="T119" s="5" t="n">
        <v>123.25</v>
      </c>
    </row>
    <row r="120">
      <c r="A120" s="13" t="inlineStr">
        <is>
          <t>U5-08</t>
        </is>
      </c>
      <c r="B120" s="12" t="n">
        <v>5</v>
      </c>
      <c r="C120" s="17" t="n">
        <v>6872063.9</v>
      </c>
      <c r="D120" s="17" t="n">
        <v>2237526.7</v>
      </c>
      <c r="E120" s="28" t="n">
        <v>-120.903071</v>
      </c>
      <c r="F120" s="28" t="n">
        <v>39.30107</v>
      </c>
      <c r="G120" s="12" t="n">
        <v>3747</v>
      </c>
      <c r="H120" s="12" t="n">
        <v>39.6</v>
      </c>
      <c r="I120" s="12" t="n">
        <v>89</v>
      </c>
      <c r="J120" s="12" t="n">
        <v>9</v>
      </c>
      <c r="K120" s="12" t="n">
        <v>234.5287973741933</v>
      </c>
      <c r="L120" s="12" t="n">
        <v>100</v>
      </c>
      <c r="M120" s="12" t="n">
        <v>160</v>
      </c>
      <c r="N120" s="15" t="n">
        <v>11.18418484599102</v>
      </c>
      <c r="O120" s="12" t="n">
        <v>234.3406378253258</v>
      </c>
      <c r="P120" s="17" t="n">
        <v>4959.360000000001</v>
      </c>
      <c r="Q120" s="17" t="n">
        <v>27369.6192</v>
      </c>
      <c r="R120" s="17" t="n">
        <v>25269.2293896</v>
      </c>
      <c r="S120" s="15" t="n">
        <v>0</v>
      </c>
      <c r="T120" s="12" t="n">
        <v>131</v>
      </c>
    </row>
    <row r="121">
      <c r="A121" s="6" t="inlineStr">
        <is>
          <t>U5-09</t>
        </is>
      </c>
      <c r="B121" s="5" t="n">
        <v>5</v>
      </c>
      <c r="C121" s="10" t="n">
        <v>6872463.9</v>
      </c>
      <c r="D121" s="10" t="n">
        <v>2236726.7</v>
      </c>
      <c r="E121" s="27" t="n">
        <v>-120.901692</v>
      </c>
      <c r="F121" s="27" t="n">
        <v>39.29886</v>
      </c>
      <c r="G121" s="5" t="n">
        <v>3437</v>
      </c>
      <c r="H121" s="5" t="n">
        <v>56.7</v>
      </c>
      <c r="I121" s="5" t="n">
        <v>85</v>
      </c>
      <c r="J121" s="5" t="n">
        <v>18</v>
      </c>
      <c r="K121" s="5" t="n">
        <v>417.0462647168961</v>
      </c>
      <c r="L121" s="5" t="n">
        <v>0</v>
      </c>
      <c r="M121" s="5" t="n">
        <v>300</v>
      </c>
      <c r="N121" s="8" t="n">
        <v>11.48446960465497</v>
      </c>
      <c r="O121" s="5" t="n">
        <v>455.7867918029313</v>
      </c>
      <c r="P121" s="10" t="n">
        <v>8520.480000000001</v>
      </c>
      <c r="Q121" s="10" t="n">
        <v>43818.74675999999</v>
      </c>
      <c r="R121" s="10" t="n">
        <v>40861.4716836</v>
      </c>
      <c r="S121" s="8" t="n">
        <v>154.2175992649301</v>
      </c>
      <c r="T121" s="5" t="n">
        <v>137</v>
      </c>
    </row>
    <row r="122">
      <c r="A122" s="13" t="inlineStr">
        <is>
          <t>U6-01</t>
        </is>
      </c>
      <c r="B122" s="12" t="n">
        <v>6</v>
      </c>
      <c r="C122" s="17" t="n">
        <v>6872863.9</v>
      </c>
      <c r="D122" s="17" t="n">
        <v>2234326.7</v>
      </c>
      <c r="E122" s="28" t="n">
        <v>-120.900381</v>
      </c>
      <c r="F122" s="28" t="n">
        <v>39.292258</v>
      </c>
      <c r="G122" s="12" t="n">
        <v>3208</v>
      </c>
      <c r="H122" s="12" t="n">
        <v>51</v>
      </c>
      <c r="I122" s="12" t="n">
        <v>159</v>
      </c>
      <c r="J122" s="12" t="n">
        <v>12</v>
      </c>
      <c r="K122" s="12" t="n">
        <v>393.1735823239544</v>
      </c>
      <c r="L122" s="12" t="n">
        <v>0</v>
      </c>
      <c r="M122" s="12" t="n">
        <v>180</v>
      </c>
      <c r="N122" s="15" t="n">
        <v>9.161920542268044</v>
      </c>
      <c r="O122" s="12" t="n">
        <v>296.5261442695823</v>
      </c>
      <c r="P122" s="17" t="n">
        <v>4248.719999999999</v>
      </c>
      <c r="Q122" s="17" t="n">
        <v>23482.20672</v>
      </c>
      <c r="R122" s="17" t="n">
        <v>22078.7913024</v>
      </c>
      <c r="S122" s="15" t="n">
        <v>38.08657270750821</v>
      </c>
      <c r="T122" s="12" t="n">
        <v>137.6666666666667</v>
      </c>
    </row>
    <row r="123">
      <c r="A123" s="6" t="inlineStr">
        <is>
          <t>U6-02</t>
        </is>
      </c>
      <c r="B123" s="5" t="n">
        <v>6</v>
      </c>
      <c r="C123" s="10" t="n">
        <v>6873663.9</v>
      </c>
      <c r="D123" s="10" t="n">
        <v>2234726.7</v>
      </c>
      <c r="E123" s="27" t="n">
        <v>-120.897538</v>
      </c>
      <c r="F123" s="27" t="n">
        <v>39.293329</v>
      </c>
      <c r="G123" s="5" t="n">
        <v>3149</v>
      </c>
      <c r="H123" s="5" t="n">
        <v>65.90000000000001</v>
      </c>
      <c r="I123" s="5" t="n">
        <v>152</v>
      </c>
      <c r="J123" s="5" t="n">
        <v>13</v>
      </c>
      <c r="K123" s="5" t="n">
        <v>202.8604969740338</v>
      </c>
      <c r="L123" s="5" t="n">
        <v>200</v>
      </c>
      <c r="M123" s="5" t="n">
        <v>200</v>
      </c>
      <c r="N123" s="8" t="n">
        <v>13.44493442810688</v>
      </c>
      <c r="O123" s="5" t="n">
        <v>308.8320959490712</v>
      </c>
      <c r="P123" s="10" t="n">
        <v>4953.24</v>
      </c>
      <c r="Q123" s="10" t="n">
        <v>23778.81864</v>
      </c>
      <c r="R123" s="10" t="n">
        <v>22771.325106</v>
      </c>
      <c r="S123" s="8" t="n">
        <v>12.68869678201961</v>
      </c>
      <c r="T123" s="5" t="n">
        <v>110</v>
      </c>
    </row>
    <row r="124">
      <c r="A124" s="13" t="inlineStr">
        <is>
          <t>U6-03</t>
        </is>
      </c>
      <c r="B124" s="12" t="n">
        <v>6</v>
      </c>
      <c r="C124" s="17" t="n">
        <v>6874063.9</v>
      </c>
      <c r="D124" s="17" t="n">
        <v>2235126.7</v>
      </c>
      <c r="E124" s="28" t="n">
        <v>-120.896107</v>
      </c>
      <c r="F124" s="28" t="n">
        <v>39.294414</v>
      </c>
      <c r="G124" s="12" t="n">
        <v>3280</v>
      </c>
      <c r="H124" s="12" t="n">
        <v>50.6</v>
      </c>
      <c r="I124" s="12" t="n">
        <v>184</v>
      </c>
      <c r="J124" s="12" t="n">
        <v>11</v>
      </c>
      <c r="K124" s="12" t="n">
        <v>265.4052928768535</v>
      </c>
      <c r="L124" s="12" t="n">
        <v>0</v>
      </c>
      <c r="M124" s="12" t="n">
        <v>220</v>
      </c>
      <c r="N124" s="15" t="n">
        <v>12.32818048421932</v>
      </c>
      <c r="O124" s="12" t="n">
        <v>335.5070220080556</v>
      </c>
      <c r="P124" s="17" t="n">
        <v>5791.679999999999</v>
      </c>
      <c r="Q124" s="17" t="n">
        <v>27715.95828</v>
      </c>
      <c r="R124" s="17" t="n">
        <v>26650.4048244</v>
      </c>
      <c r="S124" s="15" t="n">
        <v>0</v>
      </c>
      <c r="T124" s="12" t="n">
        <v>136</v>
      </c>
    </row>
    <row r="125">
      <c r="A125" s="6" t="inlineStr">
        <is>
          <t>U6-04</t>
        </is>
      </c>
      <c r="B125" s="5" t="n">
        <v>6</v>
      </c>
      <c r="C125" s="10" t="n">
        <v>6874463.9</v>
      </c>
      <c r="D125" s="10" t="n">
        <v>2234726.7</v>
      </c>
      <c r="E125" s="27" t="n">
        <v>-120.894711</v>
      </c>
      <c r="F125" s="27" t="n">
        <v>39.293303</v>
      </c>
      <c r="G125" s="5" t="n">
        <v>3142</v>
      </c>
      <c r="H125" s="5" t="n">
        <v>62.3</v>
      </c>
      <c r="I125" s="5" t="n">
        <v>221</v>
      </c>
      <c r="J125" s="5" t="n">
        <v>10</v>
      </c>
      <c r="K125" s="5" t="n">
        <v>123.1575550656634</v>
      </c>
      <c r="L125" s="5" t="n">
        <v>0</v>
      </c>
      <c r="M125" s="5" t="n">
        <v>200</v>
      </c>
      <c r="N125" s="8" t="n">
        <v>17.25547431919918</v>
      </c>
      <c r="O125" s="5" t="n">
        <v>270.442562722542</v>
      </c>
      <c r="P125" s="10" t="n">
        <v>6383.879999999999</v>
      </c>
      <c r="Q125" s="10" t="n">
        <v>35380.20924</v>
      </c>
      <c r="R125" s="10" t="n">
        <v>32827.5065556</v>
      </c>
      <c r="S125" s="8" t="n">
        <v>0</v>
      </c>
      <c r="T125" s="5" t="n">
        <v>114.3333333333333</v>
      </c>
    </row>
    <row r="126">
      <c r="A126" s="13" t="inlineStr">
        <is>
          <t>U6-05</t>
        </is>
      </c>
      <c r="B126" s="12" t="n">
        <v>6</v>
      </c>
      <c r="C126" s="17" t="n">
        <v>6874463.9</v>
      </c>
      <c r="D126" s="17" t="n">
        <v>2235126.7</v>
      </c>
      <c r="E126" s="28" t="n">
        <v>-120.894694</v>
      </c>
      <c r="F126" s="28" t="n">
        <v>39.294401</v>
      </c>
      <c r="G126" s="12" t="n">
        <v>3294</v>
      </c>
      <c r="H126" s="12" t="n">
        <v>61.3</v>
      </c>
      <c r="I126" s="12" t="n">
        <v>236</v>
      </c>
      <c r="J126" s="12" t="n">
        <v>12</v>
      </c>
      <c r="K126" s="12" t="n">
        <v>127.822254982688</v>
      </c>
      <c r="L126" s="12" t="n">
        <v>0</v>
      </c>
      <c r="M126" s="12" t="n">
        <v>240</v>
      </c>
      <c r="N126" s="15" t="n">
        <v>18.55431035081652</v>
      </c>
      <c r="O126" s="12" t="n">
        <v>328.9415309806724</v>
      </c>
      <c r="P126" s="17" t="n">
        <v>8505</v>
      </c>
      <c r="Q126" s="17" t="n">
        <v>43700.45904</v>
      </c>
      <c r="R126" s="17" t="n">
        <v>41353.8773004</v>
      </c>
      <c r="S126" s="15" t="n">
        <v>0</v>
      </c>
      <c r="T126" s="12" t="n">
        <v>125.5</v>
      </c>
    </row>
    <row r="127">
      <c r="A127" s="6" t="inlineStr">
        <is>
          <t>U6-06</t>
        </is>
      </c>
      <c r="B127" s="5" t="n">
        <v>6</v>
      </c>
      <c r="C127" s="10" t="n">
        <v>6874863.9</v>
      </c>
      <c r="D127" s="10" t="n">
        <v>2235126.7</v>
      </c>
      <c r="E127" s="27" t="n">
        <v>-120.893281</v>
      </c>
      <c r="F127" s="27" t="n">
        <v>39.294388</v>
      </c>
      <c r="G127" s="5" t="n">
        <v>3225</v>
      </c>
      <c r="H127" s="5" t="n">
        <v>57.2</v>
      </c>
      <c r="I127" s="5" t="n">
        <v>131</v>
      </c>
      <c r="J127" s="5" t="n">
        <v>6</v>
      </c>
      <c r="K127" s="5" t="n">
        <v>52.80380671698543</v>
      </c>
      <c r="L127" s="5" t="n">
        <v>100</v>
      </c>
      <c r="M127" s="5" t="n">
        <v>100</v>
      </c>
      <c r="N127" s="8" t="n">
        <v>18.63415985678154</v>
      </c>
      <c r="O127" s="5" t="n">
        <v>136.238990776759</v>
      </c>
      <c r="P127" s="10" t="n">
        <v>3394.440000000001</v>
      </c>
      <c r="Q127" s="10" t="n">
        <v>17482.97628</v>
      </c>
      <c r="R127" s="10" t="n">
        <v>16842.1446396</v>
      </c>
      <c r="S127" s="8" t="n">
        <v>0</v>
      </c>
      <c r="T127" s="5" t="n">
        <v>119</v>
      </c>
    </row>
    <row r="128">
      <c r="A128" s="13" t="inlineStr">
        <is>
          <t>U6-07</t>
        </is>
      </c>
      <c r="B128" s="12" t="n">
        <v>6</v>
      </c>
      <c r="C128" s="17" t="n">
        <v>6874863.9</v>
      </c>
      <c r="D128" s="17" t="n">
        <v>2235526.7</v>
      </c>
      <c r="E128" s="28" t="n">
        <v>-120.893263</v>
      </c>
      <c r="F128" s="28" t="n">
        <v>39.295486</v>
      </c>
      <c r="G128" s="12" t="n">
        <v>3285</v>
      </c>
      <c r="H128" s="12" t="n">
        <v>41.5</v>
      </c>
      <c r="I128" s="12" t="n">
        <v>187</v>
      </c>
      <c r="J128" s="12" t="n">
        <v>12</v>
      </c>
      <c r="K128" s="12" t="n">
        <v>215.0128186051004</v>
      </c>
      <c r="L128" s="12" t="n">
        <v>100</v>
      </c>
      <c r="M128" s="12" t="n">
        <v>220</v>
      </c>
      <c r="N128" s="15" t="n">
        <v>13.69687831390164</v>
      </c>
      <c r="O128" s="12" t="n">
        <v>326.7550488305081</v>
      </c>
      <c r="P128" s="17" t="n">
        <v>5933.52</v>
      </c>
      <c r="Q128" s="17" t="n">
        <v>30513.4506</v>
      </c>
      <c r="R128" s="17" t="n">
        <v>28912.65601319999</v>
      </c>
      <c r="S128" s="15" t="n">
        <v>0</v>
      </c>
      <c r="T128" s="12" t="n">
        <v>106.2</v>
      </c>
    </row>
    <row r="129">
      <c r="A129" s="6" t="inlineStr">
        <is>
          <t>U6-08</t>
        </is>
      </c>
      <c r="B129" s="5" t="n">
        <v>6</v>
      </c>
      <c r="C129" s="10" t="n">
        <v>6875263.9</v>
      </c>
      <c r="D129" s="10" t="n">
        <v>2235926.7</v>
      </c>
      <c r="E129" s="27" t="n">
        <v>-120.891833</v>
      </c>
      <c r="F129" s="27" t="n">
        <v>39.296571</v>
      </c>
      <c r="G129" s="5" t="n">
        <v>3414</v>
      </c>
      <c r="H129" s="5" t="n">
        <v>66.40000000000001</v>
      </c>
      <c r="I129" s="5" t="n">
        <v>160</v>
      </c>
      <c r="J129" s="5" t="n">
        <v>32</v>
      </c>
      <c r="K129" s="5" t="n">
        <v>702.3338982358594</v>
      </c>
      <c r="L129" s="5" t="n">
        <v>200</v>
      </c>
      <c r="M129" s="5" t="n">
        <v>580</v>
      </c>
      <c r="N129" s="8" t="n">
        <v>12.30508491066785</v>
      </c>
      <c r="O129" s="5" t="n">
        <v>863.5594726343286</v>
      </c>
      <c r="P129" s="10" t="n">
        <v>15184.44</v>
      </c>
      <c r="Q129" s="10" t="n">
        <v>82050.12324</v>
      </c>
      <c r="R129" s="10" t="n">
        <v>76138.1101188</v>
      </c>
      <c r="S129" s="8" t="n">
        <v>81.68931543781838</v>
      </c>
      <c r="T129" s="5" t="n">
        <v>106.9285714285714</v>
      </c>
    </row>
    <row r="130">
      <c r="A130" s="13" t="inlineStr">
        <is>
          <t>U6-09</t>
        </is>
      </c>
      <c r="B130" s="12" t="n">
        <v>6</v>
      </c>
      <c r="C130" s="17" t="n">
        <v>6875663.9</v>
      </c>
      <c r="D130" s="17" t="n">
        <v>2235926.7</v>
      </c>
      <c r="E130" s="28" t="n">
        <v>-120.890419</v>
      </c>
      <c r="F130" s="28" t="n">
        <v>39.296557</v>
      </c>
      <c r="G130" s="12" t="n">
        <v>3336</v>
      </c>
      <c r="H130" s="12" t="n">
        <v>59.8</v>
      </c>
      <c r="I130" s="12" t="n">
        <v>176</v>
      </c>
      <c r="J130" s="12" t="n">
        <v>16</v>
      </c>
      <c r="K130" s="12" t="n">
        <v>294.9567008836825</v>
      </c>
      <c r="L130" s="12" t="n">
        <v>100</v>
      </c>
      <c r="M130" s="12" t="n">
        <v>280</v>
      </c>
      <c r="N130" s="15" t="n">
        <v>13.19296211650742</v>
      </c>
      <c r="O130" s="12" t="n">
        <v>425.3629682277854</v>
      </c>
      <c r="P130" s="17" t="n">
        <v>7535.880000000001</v>
      </c>
      <c r="Q130" s="17" t="n">
        <v>37262.44224</v>
      </c>
      <c r="R130" s="17" t="n">
        <v>35972.5194864</v>
      </c>
      <c r="S130" s="15" t="n">
        <v>3.40853042274285</v>
      </c>
      <c r="T130" s="12" t="n">
        <v>104.6</v>
      </c>
    </row>
    <row r="131">
      <c r="A131" s="6" t="inlineStr">
        <is>
          <t>U7-01</t>
        </is>
      </c>
      <c r="B131" s="5" t="n">
        <v>7</v>
      </c>
      <c r="C131" s="10" t="n">
        <v>6873663.9</v>
      </c>
      <c r="D131" s="10" t="n">
        <v>2234326.7</v>
      </c>
      <c r="E131" s="27" t="n">
        <v>-120.897555</v>
      </c>
      <c r="F131" s="27" t="n">
        <v>39.292231</v>
      </c>
      <c r="G131" s="5" t="n">
        <v>3175</v>
      </c>
      <c r="H131" s="5" t="n">
        <v>71.8</v>
      </c>
      <c r="I131" s="5" t="n">
        <v>328</v>
      </c>
      <c r="J131" s="5" t="n">
        <v>16</v>
      </c>
      <c r="K131" s="5" t="n">
        <v>286.0858512057148</v>
      </c>
      <c r="L131" s="5" t="n">
        <v>0</v>
      </c>
      <c r="M131" s="5" t="n">
        <v>320</v>
      </c>
      <c r="N131" s="8" t="n">
        <v>14.32086439898316</v>
      </c>
      <c r="O131" s="5" t="n">
        <v>435.4436098748832</v>
      </c>
      <c r="P131" s="10" t="n">
        <v>11476.08</v>
      </c>
      <c r="Q131" s="10" t="n">
        <v>62798.4252</v>
      </c>
      <c r="R131" s="10" t="n">
        <v>59241.6824328</v>
      </c>
      <c r="S131" s="8" t="n">
        <v>0</v>
      </c>
      <c r="T131" s="5" t="n">
        <v>121.4444444444444</v>
      </c>
    </row>
    <row r="132">
      <c r="A132" s="13" t="inlineStr">
        <is>
          <t>U7-02</t>
        </is>
      </c>
      <c r="B132" s="12" t="n">
        <v>7</v>
      </c>
      <c r="C132" s="17" t="n">
        <v>6874063.9</v>
      </c>
      <c r="D132" s="17" t="n">
        <v>2234326.7</v>
      </c>
      <c r="E132" s="28" t="n">
        <v>-120.896142</v>
      </c>
      <c r="F132" s="28" t="n">
        <v>39.292218</v>
      </c>
      <c r="G132" s="12" t="n">
        <v>3245</v>
      </c>
      <c r="H132" s="12" t="n">
        <v>63.6</v>
      </c>
      <c r="I132" s="12" t="n">
        <v>357</v>
      </c>
      <c r="J132" s="12" t="n">
        <v>3</v>
      </c>
      <c r="K132" s="12" t="n">
        <v>104.3085281329325</v>
      </c>
      <c r="L132" s="12" t="n">
        <v>0</v>
      </c>
      <c r="M132" s="12" t="n">
        <v>60</v>
      </c>
      <c r="N132" s="15" t="n">
        <v>10.26970928516221</v>
      </c>
      <c r="O132" s="12" t="n">
        <v>104.3084863338234</v>
      </c>
      <c r="P132" s="17" t="n">
        <v>1005.48</v>
      </c>
      <c r="Q132" s="17" t="n">
        <v>4276.691999999999</v>
      </c>
      <c r="R132" s="17" t="n">
        <v>4254.7227912</v>
      </c>
      <c r="S132" s="15" t="n">
        <v>0</v>
      </c>
      <c r="T132" s="12" t="n">
        <v>0</v>
      </c>
    </row>
    <row r="133">
      <c r="A133" s="6" t="inlineStr">
        <is>
          <t>U7-03</t>
        </is>
      </c>
      <c r="B133" s="5" t="n">
        <v>7</v>
      </c>
      <c r="C133" s="10" t="n">
        <v>6874463.9</v>
      </c>
      <c r="D133" s="10" t="n">
        <v>2232726.7</v>
      </c>
      <c r="E133" s="27" t="n">
        <v>-120.894797</v>
      </c>
      <c r="F133" s="27" t="n">
        <v>39.287812</v>
      </c>
      <c r="G133" s="5" t="n">
        <v>3516</v>
      </c>
      <c r="H133" s="5" t="n">
        <v>50.4</v>
      </c>
      <c r="I133" s="5" t="n">
        <v>344</v>
      </c>
      <c r="J133" s="5" t="n">
        <v>17</v>
      </c>
      <c r="K133" s="5" t="n">
        <v>323.4654151984337</v>
      </c>
      <c r="L133" s="5" t="n">
        <v>200</v>
      </c>
      <c r="M133" s="5" t="n">
        <v>280</v>
      </c>
      <c r="N133" s="8" t="n">
        <v>12.59817168229912</v>
      </c>
      <c r="O133" s="5" t="n">
        <v>416.1622791528818</v>
      </c>
      <c r="P133" s="10" t="n">
        <v>8360.639999999999</v>
      </c>
      <c r="Q133" s="10" t="n">
        <v>43457.83128</v>
      </c>
      <c r="R133" s="10" t="n">
        <v>40495.14707760001</v>
      </c>
      <c r="S133" s="8" t="n">
        <v>146.6813348001467</v>
      </c>
      <c r="T133" s="5" t="n">
        <v>124.4</v>
      </c>
    </row>
    <row r="134">
      <c r="A134" s="13" t="inlineStr">
        <is>
          <t>U7-04</t>
        </is>
      </c>
      <c r="B134" s="12" t="n">
        <v>7</v>
      </c>
      <c r="C134" s="17" t="n">
        <v>6874463.9</v>
      </c>
      <c r="D134" s="17" t="n">
        <v>2234326.7</v>
      </c>
      <c r="E134" s="28" t="n">
        <v>-120.894728</v>
      </c>
      <c r="F134" s="28" t="n">
        <v>39.292205</v>
      </c>
      <c r="G134" s="12" t="n">
        <v>3239</v>
      </c>
      <c r="H134" s="12" t="n">
        <v>69.3</v>
      </c>
      <c r="I134" s="12" t="n">
        <v>23</v>
      </c>
      <c r="J134" s="12" t="n">
        <v>8</v>
      </c>
      <c r="K134" s="12" t="n">
        <v>145.124735566047</v>
      </c>
      <c r="L134" s="12" t="n">
        <v>100</v>
      </c>
      <c r="M134" s="12" t="n">
        <v>100</v>
      </c>
      <c r="N134" s="15" t="n">
        <v>11.24013979112507</v>
      </c>
      <c r="O134" s="12" t="n">
        <v>160.9458803648774</v>
      </c>
      <c r="P134" s="17" t="n">
        <v>2381.4</v>
      </c>
      <c r="Q134" s="17" t="n">
        <v>10764.54036</v>
      </c>
      <c r="R134" s="17" t="n">
        <v>10184.3456652</v>
      </c>
      <c r="S134" s="15" t="n">
        <v>5.786919682729657</v>
      </c>
      <c r="T134" s="12" t="n">
        <v>0</v>
      </c>
    </row>
    <row r="135">
      <c r="A135" s="6" t="inlineStr">
        <is>
          <t>U7-05</t>
        </is>
      </c>
      <c r="B135" s="5" t="n">
        <v>7</v>
      </c>
      <c r="C135" s="10" t="n">
        <v>6874863.9</v>
      </c>
      <c r="D135" s="10" t="n">
        <v>2232726.7</v>
      </c>
      <c r="E135" s="27" t="n">
        <v>-120.893384</v>
      </c>
      <c r="F135" s="27" t="n">
        <v>39.287799</v>
      </c>
      <c r="G135" s="5" t="n">
        <v>3575</v>
      </c>
      <c r="H135" s="5" t="n">
        <v>31.1</v>
      </c>
      <c r="I135" s="5" t="n">
        <v>336</v>
      </c>
      <c r="J135" s="5" t="n">
        <v>11</v>
      </c>
      <c r="K135" s="5" t="n">
        <v>216.1434620686001</v>
      </c>
      <c r="L135" s="5" t="n">
        <v>0</v>
      </c>
      <c r="M135" s="5" t="n">
        <v>220</v>
      </c>
      <c r="N135" s="8" t="n">
        <v>13.66100725153493</v>
      </c>
      <c r="O135" s="5" t="n">
        <v>313.1591919436094</v>
      </c>
      <c r="P135" s="10" t="n">
        <v>7076.16</v>
      </c>
      <c r="Q135" s="10" t="n">
        <v>37529.48052</v>
      </c>
      <c r="R135" s="10" t="n">
        <v>35640.620946</v>
      </c>
      <c r="S135" s="8" t="n">
        <v>0</v>
      </c>
      <c r="T135" s="5" t="n">
        <v>124.5</v>
      </c>
    </row>
    <row r="136">
      <c r="A136" s="13" t="inlineStr">
        <is>
          <t>U7-06</t>
        </is>
      </c>
      <c r="B136" s="12" t="n">
        <v>7</v>
      </c>
      <c r="C136" s="17" t="n">
        <v>6874863.9</v>
      </c>
      <c r="D136" s="17" t="n">
        <v>2234326.7</v>
      </c>
      <c r="E136" s="28" t="n">
        <v>-120.893315</v>
      </c>
      <c r="F136" s="28" t="n">
        <v>39.292191</v>
      </c>
      <c r="G136" s="12" t="n">
        <v>3246</v>
      </c>
      <c r="H136" s="12" t="n">
        <v>75.59999999999999</v>
      </c>
      <c r="I136" s="12" t="n">
        <v>326</v>
      </c>
      <c r="J136" s="12" t="n">
        <v>11</v>
      </c>
      <c r="K136" s="12" t="n">
        <v>324.3478830694602</v>
      </c>
      <c r="L136" s="12" t="n">
        <v>100</v>
      </c>
      <c r="M136" s="12" t="n">
        <v>200</v>
      </c>
      <c r="N136" s="15" t="n">
        <v>10.63290410574855</v>
      </c>
      <c r="O136" s="12" t="n">
        <v>305.180038535748</v>
      </c>
      <c r="P136" s="17" t="n">
        <v>5700.24</v>
      </c>
      <c r="Q136" s="17" t="n">
        <v>31180.18428</v>
      </c>
      <c r="R136" s="17" t="n">
        <v>29268.4316652</v>
      </c>
      <c r="S136" s="15" t="n">
        <v>0</v>
      </c>
      <c r="T136" s="12" t="n">
        <v>124.5</v>
      </c>
    </row>
    <row r="137">
      <c r="A137" s="6" t="inlineStr">
        <is>
          <t>U7-07</t>
        </is>
      </c>
      <c r="B137" s="5" t="n">
        <v>7</v>
      </c>
      <c r="C137" s="10" t="n">
        <v>6875263.9</v>
      </c>
      <c r="D137" s="10" t="n">
        <v>2232726.7</v>
      </c>
      <c r="E137" s="27" t="n">
        <v>-120.891971</v>
      </c>
      <c r="F137" s="27" t="n">
        <v>39.287785</v>
      </c>
      <c r="G137" s="5" t="n">
        <v>3711</v>
      </c>
      <c r="H137" s="5" t="n">
        <v>64.40000000000001</v>
      </c>
      <c r="I137" s="5" t="n">
        <v>323</v>
      </c>
      <c r="J137" s="5" t="n">
        <v>5</v>
      </c>
      <c r="K137" s="5" t="n">
        <v>35.35385940137597</v>
      </c>
      <c r="L137" s="5" t="n">
        <v>200</v>
      </c>
      <c r="M137" s="5" t="n">
        <v>60</v>
      </c>
      <c r="N137" s="8" t="n">
        <v>17.6400431510032</v>
      </c>
      <c r="O137" s="5" t="n">
        <v>86.8056004010124</v>
      </c>
      <c r="P137" s="10" t="n">
        <v>1867.32</v>
      </c>
      <c r="Q137" s="10" t="n">
        <v>8633.656079999999</v>
      </c>
      <c r="R137" s="10" t="n">
        <v>8170.361891999999</v>
      </c>
      <c r="S137" s="8" t="n">
        <v>0</v>
      </c>
      <c r="T137" s="5" t="n">
        <v>0</v>
      </c>
    </row>
    <row r="138">
      <c r="A138" s="13" t="inlineStr">
        <is>
          <t>U7-08</t>
        </is>
      </c>
      <c r="B138" s="12" t="n">
        <v>7</v>
      </c>
      <c r="C138" s="17" t="n">
        <v>6875263.9</v>
      </c>
      <c r="D138" s="17" t="n">
        <v>2233926.7</v>
      </c>
      <c r="E138" s="28" t="n">
        <v>-120.891919</v>
      </c>
      <c r="F138" s="28" t="n">
        <v>39.29108</v>
      </c>
      <c r="G138" s="12" t="n">
        <v>3444</v>
      </c>
      <c r="H138" s="12" t="n">
        <v>47.6</v>
      </c>
      <c r="I138" s="12" t="n">
        <v>298</v>
      </c>
      <c r="J138" s="12" t="n">
        <v>12</v>
      </c>
      <c r="K138" s="12" t="n">
        <v>362.3405693895389</v>
      </c>
      <c r="L138" s="12" t="n">
        <v>0</v>
      </c>
      <c r="M138" s="12" t="n">
        <v>200</v>
      </c>
      <c r="N138" s="15" t="n">
        <v>10.06002244787688</v>
      </c>
      <c r="O138" s="12" t="n">
        <v>313.575760244953</v>
      </c>
      <c r="P138" s="17" t="n">
        <v>5692.68</v>
      </c>
      <c r="Q138" s="17" t="n">
        <v>30591.03348</v>
      </c>
      <c r="R138" s="17" t="n">
        <v>28824.678036</v>
      </c>
      <c r="S138" s="15" t="n">
        <v>7.932381268749645</v>
      </c>
      <c r="T138" s="12" t="n">
        <v>141.3333333333333</v>
      </c>
    </row>
    <row r="139">
      <c r="A139" s="6" t="inlineStr">
        <is>
          <t>U7-09</t>
        </is>
      </c>
      <c r="B139" s="5" t="n">
        <v>7</v>
      </c>
      <c r="C139" s="10" t="n">
        <v>6875263.9</v>
      </c>
      <c r="D139" s="10" t="n">
        <v>2234326.7</v>
      </c>
      <c r="E139" s="27" t="n">
        <v>-120.891902</v>
      </c>
      <c r="F139" s="27" t="n">
        <v>39.292178</v>
      </c>
      <c r="G139" s="5" t="n">
        <v>3371</v>
      </c>
      <c r="H139" s="5" t="n">
        <v>59.3</v>
      </c>
      <c r="I139" s="5" t="n">
        <v>302</v>
      </c>
      <c r="J139" s="5" t="n">
        <v>16</v>
      </c>
      <c r="K139" s="5" t="n">
        <v>183.9374078383271</v>
      </c>
      <c r="L139" s="5" t="n">
        <v>200</v>
      </c>
      <c r="M139" s="5" t="n">
        <v>280</v>
      </c>
      <c r="N139" s="8" t="n">
        <v>16.70653627217479</v>
      </c>
      <c r="O139" s="5" t="n">
        <v>393.7951757659789</v>
      </c>
      <c r="P139" s="10" t="n">
        <v>8659.440000000001</v>
      </c>
      <c r="Q139" s="10" t="n">
        <v>44958.54887999999</v>
      </c>
      <c r="R139" s="10" t="n">
        <v>41774.5640844</v>
      </c>
      <c r="S139" s="8" t="n">
        <v>0</v>
      </c>
      <c r="T139" s="5" t="n">
        <v>122.75</v>
      </c>
    </row>
    <row r="140">
      <c r="A140" s="13" t="inlineStr">
        <is>
          <t>U7-10</t>
        </is>
      </c>
      <c r="B140" s="12" t="n">
        <v>7</v>
      </c>
      <c r="C140" s="17" t="n">
        <v>6875263.9</v>
      </c>
      <c r="D140" s="17" t="n">
        <v>2234726.7</v>
      </c>
      <c r="E140" s="28" t="n">
        <v>-120.891885</v>
      </c>
      <c r="F140" s="28" t="n">
        <v>39.293276</v>
      </c>
      <c r="G140" s="12" t="n">
        <v>3306</v>
      </c>
      <c r="H140" s="12" t="n">
        <v>65.90000000000001</v>
      </c>
      <c r="I140" s="12" t="n">
        <v>297</v>
      </c>
      <c r="J140" s="12" t="n">
        <v>8</v>
      </c>
      <c r="K140" s="12" t="n">
        <v>168.1720286334789</v>
      </c>
      <c r="L140" s="12" t="n">
        <v>0</v>
      </c>
      <c r="M140" s="12" t="n">
        <v>160</v>
      </c>
      <c r="N140" s="15" t="n">
        <v>13.20764973576423</v>
      </c>
      <c r="O140" s="12" t="n">
        <v>199.0356322388186</v>
      </c>
      <c r="P140" s="17" t="n">
        <v>6645.24</v>
      </c>
      <c r="Q140" s="17" t="n">
        <v>40172.0634</v>
      </c>
      <c r="R140" s="17" t="n">
        <v>38904.0781248</v>
      </c>
      <c r="S140" s="15" t="n">
        <v>0</v>
      </c>
      <c r="T140" s="12" t="n">
        <v>135</v>
      </c>
    </row>
    <row r="141">
      <c r="A141" s="6" t="inlineStr">
        <is>
          <t>U7-11</t>
        </is>
      </c>
      <c r="B141" s="5" t="n">
        <v>7</v>
      </c>
      <c r="C141" s="10" t="n">
        <v>6875663.9</v>
      </c>
      <c r="D141" s="10" t="n">
        <v>2232726.7</v>
      </c>
      <c r="E141" s="27" t="n">
        <v>-120.890558</v>
      </c>
      <c r="F141" s="27" t="n">
        <v>39.287772</v>
      </c>
      <c r="G141" s="5" t="n">
        <v>3838</v>
      </c>
      <c r="H141" s="5" t="n">
        <v>78.59999999999999</v>
      </c>
      <c r="I141" s="5" t="n">
        <v>305</v>
      </c>
      <c r="J141" s="5" t="n">
        <v>8</v>
      </c>
      <c r="K141" s="5" t="n">
        <v>91.14928826921776</v>
      </c>
      <c r="L141" s="5" t="n">
        <v>100</v>
      </c>
      <c r="M141" s="5" t="n">
        <v>140</v>
      </c>
      <c r="N141" s="8" t="n">
        <v>16.78146262819253</v>
      </c>
      <c r="O141" s="5" t="n">
        <v>198.0556044977398</v>
      </c>
      <c r="P141" s="10" t="n">
        <v>4641.84</v>
      </c>
      <c r="Q141" s="10" t="n">
        <v>23673.66372</v>
      </c>
      <c r="R141" s="10" t="n">
        <v>21419.2330884</v>
      </c>
      <c r="S141" s="8" t="n">
        <v>0</v>
      </c>
      <c r="T141" s="5" t="n">
        <v>124.5</v>
      </c>
    </row>
    <row r="142">
      <c r="A142" s="13" t="inlineStr">
        <is>
          <t>U7-12</t>
        </is>
      </c>
      <c r="B142" s="12" t="n">
        <v>7</v>
      </c>
      <c r="C142" s="17" t="n">
        <v>6875663.9</v>
      </c>
      <c r="D142" s="17" t="n">
        <v>2233126.7</v>
      </c>
      <c r="E142" s="28" t="n">
        <v>-120.89054</v>
      </c>
      <c r="F142" s="28" t="n">
        <v>39.28887</v>
      </c>
      <c r="G142" s="12" t="n">
        <v>3781</v>
      </c>
      <c r="H142" s="12" t="n">
        <v>57.3</v>
      </c>
      <c r="I142" s="12" t="n">
        <v>266</v>
      </c>
      <c r="J142" s="12" t="n">
        <v>12</v>
      </c>
      <c r="K142" s="12" t="n">
        <v>174.1336011033697</v>
      </c>
      <c r="L142" s="12" t="n">
        <v>100</v>
      </c>
      <c r="M142" s="12" t="n">
        <v>220</v>
      </c>
      <c r="N142" s="15" t="n">
        <v>15.21992396884105</v>
      </c>
      <c r="O142" s="12" t="n">
        <v>314.0007257542808</v>
      </c>
      <c r="P142" s="17" t="n">
        <v>7054.560000000001</v>
      </c>
      <c r="Q142" s="17" t="n">
        <v>35043.20064</v>
      </c>
      <c r="R142" s="17" t="n">
        <v>32391.99406799999</v>
      </c>
      <c r="S142" s="15" t="n">
        <v>0</v>
      </c>
      <c r="T142" s="12" t="n">
        <v>119</v>
      </c>
    </row>
    <row r="143">
      <c r="A143" s="6" t="inlineStr">
        <is>
          <t>U7-13</t>
        </is>
      </c>
      <c r="B143" s="5" t="n">
        <v>7</v>
      </c>
      <c r="C143" s="10" t="n">
        <v>6875663.9</v>
      </c>
      <c r="D143" s="10" t="n">
        <v>2233526.7</v>
      </c>
      <c r="E143" s="27" t="n">
        <v>-120.890523</v>
      </c>
      <c r="F143" s="27" t="n">
        <v>39.289968</v>
      </c>
      <c r="G143" s="5" t="n">
        <v>3724</v>
      </c>
      <c r="H143" s="5" t="n">
        <v>49.1</v>
      </c>
      <c r="I143" s="5" t="n">
        <v>302</v>
      </c>
      <c r="J143" s="5" t="n">
        <v>24</v>
      </c>
      <c r="K143" s="5" t="n">
        <v>532.5555805418589</v>
      </c>
      <c r="L143" s="5" t="n">
        <v>0</v>
      </c>
      <c r="M143" s="5" t="n">
        <v>480</v>
      </c>
      <c r="N143" s="8" t="n">
        <v>12.85525162805695</v>
      </c>
      <c r="O143" s="5" t="n">
        <v>718.6923414284786</v>
      </c>
      <c r="P143" s="10" t="n">
        <v>13832.28</v>
      </c>
      <c r="Q143" s="10" t="n">
        <v>72912.20651999999</v>
      </c>
      <c r="R143" s="10" t="n">
        <v>68690.37689279999</v>
      </c>
      <c r="S143" s="8" t="n">
        <v>0</v>
      </c>
      <c r="T143" s="5" t="n">
        <v>129</v>
      </c>
    </row>
    <row r="144">
      <c r="A144" s="13" t="inlineStr">
        <is>
          <t>U7-14</t>
        </is>
      </c>
      <c r="B144" s="12" t="n">
        <v>7</v>
      </c>
      <c r="C144" s="17" t="n">
        <v>6875663.9</v>
      </c>
      <c r="D144" s="17" t="n">
        <v>2233926.7</v>
      </c>
      <c r="E144" s="28" t="n">
        <v>-120.890506</v>
      </c>
      <c r="F144" s="28" t="n">
        <v>39.291066</v>
      </c>
      <c r="G144" s="12" t="n">
        <v>3621</v>
      </c>
      <c r="H144" s="12" t="n">
        <v>51.9</v>
      </c>
      <c r="I144" s="12" t="n">
        <v>306</v>
      </c>
      <c r="J144" s="12" t="n">
        <v>14</v>
      </c>
      <c r="K144" s="12" t="n">
        <v>184.0738438329815</v>
      </c>
      <c r="L144" s="12" t="n">
        <v>0</v>
      </c>
      <c r="M144" s="12" t="n">
        <v>280</v>
      </c>
      <c r="N144" s="15" t="n">
        <v>16.70034366117727</v>
      </c>
      <c r="O144" s="12" t="n">
        <v>389.3259009706794</v>
      </c>
      <c r="P144" s="17" t="n">
        <v>9548.280000000001</v>
      </c>
      <c r="Q144" s="17" t="n">
        <v>51152.04108</v>
      </c>
      <c r="R144" s="17" t="n">
        <v>47776.1326056</v>
      </c>
      <c r="S144" s="15" t="n">
        <v>0</v>
      </c>
      <c r="T144" s="12" t="n">
        <v>135</v>
      </c>
    </row>
    <row r="145">
      <c r="A145" s="6" t="inlineStr">
        <is>
          <t>U7-15</t>
        </is>
      </c>
      <c r="B145" s="5" t="n">
        <v>7</v>
      </c>
      <c r="C145" s="10" t="n">
        <v>6875663.9</v>
      </c>
      <c r="D145" s="10" t="n">
        <v>2234726.7</v>
      </c>
      <c r="E145" s="27" t="n">
        <v>-120.890471</v>
      </c>
      <c r="F145" s="27" t="n">
        <v>39.293263</v>
      </c>
      <c r="G145" s="5" t="n">
        <v>3486</v>
      </c>
      <c r="H145" s="5" t="n">
        <v>56.8</v>
      </c>
      <c r="I145" s="5" t="n">
        <v>303</v>
      </c>
      <c r="J145" s="5" t="n">
        <v>8</v>
      </c>
      <c r="K145" s="5" t="n">
        <v>201.4253220184334</v>
      </c>
      <c r="L145" s="5" t="n">
        <v>100</v>
      </c>
      <c r="M145" s="5" t="n">
        <v>140</v>
      </c>
      <c r="N145" s="8" t="n">
        <v>11.28884259995786</v>
      </c>
      <c r="O145" s="5" t="n">
        <v>220.7703544471225</v>
      </c>
      <c r="P145" s="10" t="n">
        <v>3568.32</v>
      </c>
      <c r="Q145" s="10" t="n">
        <v>18377.23356</v>
      </c>
      <c r="R145" s="10" t="n">
        <v>17681.84586</v>
      </c>
      <c r="S145" s="8" t="n">
        <v>0</v>
      </c>
      <c r="T145" s="5" t="n">
        <v>154</v>
      </c>
    </row>
    <row r="146">
      <c r="A146" s="13" t="inlineStr">
        <is>
          <t>U7-16</t>
        </is>
      </c>
      <c r="B146" s="12" t="n">
        <v>7</v>
      </c>
      <c r="C146" s="17" t="n">
        <v>6875663.9</v>
      </c>
      <c r="D146" s="17" t="n">
        <v>2235126.7</v>
      </c>
      <c r="E146" s="28" t="n">
        <v>-120.890454</v>
      </c>
      <c r="F146" s="28" t="n">
        <v>39.294361</v>
      </c>
      <c r="G146" s="12" t="n">
        <v>3320</v>
      </c>
      <c r="H146" s="12" t="n">
        <v>51.8</v>
      </c>
      <c r="I146" s="12" t="n">
        <v>357</v>
      </c>
      <c r="J146" s="12" t="n">
        <v>13</v>
      </c>
      <c r="K146" s="12" t="n">
        <v>130.8183428190785</v>
      </c>
      <c r="L146" s="12" t="n">
        <v>100</v>
      </c>
      <c r="M146" s="12" t="n">
        <v>240</v>
      </c>
      <c r="N146" s="15" t="n">
        <v>18.34060815928581</v>
      </c>
      <c r="O146" s="12" t="n">
        <v>321.0695034928919</v>
      </c>
      <c r="P146" s="17" t="n">
        <v>8462.159999999998</v>
      </c>
      <c r="Q146" s="17" t="n">
        <v>44742.83688</v>
      </c>
      <c r="R146" s="17" t="n">
        <v>41553.2234376</v>
      </c>
      <c r="S146" s="15" t="n">
        <v>0</v>
      </c>
      <c r="T146" s="12" t="n">
        <v>109.25</v>
      </c>
    </row>
  </sheetData>
  <autoFilter ref="A4:T1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9" customWidth="1" min="10" max="10"/>
    <col width="8" customWidth="1" min="11" max="11"/>
    <col width="9" customWidth="1" min="12" max="12"/>
    <col width="9" customWidth="1" min="13" max="13"/>
    <col width="12" customWidth="1" min="14" max="14"/>
    <col width="9" customWidth="1" min="15" max="15"/>
    <col width="14" customWidth="1" min="16" max="16"/>
  </cols>
  <sheetData>
    <row r="1">
      <c r="A1" s="1" t="inlineStr">
        <is>
          <t>Tree list with computed columns</t>
        </is>
      </c>
    </row>
    <row r="2">
      <c r="A2" s="2" t="inlineStr">
        <is>
          <t>Columns K-N are live Excel formulas so the expansion and volume math is auditable</t>
        </is>
      </c>
    </row>
    <row r="4">
      <c r="A4" s="29" t="inlineStr">
        <is>
          <t>Plot</t>
        </is>
      </c>
      <c r="B4" s="29" t="inlineStr">
        <is>
          <t>Unit</t>
        </is>
      </c>
      <c r="C4" s="29" t="inlineStr">
        <is>
          <t>Tree</t>
        </is>
      </c>
      <c r="D4" s="29" t="inlineStr">
        <is>
          <t>Plot type</t>
        </is>
      </c>
      <c r="E4" s="29" t="inlineStr">
        <is>
          <t>Species</t>
        </is>
      </c>
      <c r="F4" s="29" t="inlineStr">
        <is>
          <t>DBH in</t>
        </is>
      </c>
      <c r="G4" s="29" t="inlineStr">
        <is>
          <t>Height ft</t>
        </is>
      </c>
      <c r="H4" s="29" t="inlineStr">
        <is>
          <t>Defect %</t>
        </is>
      </c>
      <c r="I4" s="29" t="inlineStr">
        <is>
          <t>Status</t>
        </is>
      </c>
      <c r="J4" s="29" t="inlineStr">
        <is>
          <t>Crown class</t>
        </is>
      </c>
      <c r="K4" s="29" t="inlineStr">
        <is>
          <t>Marked</t>
        </is>
      </c>
      <c r="L4" s="29" t="inlineStr">
        <is>
          <t>Height imputed</t>
        </is>
      </c>
      <c r="M4" s="29" t="inlineStr">
        <is>
          <t>BA sq ft</t>
        </is>
      </c>
      <c r="N4" s="29" t="inlineStr">
        <is>
          <t>Trees/ac (expansion)</t>
        </is>
      </c>
      <c r="O4" s="29" t="inlineStr">
        <is>
          <t>BA/ac</t>
        </is>
      </c>
      <c r="P4" s="29" t="inlineStr">
        <is>
          <t>Net bf/ac (from tree net bf)</t>
        </is>
      </c>
    </row>
    <row r="5">
      <c r="A5" t="inlineStr">
        <is>
          <t>U1-01</t>
        </is>
      </c>
      <c r="B5" t="n">
        <v>1</v>
      </c>
      <c r="C5" t="n">
        <v>1</v>
      </c>
      <c r="D5" t="inlineStr">
        <is>
          <t>BAF20</t>
        </is>
      </c>
      <c r="E5" t="inlineStr">
        <is>
          <t>IC</t>
        </is>
      </c>
      <c r="F5" t="n">
        <v>17.7</v>
      </c>
      <c r="G5" t="n">
        <v>71</v>
      </c>
      <c r="H5" t="n">
        <v>14</v>
      </c>
      <c r="I5" t="inlineStr">
        <is>
          <t>L</t>
        </is>
      </c>
      <c r="J5" t="inlineStr">
        <is>
          <t>I</t>
        </is>
      </c>
      <c r="K5" t="inlineStr"/>
      <c r="L5" t="inlineStr"/>
      <c r="M5" s="30">
        <f>0.005454*F5^2</f>
        <v/>
      </c>
      <c r="N5" s="31">
        <f>IF(D5="BAF20",20/M5,100)</f>
        <v/>
      </c>
      <c r="O5" s="31">
        <f>M5*N5</f>
        <v/>
      </c>
      <c r="P5" s="32">
        <f>177.2*N5</f>
        <v/>
      </c>
    </row>
    <row r="6">
      <c r="A6" t="inlineStr">
        <is>
          <t>U1-01</t>
        </is>
      </c>
      <c r="B6" t="n">
        <v>1</v>
      </c>
      <c r="C6" t="n">
        <v>2</v>
      </c>
      <c r="D6" t="inlineStr">
        <is>
          <t>BAF20</t>
        </is>
      </c>
      <c r="E6" t="inlineStr">
        <is>
          <t>WF</t>
        </is>
      </c>
      <c r="F6" t="n">
        <v>9.6</v>
      </c>
      <c r="G6" t="n">
        <v>50</v>
      </c>
      <c r="H6" t="n">
        <v>3</v>
      </c>
      <c r="I6" t="inlineStr">
        <is>
          <t>L</t>
        </is>
      </c>
      <c r="J6" t="inlineStr">
        <is>
          <t>S</t>
        </is>
      </c>
      <c r="K6" t="inlineStr">
        <is>
          <t>Y</t>
        </is>
      </c>
      <c r="L6" t="inlineStr"/>
      <c r="M6" s="30">
        <f>0.005454*F6^2</f>
        <v/>
      </c>
      <c r="N6" s="31">
        <f>IF(D6="BAF20",20/M6,100)</f>
        <v/>
      </c>
      <c r="O6" s="31">
        <f>M6*N6</f>
        <v/>
      </c>
      <c r="P6" s="32">
        <f>0.0*N6</f>
        <v/>
      </c>
    </row>
    <row r="7">
      <c r="A7" t="inlineStr">
        <is>
          <t>U1-01</t>
        </is>
      </c>
      <c r="B7" t="n">
        <v>1</v>
      </c>
      <c r="C7" t="n">
        <v>3</v>
      </c>
      <c r="D7" t="inlineStr">
        <is>
          <t>BAF20</t>
        </is>
      </c>
      <c r="E7" t="inlineStr">
        <is>
          <t>WF</t>
        </is>
      </c>
      <c r="F7" t="n">
        <v>7.1</v>
      </c>
      <c r="G7" t="n">
        <v>44</v>
      </c>
      <c r="H7" t="n">
        <v>9</v>
      </c>
      <c r="I7" t="inlineStr">
        <is>
          <t>L</t>
        </is>
      </c>
      <c r="J7" t="inlineStr">
        <is>
          <t>S</t>
        </is>
      </c>
      <c r="K7" t="inlineStr">
        <is>
          <t>Y</t>
        </is>
      </c>
      <c r="L7" t="inlineStr"/>
      <c r="M7" s="30">
        <f>0.005454*F7^2</f>
        <v/>
      </c>
      <c r="N7" s="31">
        <f>IF(D7="BAF20",20/M7,100)</f>
        <v/>
      </c>
      <c r="O7" s="31">
        <f>M7*N7</f>
        <v/>
      </c>
      <c r="P7" s="32">
        <f>0.0*N7</f>
        <v/>
      </c>
    </row>
    <row r="8">
      <c r="A8" t="inlineStr">
        <is>
          <t>U1-01</t>
        </is>
      </c>
      <c r="B8" t="n">
        <v>1</v>
      </c>
      <c r="C8" t="n">
        <v>4</v>
      </c>
      <c r="D8" t="inlineStr">
        <is>
          <t>BAF20</t>
        </is>
      </c>
      <c r="E8" t="inlineStr">
        <is>
          <t>PP</t>
        </is>
      </c>
      <c r="F8" t="n">
        <v>23</v>
      </c>
      <c r="G8" t="n">
        <v>102</v>
      </c>
      <c r="H8" t="n">
        <v>5</v>
      </c>
      <c r="I8" t="inlineStr">
        <is>
          <t>L</t>
        </is>
      </c>
      <c r="J8" t="inlineStr">
        <is>
          <t>C</t>
        </is>
      </c>
      <c r="K8" t="inlineStr"/>
      <c r="L8" t="inlineStr"/>
      <c r="M8" s="30">
        <f>0.005454*F8^2</f>
        <v/>
      </c>
      <c r="N8" s="31">
        <f>IF(D8="BAF20",20/M8,100)</f>
        <v/>
      </c>
      <c r="O8" s="31">
        <f>M8*N8</f>
        <v/>
      </c>
      <c r="P8" s="32">
        <f>525.2*N8</f>
        <v/>
      </c>
    </row>
    <row r="9">
      <c r="A9" t="inlineStr">
        <is>
          <t>U1-01</t>
        </is>
      </c>
      <c r="B9" t="n">
        <v>1</v>
      </c>
      <c r="C9" t="n">
        <v>5</v>
      </c>
      <c r="D9" t="inlineStr">
        <is>
          <t>BAF20</t>
        </is>
      </c>
      <c r="E9" t="inlineStr">
        <is>
          <t>IC</t>
        </is>
      </c>
      <c r="F9" t="n">
        <v>21.8</v>
      </c>
      <c r="G9" t="n">
        <v>82</v>
      </c>
      <c r="H9" t="n">
        <v>6</v>
      </c>
      <c r="I9" t="inlineStr">
        <is>
          <t>L</t>
        </is>
      </c>
      <c r="J9" t="inlineStr">
        <is>
          <t>C</t>
        </is>
      </c>
      <c r="K9" t="inlineStr"/>
      <c r="L9" t="inlineStr"/>
      <c r="M9" s="30">
        <f>0.005454*F9^2</f>
        <v/>
      </c>
      <c r="N9" s="31">
        <f>IF(D9="BAF20",20/M9,100)</f>
        <v/>
      </c>
      <c r="O9" s="31">
        <f>M9*N9</f>
        <v/>
      </c>
      <c r="P9" s="32">
        <f>367.2*N9</f>
        <v/>
      </c>
    </row>
    <row r="10">
      <c r="A10" t="inlineStr">
        <is>
          <t>U1-01</t>
        </is>
      </c>
      <c r="B10" t="n">
        <v>1</v>
      </c>
      <c r="C10" t="n">
        <v>6</v>
      </c>
      <c r="D10" t="inlineStr">
        <is>
          <t>BAF20</t>
        </is>
      </c>
      <c r="E10" t="inlineStr">
        <is>
          <t>SP</t>
        </is>
      </c>
      <c r="F10" t="n">
        <v>26.4</v>
      </c>
      <c r="G10" t="n">
        <v>114</v>
      </c>
      <c r="H10" t="n">
        <v>3</v>
      </c>
      <c r="I10" t="inlineStr">
        <is>
          <t>L</t>
        </is>
      </c>
      <c r="J10" t="inlineStr">
        <is>
          <t>D</t>
        </is>
      </c>
      <c r="K10" t="inlineStr"/>
      <c r="L10" t="inlineStr"/>
      <c r="M10" s="30">
        <f>0.005454*F10^2</f>
        <v/>
      </c>
      <c r="N10" s="31">
        <f>IF(D10="BAF20",20/M10,100)</f>
        <v/>
      </c>
      <c r="O10" s="31">
        <f>M10*N10</f>
        <v/>
      </c>
      <c r="P10" s="32">
        <f>838.3*N10</f>
        <v/>
      </c>
    </row>
    <row r="11">
      <c r="A11" t="inlineStr">
        <is>
          <t>U1-01</t>
        </is>
      </c>
      <c r="B11" t="n">
        <v>1</v>
      </c>
      <c r="C11" t="n">
        <v>7</v>
      </c>
      <c r="D11" t="inlineStr">
        <is>
          <t>BAF20</t>
        </is>
      </c>
      <c r="E11" t="inlineStr">
        <is>
          <t>WF</t>
        </is>
      </c>
      <c r="F11" t="n">
        <v>23.8</v>
      </c>
      <c r="G11" t="n">
        <v>99</v>
      </c>
      <c r="H11" t="n">
        <v>15</v>
      </c>
      <c r="I11" t="inlineStr">
        <is>
          <t>L</t>
        </is>
      </c>
      <c r="J11" t="inlineStr">
        <is>
          <t>C</t>
        </is>
      </c>
      <c r="K11" t="inlineStr"/>
      <c r="L11" t="inlineStr"/>
      <c r="M11" s="30">
        <f>0.005454*F11^2</f>
        <v/>
      </c>
      <c r="N11" s="31">
        <f>IF(D11="BAF20",20/M11,100)</f>
        <v/>
      </c>
      <c r="O11" s="31">
        <f>M11*N11</f>
        <v/>
      </c>
      <c r="P11" s="32">
        <f>495.5*N11</f>
        <v/>
      </c>
    </row>
    <row r="12">
      <c r="A12" t="inlineStr">
        <is>
          <t>U1-01</t>
        </is>
      </c>
      <c r="B12" t="n">
        <v>1</v>
      </c>
      <c r="C12" t="n">
        <v>8</v>
      </c>
      <c r="D12" t="inlineStr">
        <is>
          <t>BAF20</t>
        </is>
      </c>
      <c r="E12" t="inlineStr">
        <is>
          <t>WF</t>
        </is>
      </c>
      <c r="F12" t="n">
        <v>15.8</v>
      </c>
      <c r="G12" t="n">
        <v>70</v>
      </c>
      <c r="H12" t="n">
        <v>15</v>
      </c>
      <c r="I12" t="inlineStr">
        <is>
          <t>L</t>
        </is>
      </c>
      <c r="J12" t="inlineStr">
        <is>
          <t>I</t>
        </is>
      </c>
      <c r="K12" t="inlineStr"/>
      <c r="L12" t="inlineStr"/>
      <c r="M12" s="30">
        <f>0.005454*F12^2</f>
        <v/>
      </c>
      <c r="N12" s="31">
        <f>IF(D12="BAF20",20/M12,100)</f>
        <v/>
      </c>
      <c r="O12" s="31">
        <f>M12*N12</f>
        <v/>
      </c>
      <c r="P12" s="32">
        <f>132.3*N12</f>
        <v/>
      </c>
    </row>
    <row r="13">
      <c r="A13" t="inlineStr">
        <is>
          <t>U1-01</t>
        </is>
      </c>
      <c r="B13" t="n">
        <v>1</v>
      </c>
      <c r="C13" t="n">
        <v>9</v>
      </c>
      <c r="D13" t="inlineStr">
        <is>
          <t>BAF20</t>
        </is>
      </c>
      <c r="E13" t="inlineStr">
        <is>
          <t>DF</t>
        </is>
      </c>
      <c r="F13" t="n">
        <v>15.8</v>
      </c>
      <c r="G13" t="n">
        <v>87</v>
      </c>
      <c r="H13" t="n">
        <v>5</v>
      </c>
      <c r="I13" t="inlineStr">
        <is>
          <t>L</t>
        </is>
      </c>
      <c r="J13" t="inlineStr">
        <is>
          <t>I</t>
        </is>
      </c>
      <c r="K13" t="inlineStr"/>
      <c r="L13" t="inlineStr"/>
      <c r="M13" s="30">
        <f>0.005454*F13^2</f>
        <v/>
      </c>
      <c r="N13" s="31">
        <f>IF(D13="BAF20",20/M13,100)</f>
        <v/>
      </c>
      <c r="O13" s="31">
        <f>M13*N13</f>
        <v/>
      </c>
      <c r="P13" s="32">
        <f>183.8*N13</f>
        <v/>
      </c>
    </row>
    <row r="14">
      <c r="A14" t="inlineStr">
        <is>
          <t>U1-01</t>
        </is>
      </c>
      <c r="B14" t="n">
        <v>1</v>
      </c>
      <c r="C14" t="n">
        <v>10</v>
      </c>
      <c r="D14" t="inlineStr">
        <is>
          <t>BAF20</t>
        </is>
      </c>
      <c r="E14" t="inlineStr">
        <is>
          <t>SP</t>
        </is>
      </c>
      <c r="F14" t="n">
        <v>36.7</v>
      </c>
      <c r="G14" t="n">
        <v>116</v>
      </c>
      <c r="H14" t="n">
        <v>7</v>
      </c>
      <c r="I14" t="inlineStr">
        <is>
          <t>L</t>
        </is>
      </c>
      <c r="J14" t="inlineStr">
        <is>
          <t>D</t>
        </is>
      </c>
      <c r="K14" t="inlineStr"/>
      <c r="L14" t="inlineStr"/>
      <c r="M14" s="30">
        <f>0.005454*F14^2</f>
        <v/>
      </c>
      <c r="N14" s="31">
        <f>IF(D14="BAF20",20/M14,100)</f>
        <v/>
      </c>
      <c r="O14" s="31">
        <f>M14*N14</f>
        <v/>
      </c>
      <c r="P14" s="32">
        <f>1857.3*N14</f>
        <v/>
      </c>
    </row>
    <row r="15">
      <c r="A15" t="inlineStr">
        <is>
          <t>U1-01</t>
        </is>
      </c>
      <c r="B15" t="n">
        <v>1</v>
      </c>
      <c r="C15" t="n">
        <v>11</v>
      </c>
      <c r="D15" t="inlineStr">
        <is>
          <t>BAF20</t>
        </is>
      </c>
      <c r="E15" t="inlineStr">
        <is>
          <t>WF</t>
        </is>
      </c>
      <c r="F15" t="n">
        <v>5</v>
      </c>
      <c r="G15" t="n">
        <v>28</v>
      </c>
      <c r="H15" t="n">
        <v>6</v>
      </c>
      <c r="I15" t="inlineStr">
        <is>
          <t>L</t>
        </is>
      </c>
      <c r="J15" t="inlineStr">
        <is>
          <t>S</t>
        </is>
      </c>
      <c r="K15" t="inlineStr">
        <is>
          <t>Y</t>
        </is>
      </c>
      <c r="L15" t="inlineStr"/>
      <c r="M15" s="30">
        <f>0.005454*F15^2</f>
        <v/>
      </c>
      <c r="N15" s="31">
        <f>IF(D15="BAF20",20/M15,100)</f>
        <v/>
      </c>
      <c r="O15" s="31">
        <f>M15*N15</f>
        <v/>
      </c>
      <c r="P15" s="32">
        <f>0.0*N15</f>
        <v/>
      </c>
    </row>
    <row r="16">
      <c r="A16" t="inlineStr">
        <is>
          <t>U1-01</t>
        </is>
      </c>
      <c r="B16" t="n">
        <v>1</v>
      </c>
      <c r="C16" t="n">
        <v>12</v>
      </c>
      <c r="D16" t="inlineStr">
        <is>
          <t>BAF20</t>
        </is>
      </c>
      <c r="E16" t="inlineStr">
        <is>
          <t>IC</t>
        </is>
      </c>
      <c r="F16" t="n">
        <v>20.9</v>
      </c>
      <c r="G16" t="n">
        <v>82</v>
      </c>
      <c r="H16" t="n">
        <v>1</v>
      </c>
      <c r="I16" t="inlineStr">
        <is>
          <t>L</t>
        </is>
      </c>
      <c r="J16" t="inlineStr">
        <is>
          <t>C</t>
        </is>
      </c>
      <c r="K16" t="inlineStr"/>
      <c r="L16" t="inlineStr"/>
      <c r="M16" s="30">
        <f>0.005454*F16^2</f>
        <v/>
      </c>
      <c r="N16" s="31">
        <f>IF(D16="BAF20",20/M16,100)</f>
        <v/>
      </c>
      <c r="O16" s="31">
        <f>M16*N16</f>
        <v/>
      </c>
      <c r="P16" s="32">
        <f>349.5*N16</f>
        <v/>
      </c>
    </row>
    <row r="17">
      <c r="A17" t="inlineStr">
        <is>
          <t>U1-01</t>
        </is>
      </c>
      <c r="B17" t="n">
        <v>1</v>
      </c>
      <c r="C17" t="n">
        <v>13</v>
      </c>
      <c r="D17" t="inlineStr">
        <is>
          <t>BAF20</t>
        </is>
      </c>
      <c r="E17" t="inlineStr">
        <is>
          <t>DF</t>
        </is>
      </c>
      <c r="F17" t="n">
        <v>16.9</v>
      </c>
      <c r="G17" t="n">
        <v>86</v>
      </c>
      <c r="H17" t="n">
        <v>100</v>
      </c>
      <c r="I17" t="inlineStr">
        <is>
          <t>D</t>
        </is>
      </c>
      <c r="J17" t="inlineStr">
        <is>
          <t>I</t>
        </is>
      </c>
      <c r="K17" t="inlineStr"/>
      <c r="L17" t="inlineStr"/>
      <c r="M17" s="30">
        <f>0.005454*F17^2</f>
        <v/>
      </c>
      <c r="N17" s="31">
        <f>IF(D17="BAF20",20/M17,100)</f>
        <v/>
      </c>
      <c r="O17" s="31">
        <f>M17*N17</f>
        <v/>
      </c>
      <c r="P17" s="32">
        <f>0.0*N17</f>
        <v/>
      </c>
    </row>
    <row r="18">
      <c r="A18" t="inlineStr">
        <is>
          <t>U1-02</t>
        </is>
      </c>
      <c r="B18" t="n">
        <v>1</v>
      </c>
      <c r="C18" t="n">
        <v>1</v>
      </c>
      <c r="D18" t="inlineStr">
        <is>
          <t>BAF20</t>
        </is>
      </c>
      <c r="E18" t="inlineStr">
        <is>
          <t>BO</t>
        </is>
      </c>
      <c r="F18" t="n">
        <v>9.5</v>
      </c>
      <c r="G18" t="n">
        <v>42</v>
      </c>
      <c r="H18" t="n">
        <v>19</v>
      </c>
      <c r="I18" t="inlineStr">
        <is>
          <t>L</t>
        </is>
      </c>
      <c r="J18" t="inlineStr">
        <is>
          <t>S</t>
        </is>
      </c>
      <c r="K18" t="inlineStr">
        <is>
          <t>Y</t>
        </is>
      </c>
      <c r="L18" t="inlineStr"/>
      <c r="M18" s="30">
        <f>0.005454*F18^2</f>
        <v/>
      </c>
      <c r="N18" s="31">
        <f>IF(D18="BAF20",20/M18,100)</f>
        <v/>
      </c>
      <c r="O18" s="31">
        <f>M18*N18</f>
        <v/>
      </c>
      <c r="P18" s="32">
        <f>0.0*N18</f>
        <v/>
      </c>
    </row>
    <row r="19">
      <c r="A19" t="inlineStr">
        <is>
          <t>U1-02</t>
        </is>
      </c>
      <c r="B19" t="n">
        <v>1</v>
      </c>
      <c r="C19" t="n">
        <v>2</v>
      </c>
      <c r="D19" t="inlineStr">
        <is>
          <t>BAF20</t>
        </is>
      </c>
      <c r="E19" t="inlineStr">
        <is>
          <t>DF</t>
        </is>
      </c>
      <c r="F19" t="n">
        <v>21.6</v>
      </c>
      <c r="G19" t="n">
        <v>104</v>
      </c>
      <c r="H19" t="n">
        <v>2</v>
      </c>
      <c r="I19" t="inlineStr">
        <is>
          <t>L</t>
        </is>
      </c>
      <c r="J19" t="inlineStr">
        <is>
          <t>C</t>
        </is>
      </c>
      <c r="K19" t="inlineStr"/>
      <c r="L19" t="inlineStr"/>
      <c r="M19" s="30">
        <f>0.005454*F19^2</f>
        <v/>
      </c>
      <c r="N19" s="31">
        <f>IF(D19="BAF20",20/M19,100)</f>
        <v/>
      </c>
      <c r="O19" s="31">
        <f>M19*N19</f>
        <v/>
      </c>
      <c r="P19" s="32">
        <f>474.9*N19</f>
        <v/>
      </c>
    </row>
    <row r="20">
      <c r="A20" t="inlineStr">
        <is>
          <t>U1-02</t>
        </is>
      </c>
      <c r="B20" t="n">
        <v>1</v>
      </c>
      <c r="C20" t="n">
        <v>3</v>
      </c>
      <c r="D20" t="inlineStr">
        <is>
          <t>BAF20</t>
        </is>
      </c>
      <c r="E20" t="inlineStr">
        <is>
          <t>BO</t>
        </is>
      </c>
      <c r="F20" t="n">
        <v>21.8</v>
      </c>
      <c r="G20" t="n">
        <v>64</v>
      </c>
      <c r="H20" t="n">
        <v>8</v>
      </c>
      <c r="I20" t="inlineStr">
        <is>
          <t>L</t>
        </is>
      </c>
      <c r="J20" t="inlineStr">
        <is>
          <t>C</t>
        </is>
      </c>
      <c r="K20" t="inlineStr"/>
      <c r="L20" t="inlineStr"/>
      <c r="M20" s="30">
        <f>0.005454*F20^2</f>
        <v/>
      </c>
      <c r="N20" s="31">
        <f>IF(D20="BAF20",20/M20,100)</f>
        <v/>
      </c>
      <c r="O20" s="31">
        <f>M20*N20</f>
        <v/>
      </c>
      <c r="P20" s="32">
        <f>253.8*N20</f>
        <v/>
      </c>
    </row>
    <row r="21">
      <c r="A21" t="inlineStr">
        <is>
          <t>U1-02</t>
        </is>
      </c>
      <c r="B21" t="n">
        <v>1</v>
      </c>
      <c r="C21" t="n">
        <v>4</v>
      </c>
      <c r="D21" t="inlineStr">
        <is>
          <t>BAF20</t>
        </is>
      </c>
      <c r="E21" t="inlineStr">
        <is>
          <t>IC</t>
        </is>
      </c>
      <c r="F21" t="n">
        <v>29.3</v>
      </c>
      <c r="G21" t="n">
        <v>103</v>
      </c>
      <c r="H21" t="n">
        <v>0</v>
      </c>
      <c r="I21" t="inlineStr">
        <is>
          <t>L</t>
        </is>
      </c>
      <c r="J21" t="inlineStr">
        <is>
          <t>D</t>
        </is>
      </c>
      <c r="K21" t="inlineStr"/>
      <c r="L21" t="inlineStr"/>
      <c r="M21" s="30">
        <f>0.005454*F21^2</f>
        <v/>
      </c>
      <c r="N21" s="31">
        <f>IF(D21="BAF20",20/M21,100)</f>
        <v/>
      </c>
      <c r="O21" s="31">
        <f>M21*N21</f>
        <v/>
      </c>
      <c r="P21" s="32">
        <f>1009.4*N21</f>
        <v/>
      </c>
    </row>
    <row r="22">
      <c r="A22" t="inlineStr">
        <is>
          <t>U1-02</t>
        </is>
      </c>
      <c r="B22" t="n">
        <v>1</v>
      </c>
      <c r="C22" t="n">
        <v>5</v>
      </c>
      <c r="D22" t="inlineStr">
        <is>
          <t>BAF20</t>
        </is>
      </c>
      <c r="E22" t="inlineStr">
        <is>
          <t>BO</t>
        </is>
      </c>
      <c r="F22" t="n">
        <v>7.6</v>
      </c>
      <c r="G22" t="n">
        <v>33</v>
      </c>
      <c r="H22" t="n">
        <v>55</v>
      </c>
      <c r="I22" t="inlineStr">
        <is>
          <t>L</t>
        </is>
      </c>
      <c r="J22" t="inlineStr">
        <is>
          <t>S</t>
        </is>
      </c>
      <c r="K22" t="inlineStr">
        <is>
          <t>Y</t>
        </is>
      </c>
      <c r="L22" t="inlineStr"/>
      <c r="M22" s="30">
        <f>0.005454*F22^2</f>
        <v/>
      </c>
      <c r="N22" s="31">
        <f>IF(D22="BAF20",20/M22,100)</f>
        <v/>
      </c>
      <c r="O22" s="31">
        <f>M22*N22</f>
        <v/>
      </c>
      <c r="P22" s="32">
        <f>0.0*N22</f>
        <v/>
      </c>
    </row>
    <row r="23">
      <c r="A23" t="inlineStr">
        <is>
          <t>U1-02</t>
        </is>
      </c>
      <c r="B23" t="n">
        <v>1</v>
      </c>
      <c r="C23" t="n">
        <v>6</v>
      </c>
      <c r="D23" t="inlineStr">
        <is>
          <t>BAF20</t>
        </is>
      </c>
      <c r="E23" t="inlineStr">
        <is>
          <t>DF</t>
        </is>
      </c>
      <c r="F23" t="n">
        <v>5.7</v>
      </c>
      <c r="G23" t="n">
        <v>37</v>
      </c>
      <c r="H23" t="n">
        <v>1</v>
      </c>
      <c r="I23" t="inlineStr">
        <is>
          <t>L</t>
        </is>
      </c>
      <c r="J23" t="inlineStr">
        <is>
          <t>S</t>
        </is>
      </c>
      <c r="K23" t="inlineStr">
        <is>
          <t>Y</t>
        </is>
      </c>
      <c r="L23" t="inlineStr"/>
      <c r="M23" s="30">
        <f>0.005454*F23^2</f>
        <v/>
      </c>
      <c r="N23" s="31">
        <f>IF(D23="BAF20",20/M23,100)</f>
        <v/>
      </c>
      <c r="O23" s="31">
        <f>M23*N23</f>
        <v/>
      </c>
      <c r="P23" s="32">
        <f>0.0*N23</f>
        <v/>
      </c>
    </row>
    <row r="24">
      <c r="A24" t="inlineStr">
        <is>
          <t>U1-02</t>
        </is>
      </c>
      <c r="B24" t="n">
        <v>1</v>
      </c>
      <c r="C24" t="n">
        <v>7</v>
      </c>
      <c r="D24" t="inlineStr">
        <is>
          <t>BAF20</t>
        </is>
      </c>
      <c r="E24" t="inlineStr">
        <is>
          <t>WF</t>
        </is>
      </c>
      <c r="F24" t="n">
        <v>19.3</v>
      </c>
      <c r="G24" t="n">
        <v>92</v>
      </c>
      <c r="H24" t="n">
        <v>7</v>
      </c>
      <c r="I24" t="inlineStr">
        <is>
          <t>L</t>
        </is>
      </c>
      <c r="J24" t="inlineStr">
        <is>
          <t>C</t>
        </is>
      </c>
      <c r="K24" t="inlineStr"/>
      <c r="L24" t="inlineStr"/>
      <c r="M24" s="30">
        <f>0.005454*F24^2</f>
        <v/>
      </c>
      <c r="N24" s="31">
        <f>IF(D24="BAF20",20/M24,100)</f>
        <v/>
      </c>
      <c r="O24" s="31">
        <f>M24*N24</f>
        <v/>
      </c>
      <c r="P24" s="32">
        <f>304.7*N24</f>
        <v/>
      </c>
    </row>
    <row r="25">
      <c r="A25" t="inlineStr">
        <is>
          <t>U1-02</t>
        </is>
      </c>
      <c r="B25" t="n">
        <v>1</v>
      </c>
      <c r="C25" t="n">
        <v>8</v>
      </c>
      <c r="D25" t="inlineStr">
        <is>
          <t>BAF20</t>
        </is>
      </c>
      <c r="E25" t="inlineStr">
        <is>
          <t>WF</t>
        </is>
      </c>
      <c r="F25" t="n">
        <v>9.699999999999999</v>
      </c>
      <c r="G25" t="n">
        <v>49</v>
      </c>
      <c r="H25" t="n">
        <v>11</v>
      </c>
      <c r="I25" t="inlineStr">
        <is>
          <t>L</t>
        </is>
      </c>
      <c r="J25" t="inlineStr">
        <is>
          <t>S</t>
        </is>
      </c>
      <c r="K25" t="inlineStr">
        <is>
          <t>Y</t>
        </is>
      </c>
      <c r="L25" t="inlineStr"/>
      <c r="M25" s="30">
        <f>0.005454*F25^2</f>
        <v/>
      </c>
      <c r="N25" s="31">
        <f>IF(D25="BAF20",20/M25,100)</f>
        <v/>
      </c>
      <c r="O25" s="31">
        <f>M25*N25</f>
        <v/>
      </c>
      <c r="P25" s="32">
        <f>0.0*N25</f>
        <v/>
      </c>
    </row>
    <row r="26">
      <c r="A26" t="inlineStr">
        <is>
          <t>U1-02</t>
        </is>
      </c>
      <c r="B26" t="n">
        <v>1</v>
      </c>
      <c r="C26" t="n">
        <v>9</v>
      </c>
      <c r="D26" t="inlineStr">
        <is>
          <t>BAF20</t>
        </is>
      </c>
      <c r="E26" t="inlineStr">
        <is>
          <t>IC</t>
        </is>
      </c>
      <c r="F26" t="n">
        <v>17.9</v>
      </c>
      <c r="G26" t="n">
        <v>68</v>
      </c>
      <c r="H26" t="n">
        <v>14</v>
      </c>
      <c r="I26" t="inlineStr">
        <is>
          <t>L</t>
        </is>
      </c>
      <c r="J26" t="inlineStr">
        <is>
          <t>I</t>
        </is>
      </c>
      <c r="K26" t="inlineStr"/>
      <c r="L26" t="inlineStr"/>
      <c r="M26" s="30">
        <f>0.005454*F26^2</f>
        <v/>
      </c>
      <c r="N26" s="31">
        <f>IF(D26="BAF20",20/M26,100)</f>
        <v/>
      </c>
      <c r="O26" s="31">
        <f>M26*N26</f>
        <v/>
      </c>
      <c r="P26" s="32">
        <f>174.3*N26</f>
        <v/>
      </c>
    </row>
    <row r="27">
      <c r="A27" t="inlineStr">
        <is>
          <t>U1-02</t>
        </is>
      </c>
      <c r="B27" t="n">
        <v>1</v>
      </c>
      <c r="C27" t="n">
        <v>10</v>
      </c>
      <c r="D27" t="inlineStr">
        <is>
          <t>FIX100</t>
        </is>
      </c>
      <c r="E27" t="inlineStr">
        <is>
          <t>BO</t>
        </is>
      </c>
      <c r="F27" t="n">
        <v>3.2</v>
      </c>
      <c r="G27" t="n">
        <v>16</v>
      </c>
      <c r="H27" t="n">
        <v>0</v>
      </c>
      <c r="I27" t="inlineStr">
        <is>
          <t>L</t>
        </is>
      </c>
      <c r="J27" t="inlineStr">
        <is>
          <t>S</t>
        </is>
      </c>
      <c r="K27" t="inlineStr"/>
      <c r="L27" t="inlineStr"/>
      <c r="M27" s="30">
        <f>0.005454*F27^2</f>
        <v/>
      </c>
      <c r="N27" s="31">
        <f>IF(D27="BAF20",20/M27,100)</f>
        <v/>
      </c>
      <c r="O27" s="31">
        <f>M27*N27</f>
        <v/>
      </c>
      <c r="P27" s="32">
        <f>0.0*N27</f>
        <v/>
      </c>
    </row>
    <row r="28">
      <c r="A28" t="inlineStr">
        <is>
          <t>U1-03</t>
        </is>
      </c>
      <c r="B28" t="n">
        <v>1</v>
      </c>
      <c r="C28" t="n">
        <v>1</v>
      </c>
      <c r="D28" t="inlineStr">
        <is>
          <t>BAF20</t>
        </is>
      </c>
      <c r="E28" t="inlineStr">
        <is>
          <t>PP</t>
        </is>
      </c>
      <c r="F28" t="n">
        <v>20.3</v>
      </c>
      <c r="G28" t="n">
        <v>81</v>
      </c>
      <c r="H28" t="n">
        <v>0</v>
      </c>
      <c r="I28" t="inlineStr">
        <is>
          <t>L</t>
        </is>
      </c>
      <c r="J28" t="inlineStr">
        <is>
          <t>C</t>
        </is>
      </c>
      <c r="K28" t="inlineStr"/>
      <c r="L28" t="inlineStr"/>
      <c r="M28" s="30">
        <f>0.005454*F28^2</f>
        <v/>
      </c>
      <c r="N28" s="31">
        <f>IF(D28="BAF20",20/M28,100)</f>
        <v/>
      </c>
      <c r="O28" s="31">
        <f>M28*N28</f>
        <v/>
      </c>
      <c r="P28" s="32">
        <f>325.3*N28</f>
        <v/>
      </c>
    </row>
    <row r="29">
      <c r="A29" t="inlineStr">
        <is>
          <t>U1-03</t>
        </is>
      </c>
      <c r="B29" t="n">
        <v>1</v>
      </c>
      <c r="C29" t="n">
        <v>2</v>
      </c>
      <c r="D29" t="inlineStr">
        <is>
          <t>BAF20</t>
        </is>
      </c>
      <c r="E29" t="inlineStr">
        <is>
          <t>PP</t>
        </is>
      </c>
      <c r="F29" t="n">
        <v>7.7</v>
      </c>
      <c r="G29" t="n">
        <v>38</v>
      </c>
      <c r="H29" t="n">
        <v>2</v>
      </c>
      <c r="I29" t="inlineStr">
        <is>
          <t>L</t>
        </is>
      </c>
      <c r="J29" t="inlineStr">
        <is>
          <t>S</t>
        </is>
      </c>
      <c r="K29" t="inlineStr">
        <is>
          <t>Y</t>
        </is>
      </c>
      <c r="L29" t="inlineStr"/>
      <c r="M29" s="30">
        <f>0.005454*F29^2</f>
        <v/>
      </c>
      <c r="N29" s="31">
        <f>IF(D29="BAF20",20/M29,100)</f>
        <v/>
      </c>
      <c r="O29" s="31">
        <f>M29*N29</f>
        <v/>
      </c>
      <c r="P29" s="32">
        <f>0.0*N29</f>
        <v/>
      </c>
    </row>
    <row r="30">
      <c r="A30" t="inlineStr">
        <is>
          <t>U1-03</t>
        </is>
      </c>
      <c r="B30" t="n">
        <v>1</v>
      </c>
      <c r="C30" t="n">
        <v>3</v>
      </c>
      <c r="D30" t="inlineStr">
        <is>
          <t>BAF20</t>
        </is>
      </c>
      <c r="E30" t="inlineStr">
        <is>
          <t>PP</t>
        </is>
      </c>
      <c r="F30" t="n">
        <v>23.1</v>
      </c>
      <c r="G30" t="n">
        <v>88</v>
      </c>
      <c r="H30" t="n">
        <v>2</v>
      </c>
      <c r="I30" t="inlineStr">
        <is>
          <t>L</t>
        </is>
      </c>
      <c r="J30" t="inlineStr">
        <is>
          <t>C</t>
        </is>
      </c>
      <c r="K30" t="inlineStr"/>
      <c r="L30" t="inlineStr"/>
      <c r="M30" s="30">
        <f>0.005454*F30^2</f>
        <v/>
      </c>
      <c r="N30" s="31">
        <f>IF(D30="BAF20",20/M30,100)</f>
        <v/>
      </c>
      <c r="O30" s="31">
        <f>M30*N30</f>
        <v/>
      </c>
      <c r="P30" s="32">
        <f>472.4*N30</f>
        <v/>
      </c>
    </row>
    <row r="31">
      <c r="A31" t="inlineStr">
        <is>
          <t>U1-03</t>
        </is>
      </c>
      <c r="B31" t="n">
        <v>1</v>
      </c>
      <c r="C31" t="n">
        <v>4</v>
      </c>
      <c r="D31" t="inlineStr">
        <is>
          <t>BAF20</t>
        </is>
      </c>
      <c r="E31" t="inlineStr">
        <is>
          <t>PP</t>
        </is>
      </c>
      <c r="F31" t="n">
        <v>27.5</v>
      </c>
      <c r="G31" t="n">
        <v>107</v>
      </c>
      <c r="H31" t="n">
        <v>0</v>
      </c>
      <c r="I31" t="inlineStr">
        <is>
          <t>L</t>
        </is>
      </c>
      <c r="J31" t="inlineStr">
        <is>
          <t>D</t>
        </is>
      </c>
      <c r="K31" t="inlineStr"/>
      <c r="L31" t="inlineStr"/>
      <c r="M31" s="30">
        <f>0.005454*F31^2</f>
        <v/>
      </c>
      <c r="N31" s="31">
        <f>IF(D31="BAF20",20/M31,100)</f>
        <v/>
      </c>
      <c r="O31" s="31">
        <f>M31*N31</f>
        <v/>
      </c>
      <c r="P31" s="32">
        <f>896.7*N31</f>
        <v/>
      </c>
    </row>
    <row r="32">
      <c r="A32" t="inlineStr">
        <is>
          <t>U1-03</t>
        </is>
      </c>
      <c r="B32" t="n">
        <v>1</v>
      </c>
      <c r="C32" t="n">
        <v>5</v>
      </c>
      <c r="D32" t="inlineStr">
        <is>
          <t>BAF20</t>
        </is>
      </c>
      <c r="E32" t="inlineStr">
        <is>
          <t>PP</t>
        </is>
      </c>
      <c r="F32" t="n">
        <v>24.6</v>
      </c>
      <c r="G32" t="n">
        <v>103</v>
      </c>
      <c r="H32" t="n">
        <v>1</v>
      </c>
      <c r="I32" t="inlineStr">
        <is>
          <t>L</t>
        </is>
      </c>
      <c r="J32" t="inlineStr">
        <is>
          <t>C</t>
        </is>
      </c>
      <c r="K32" t="inlineStr"/>
      <c r="L32" t="inlineStr"/>
      <c r="M32" s="30">
        <f>0.005454*F32^2</f>
        <v/>
      </c>
      <c r="N32" s="31">
        <f>IF(D32="BAF20",20/M32,100)</f>
        <v/>
      </c>
      <c r="O32" s="31">
        <f>M32*N32</f>
        <v/>
      </c>
      <c r="P32" s="32">
        <f>650.6*N32</f>
        <v/>
      </c>
    </row>
    <row r="33">
      <c r="A33" t="inlineStr">
        <is>
          <t>U1-03</t>
        </is>
      </c>
      <c r="B33" t="n">
        <v>1</v>
      </c>
      <c r="C33" t="n">
        <v>6</v>
      </c>
      <c r="D33" t="inlineStr">
        <is>
          <t>BAF20</t>
        </is>
      </c>
      <c r="E33" t="inlineStr">
        <is>
          <t>PP</t>
        </is>
      </c>
      <c r="F33" t="n">
        <v>26.6</v>
      </c>
      <c r="G33" t="n">
        <v>100</v>
      </c>
      <c r="H33" t="n">
        <v>4</v>
      </c>
      <c r="I33" t="inlineStr">
        <is>
          <t>L</t>
        </is>
      </c>
      <c r="J33" t="inlineStr">
        <is>
          <t>D</t>
        </is>
      </c>
      <c r="K33" t="inlineStr"/>
      <c r="L33" t="inlineStr"/>
      <c r="M33" s="30">
        <f>0.005454*F33^2</f>
        <v/>
      </c>
      <c r="N33" s="31">
        <f>IF(D33="BAF20",20/M33,100)</f>
        <v/>
      </c>
      <c r="O33" s="31">
        <f>M33*N33</f>
        <v/>
      </c>
      <c r="P33" s="32">
        <f>741.4*N33</f>
        <v/>
      </c>
    </row>
    <row r="34">
      <c r="A34" t="inlineStr">
        <is>
          <t>U1-03</t>
        </is>
      </c>
      <c r="B34" t="n">
        <v>1</v>
      </c>
      <c r="C34" t="n">
        <v>7</v>
      </c>
      <c r="D34" t="inlineStr">
        <is>
          <t>BAF20</t>
        </is>
      </c>
      <c r="E34" t="inlineStr">
        <is>
          <t>WF</t>
        </is>
      </c>
      <c r="F34" t="n">
        <v>20.6</v>
      </c>
      <c r="G34" t="n">
        <v>89</v>
      </c>
      <c r="H34" t="n">
        <v>14</v>
      </c>
      <c r="I34" t="inlineStr">
        <is>
          <t>L</t>
        </is>
      </c>
      <c r="J34" t="inlineStr">
        <is>
          <t>C</t>
        </is>
      </c>
      <c r="K34" t="inlineStr"/>
      <c r="L34" t="inlineStr"/>
      <c r="M34" s="30">
        <f>0.005454*F34^2</f>
        <v/>
      </c>
      <c r="N34" s="31">
        <f>IF(D34="BAF20",20/M34,100)</f>
        <v/>
      </c>
      <c r="O34" s="31">
        <f>M34*N34</f>
        <v/>
      </c>
      <c r="P34" s="32">
        <f>318.3*N34</f>
        <v/>
      </c>
    </row>
    <row r="35">
      <c r="A35" t="inlineStr">
        <is>
          <t>U1-03</t>
        </is>
      </c>
      <c r="B35" t="n">
        <v>1</v>
      </c>
      <c r="C35" t="n">
        <v>8</v>
      </c>
      <c r="D35" t="inlineStr">
        <is>
          <t>FIX100</t>
        </is>
      </c>
      <c r="E35" t="inlineStr">
        <is>
          <t>SP</t>
        </is>
      </c>
      <c r="F35" t="n">
        <v>2.7</v>
      </c>
      <c r="G35" t="n">
        <v>19</v>
      </c>
      <c r="H35" t="n">
        <v>0</v>
      </c>
      <c r="I35" t="inlineStr">
        <is>
          <t>L</t>
        </is>
      </c>
      <c r="J35" t="inlineStr">
        <is>
          <t>S</t>
        </is>
      </c>
      <c r="K35" t="inlineStr"/>
      <c r="L35" t="inlineStr"/>
      <c r="M35" s="30">
        <f>0.005454*F35^2</f>
        <v/>
      </c>
      <c r="N35" s="31">
        <f>IF(D35="BAF20",20/M35,100)</f>
        <v/>
      </c>
      <c r="O35" s="31">
        <f>M35*N35</f>
        <v/>
      </c>
      <c r="P35" s="32">
        <f>0.0*N35</f>
        <v/>
      </c>
    </row>
    <row r="36">
      <c r="A36" t="inlineStr">
        <is>
          <t>U1-03</t>
        </is>
      </c>
      <c r="B36" t="n">
        <v>1</v>
      </c>
      <c r="C36" t="n">
        <v>9</v>
      </c>
      <c r="D36" t="inlineStr">
        <is>
          <t>FIX100</t>
        </is>
      </c>
      <c r="E36" t="inlineStr">
        <is>
          <t>PP</t>
        </is>
      </c>
      <c r="F36" t="n">
        <v>4.8</v>
      </c>
      <c r="G36" t="n">
        <v>24</v>
      </c>
      <c r="H36" t="n">
        <v>0</v>
      </c>
      <c r="I36" t="inlineStr">
        <is>
          <t>L</t>
        </is>
      </c>
      <c r="J36" t="inlineStr">
        <is>
          <t>S</t>
        </is>
      </c>
      <c r="K36" t="inlineStr"/>
      <c r="L36" t="inlineStr"/>
      <c r="M36" s="30">
        <f>0.005454*F36^2</f>
        <v/>
      </c>
      <c r="N36" s="31">
        <f>IF(D36="BAF20",20/M36,100)</f>
        <v/>
      </c>
      <c r="O36" s="31">
        <f>M36*N36</f>
        <v/>
      </c>
      <c r="P36" s="32">
        <f>0.0*N36</f>
        <v/>
      </c>
    </row>
    <row r="37">
      <c r="A37" t="inlineStr">
        <is>
          <t>U1-04</t>
        </is>
      </c>
      <c r="B37" t="n">
        <v>1</v>
      </c>
      <c r="C37" t="n">
        <v>1</v>
      </c>
      <c r="D37" t="inlineStr">
        <is>
          <t>BAF20</t>
        </is>
      </c>
      <c r="E37" t="inlineStr">
        <is>
          <t>IC</t>
        </is>
      </c>
      <c r="F37" t="n">
        <v>12.5</v>
      </c>
      <c r="G37" t="n">
        <v>52</v>
      </c>
      <c r="H37" t="n">
        <v>5</v>
      </c>
      <c r="I37" t="inlineStr">
        <is>
          <t>L</t>
        </is>
      </c>
      <c r="J37" t="inlineStr">
        <is>
          <t>S</t>
        </is>
      </c>
      <c r="K37" t="inlineStr">
        <is>
          <t>Y</t>
        </is>
      </c>
      <c r="L37" t="inlineStr"/>
      <c r="M37" s="30">
        <f>0.005454*F37^2</f>
        <v/>
      </c>
      <c r="N37" s="31">
        <f>IF(D37="BAF20",20/M37,100)</f>
        <v/>
      </c>
      <c r="O37" s="31">
        <f>M37*N37</f>
        <v/>
      </c>
      <c r="P37" s="32">
        <f>64.1*N37</f>
        <v/>
      </c>
    </row>
    <row r="38">
      <c r="A38" t="inlineStr">
        <is>
          <t>U1-04</t>
        </is>
      </c>
      <c r="B38" t="n">
        <v>1</v>
      </c>
      <c r="C38" t="n">
        <v>2</v>
      </c>
      <c r="D38" t="inlineStr">
        <is>
          <t>BAF20</t>
        </is>
      </c>
      <c r="E38" t="inlineStr">
        <is>
          <t>WF</t>
        </is>
      </c>
      <c r="F38" t="n">
        <v>20.4</v>
      </c>
      <c r="G38" t="n">
        <v>93</v>
      </c>
      <c r="H38" t="n">
        <v>9</v>
      </c>
      <c r="I38" t="inlineStr">
        <is>
          <t>L</t>
        </is>
      </c>
      <c r="J38" t="inlineStr">
        <is>
          <t>C</t>
        </is>
      </c>
      <c r="K38" t="inlineStr"/>
      <c r="L38" t="inlineStr"/>
      <c r="M38" s="30">
        <f>0.005454*F38^2</f>
        <v/>
      </c>
      <c r="N38" s="31">
        <f>IF(D38="BAF20",20/M38,100)</f>
        <v/>
      </c>
      <c r="O38" s="31">
        <f>M38*N38</f>
        <v/>
      </c>
      <c r="P38" s="32">
        <f>343.9*N38</f>
        <v/>
      </c>
    </row>
    <row r="39">
      <c r="A39" t="inlineStr">
        <is>
          <t>U1-04</t>
        </is>
      </c>
      <c r="B39" t="n">
        <v>1</v>
      </c>
      <c r="C39" t="n">
        <v>3</v>
      </c>
      <c r="D39" t="inlineStr">
        <is>
          <t>BAF20</t>
        </is>
      </c>
      <c r="E39" t="inlineStr">
        <is>
          <t>IC</t>
        </is>
      </c>
      <c r="F39" t="n">
        <v>20.9</v>
      </c>
      <c r="G39" t="n">
        <v>76</v>
      </c>
      <c r="H39" t="n">
        <v>1</v>
      </c>
      <c r="I39" t="inlineStr">
        <is>
          <t>L</t>
        </is>
      </c>
      <c r="J39" t="inlineStr">
        <is>
          <t>C</t>
        </is>
      </c>
      <c r="K39" t="inlineStr"/>
      <c r="L39" t="inlineStr"/>
      <c r="M39" s="30">
        <f>0.005454*F39^2</f>
        <v/>
      </c>
      <c r="N39" s="31">
        <f>IF(D39="BAF20",20/M39,100)</f>
        <v/>
      </c>
      <c r="O39" s="31">
        <f>M39*N39</f>
        <v/>
      </c>
      <c r="P39" s="32">
        <f>323.9*N39</f>
        <v/>
      </c>
    </row>
    <row r="40">
      <c r="A40" t="inlineStr">
        <is>
          <t>U1-04</t>
        </is>
      </c>
      <c r="B40" t="n">
        <v>1</v>
      </c>
      <c r="C40" t="n">
        <v>4</v>
      </c>
      <c r="D40" t="inlineStr">
        <is>
          <t>BAF20</t>
        </is>
      </c>
      <c r="E40" t="inlineStr">
        <is>
          <t>SP</t>
        </is>
      </c>
      <c r="F40" t="n">
        <v>39.8</v>
      </c>
      <c r="G40" t="n">
        <v>154</v>
      </c>
      <c r="H40" t="n">
        <v>9</v>
      </c>
      <c r="I40" t="inlineStr">
        <is>
          <t>L</t>
        </is>
      </c>
      <c r="J40" t="inlineStr">
        <is>
          <t>D</t>
        </is>
      </c>
      <c r="K40" t="inlineStr"/>
      <c r="L40" t="inlineStr"/>
      <c r="M40" s="30">
        <f>0.005454*F40^2</f>
        <v/>
      </c>
      <c r="N40" s="31">
        <f>IF(D40="BAF20",20/M40,100)</f>
        <v/>
      </c>
      <c r="O40" s="31">
        <f>M40*N40</f>
        <v/>
      </c>
      <c r="P40" s="32">
        <f>2837.4*N40</f>
        <v/>
      </c>
    </row>
    <row r="41">
      <c r="A41" t="inlineStr">
        <is>
          <t>U1-04</t>
        </is>
      </c>
      <c r="B41" t="n">
        <v>1</v>
      </c>
      <c r="C41" t="n">
        <v>5</v>
      </c>
      <c r="D41" t="inlineStr">
        <is>
          <t>BAF20</t>
        </is>
      </c>
      <c r="E41" t="inlineStr">
        <is>
          <t>PP</t>
        </is>
      </c>
      <c r="F41" t="n">
        <v>25</v>
      </c>
      <c r="G41" t="n">
        <v>120</v>
      </c>
      <c r="H41" t="n">
        <v>1</v>
      </c>
      <c r="I41" t="inlineStr">
        <is>
          <t>L</t>
        </is>
      </c>
      <c r="J41" t="inlineStr">
        <is>
          <t>D</t>
        </is>
      </c>
      <c r="K41" t="inlineStr"/>
      <c r="L41" t="inlineStr"/>
      <c r="M41" s="30">
        <f>0.005454*F41^2</f>
        <v/>
      </c>
      <c r="N41" s="31">
        <f>IF(D41="BAF20",20/M41,100)</f>
        <v/>
      </c>
      <c r="O41" s="31">
        <f>M41*N41</f>
        <v/>
      </c>
      <c r="P41" s="32">
        <f>788.3*N41</f>
        <v/>
      </c>
    </row>
    <row r="42">
      <c r="A42" t="inlineStr">
        <is>
          <t>U1-04</t>
        </is>
      </c>
      <c r="B42" t="n">
        <v>1</v>
      </c>
      <c r="C42" t="n">
        <v>6</v>
      </c>
      <c r="D42" t="inlineStr">
        <is>
          <t>BAF20</t>
        </is>
      </c>
      <c r="E42" t="inlineStr">
        <is>
          <t>IC</t>
        </is>
      </c>
      <c r="F42" t="n">
        <v>13.6</v>
      </c>
      <c r="G42" t="n">
        <v>51</v>
      </c>
      <c r="H42" t="n">
        <v>15</v>
      </c>
      <c r="I42" t="inlineStr">
        <is>
          <t>L</t>
        </is>
      </c>
      <c r="J42" t="inlineStr">
        <is>
          <t>I</t>
        </is>
      </c>
      <c r="K42" t="inlineStr">
        <is>
          <t>Y</t>
        </is>
      </c>
      <c r="L42" t="inlineStr"/>
      <c r="M42" s="30">
        <f>0.005454*F42^2</f>
        <v/>
      </c>
      <c r="N42" s="31">
        <f>IF(D42="BAF20",20/M42,100)</f>
        <v/>
      </c>
      <c r="O42" s="31">
        <f>M42*N42</f>
        <v/>
      </c>
      <c r="P42" s="32">
        <f>68.2*N42</f>
        <v/>
      </c>
    </row>
    <row r="43">
      <c r="A43" t="inlineStr">
        <is>
          <t>U1-04</t>
        </is>
      </c>
      <c r="B43" t="n">
        <v>1</v>
      </c>
      <c r="C43" t="n">
        <v>7</v>
      </c>
      <c r="D43" t="inlineStr">
        <is>
          <t>BAF20</t>
        </is>
      </c>
      <c r="E43" t="inlineStr">
        <is>
          <t>DF</t>
        </is>
      </c>
      <c r="F43" t="n">
        <v>15.8</v>
      </c>
      <c r="G43" t="n">
        <v>78</v>
      </c>
      <c r="H43" t="n">
        <v>17</v>
      </c>
      <c r="I43" t="inlineStr">
        <is>
          <t>L</t>
        </is>
      </c>
      <c r="J43" t="inlineStr">
        <is>
          <t>I</t>
        </is>
      </c>
      <c r="K43" t="inlineStr"/>
      <c r="L43" t="inlineStr"/>
      <c r="M43" s="30">
        <f>0.005454*F43^2</f>
        <v/>
      </c>
      <c r="N43" s="31">
        <f>IF(D43="BAF20",20/M43,100)</f>
        <v/>
      </c>
      <c r="O43" s="31">
        <f>M43*N43</f>
        <v/>
      </c>
      <c r="P43" s="32">
        <f>144.0*N43</f>
        <v/>
      </c>
    </row>
    <row r="44">
      <c r="A44" t="inlineStr">
        <is>
          <t>U1-04</t>
        </is>
      </c>
      <c r="B44" t="n">
        <v>1</v>
      </c>
      <c r="C44" t="n">
        <v>8</v>
      </c>
      <c r="D44" t="inlineStr">
        <is>
          <t>BAF20</t>
        </is>
      </c>
      <c r="E44" t="inlineStr">
        <is>
          <t>PP</t>
        </is>
      </c>
      <c r="F44" t="n">
        <v>14.6</v>
      </c>
      <c r="G44" t="n">
        <v>71</v>
      </c>
      <c r="H44" t="n">
        <v>5</v>
      </c>
      <c r="I44" t="inlineStr">
        <is>
          <t>L</t>
        </is>
      </c>
      <c r="J44" t="inlineStr">
        <is>
          <t>I</t>
        </is>
      </c>
      <c r="K44" t="inlineStr"/>
      <c r="L44" t="inlineStr"/>
      <c r="M44" s="30">
        <f>0.005454*F44^2</f>
        <v/>
      </c>
      <c r="N44" s="31">
        <f>IF(D44="BAF20",20/M44,100)</f>
        <v/>
      </c>
      <c r="O44" s="31">
        <f>M44*N44</f>
        <v/>
      </c>
      <c r="P44" s="32">
        <f>124.9*N44</f>
        <v/>
      </c>
    </row>
    <row r="45">
      <c r="A45" t="inlineStr">
        <is>
          <t>U1-04</t>
        </is>
      </c>
      <c r="B45" t="n">
        <v>1</v>
      </c>
      <c r="C45" t="n">
        <v>9</v>
      </c>
      <c r="D45" t="inlineStr">
        <is>
          <t>BAF20</t>
        </is>
      </c>
      <c r="E45" t="inlineStr">
        <is>
          <t>DF</t>
        </is>
      </c>
      <c r="F45" t="n">
        <v>46.4</v>
      </c>
      <c r="G45" t="n">
        <v>155</v>
      </c>
      <c r="H45" t="n">
        <v>3</v>
      </c>
      <c r="I45" t="inlineStr">
        <is>
          <t>L</t>
        </is>
      </c>
      <c r="J45" t="inlineStr">
        <is>
          <t>D</t>
        </is>
      </c>
      <c r="K45" t="inlineStr"/>
      <c r="L45" t="inlineStr"/>
      <c r="M45" s="30">
        <f>0.005454*F45^2</f>
        <v/>
      </c>
      <c r="N45" s="31">
        <f>IF(D45="BAF20",20/M45,100)</f>
        <v/>
      </c>
      <c r="O45" s="31">
        <f>M45*N45</f>
        <v/>
      </c>
      <c r="P45" s="32">
        <f>4137.5*N45</f>
        <v/>
      </c>
    </row>
    <row r="46">
      <c r="A46" t="inlineStr">
        <is>
          <t>U1-04</t>
        </is>
      </c>
      <c r="B46" t="n">
        <v>1</v>
      </c>
      <c r="C46" t="n">
        <v>10</v>
      </c>
      <c r="D46" t="inlineStr">
        <is>
          <t>FIX100</t>
        </is>
      </c>
      <c r="E46" t="inlineStr">
        <is>
          <t>PP</t>
        </is>
      </c>
      <c r="F46" t="n">
        <v>4.1</v>
      </c>
      <c r="G46" t="n">
        <v>27</v>
      </c>
      <c r="H46" t="n">
        <v>0</v>
      </c>
      <c r="I46" t="inlineStr">
        <is>
          <t>L</t>
        </is>
      </c>
      <c r="J46" t="inlineStr">
        <is>
          <t>S</t>
        </is>
      </c>
      <c r="K46" t="inlineStr"/>
      <c r="L46" t="inlineStr"/>
      <c r="M46" s="30">
        <f>0.005454*F46^2</f>
        <v/>
      </c>
      <c r="N46" s="31">
        <f>IF(D46="BAF20",20/M46,100)</f>
        <v/>
      </c>
      <c r="O46" s="31">
        <f>M46*N46</f>
        <v/>
      </c>
      <c r="P46" s="32">
        <f>0.0*N46</f>
        <v/>
      </c>
    </row>
    <row r="47">
      <c r="A47" t="inlineStr">
        <is>
          <t>U1-05</t>
        </is>
      </c>
      <c r="B47" t="n">
        <v>1</v>
      </c>
      <c r="C47" t="n">
        <v>1</v>
      </c>
      <c r="D47" t="inlineStr">
        <is>
          <t>BAF20</t>
        </is>
      </c>
      <c r="E47" t="inlineStr">
        <is>
          <t>DF</t>
        </is>
      </c>
      <c r="F47" t="n">
        <v>23</v>
      </c>
      <c r="G47" t="n">
        <v>100</v>
      </c>
      <c r="H47" t="n">
        <v>3</v>
      </c>
      <c r="I47" t="inlineStr">
        <is>
          <t>L</t>
        </is>
      </c>
      <c r="J47" t="inlineStr">
        <is>
          <t>C</t>
        </is>
      </c>
      <c r="K47" t="inlineStr"/>
      <c r="L47" t="inlineStr"/>
      <c r="M47" s="30">
        <f>0.005454*F47^2</f>
        <v/>
      </c>
      <c r="N47" s="31">
        <f>IF(D47="BAF20",20/M47,100)</f>
        <v/>
      </c>
      <c r="O47" s="31">
        <f>M47*N47</f>
        <v/>
      </c>
      <c r="P47" s="32">
        <f>525.8*N47</f>
        <v/>
      </c>
    </row>
    <row r="48">
      <c r="A48" t="inlineStr">
        <is>
          <t>U1-05</t>
        </is>
      </c>
      <c r="B48" t="n">
        <v>1</v>
      </c>
      <c r="C48" t="n">
        <v>2</v>
      </c>
      <c r="D48" t="inlineStr">
        <is>
          <t>BAF20</t>
        </is>
      </c>
      <c r="E48" t="inlineStr">
        <is>
          <t>WF</t>
        </is>
      </c>
      <c r="F48" t="n">
        <v>24.1</v>
      </c>
      <c r="G48" t="n">
        <v>100</v>
      </c>
      <c r="H48" t="n">
        <v>100</v>
      </c>
      <c r="I48" t="inlineStr">
        <is>
          <t>D</t>
        </is>
      </c>
      <c r="J48" t="inlineStr">
        <is>
          <t>C</t>
        </is>
      </c>
      <c r="K48" t="inlineStr"/>
      <c r="L48" t="inlineStr"/>
      <c r="M48" s="30">
        <f>0.005454*F48^2</f>
        <v/>
      </c>
      <c r="N48" s="31">
        <f>IF(D48="BAF20",20/M48,100)</f>
        <v/>
      </c>
      <c r="O48" s="31">
        <f>M48*N48</f>
        <v/>
      </c>
      <c r="P48" s="32">
        <f>0.0*N48</f>
        <v/>
      </c>
    </row>
    <row r="49">
      <c r="A49" t="inlineStr">
        <is>
          <t>U1-05</t>
        </is>
      </c>
      <c r="B49" t="n">
        <v>1</v>
      </c>
      <c r="C49" t="n">
        <v>3</v>
      </c>
      <c r="D49" t="inlineStr">
        <is>
          <t>BAF20</t>
        </is>
      </c>
      <c r="E49" t="inlineStr">
        <is>
          <t>PP</t>
        </is>
      </c>
      <c r="F49" t="n">
        <v>24.1</v>
      </c>
      <c r="G49" t="n">
        <v>98</v>
      </c>
      <c r="H49" t="n">
        <v>1</v>
      </c>
      <c r="I49" t="inlineStr">
        <is>
          <t>L</t>
        </is>
      </c>
      <c r="J49" t="inlineStr">
        <is>
          <t>C</t>
        </is>
      </c>
      <c r="K49" t="inlineStr"/>
      <c r="L49" t="inlineStr"/>
      <c r="M49" s="30">
        <f>0.005454*F49^2</f>
        <v/>
      </c>
      <c r="N49" s="31">
        <f>IF(D49="BAF20",20/M49,100)</f>
        <v/>
      </c>
      <c r="O49" s="31">
        <f>M49*N49</f>
        <v/>
      </c>
      <c r="P49" s="32">
        <f>588.9*N49</f>
        <v/>
      </c>
    </row>
    <row r="50">
      <c r="A50" t="inlineStr">
        <is>
          <t>U1-05</t>
        </is>
      </c>
      <c r="B50" t="n">
        <v>1</v>
      </c>
      <c r="C50" t="n">
        <v>4</v>
      </c>
      <c r="D50" t="inlineStr">
        <is>
          <t>BAF20</t>
        </is>
      </c>
      <c r="E50" t="inlineStr">
        <is>
          <t>PP</t>
        </is>
      </c>
      <c r="F50" t="n">
        <v>27.3</v>
      </c>
      <c r="G50" t="n">
        <v>95</v>
      </c>
      <c r="H50" t="n">
        <v>6</v>
      </c>
      <c r="I50" t="inlineStr">
        <is>
          <t>L</t>
        </is>
      </c>
      <c r="J50" t="inlineStr">
        <is>
          <t>D</t>
        </is>
      </c>
      <c r="K50" t="inlineStr"/>
      <c r="L50" t="inlineStr"/>
      <c r="M50" s="30">
        <f>0.005454*F50^2</f>
        <v/>
      </c>
      <c r="N50" s="31">
        <f>IF(D50="BAF20",20/M50,100)</f>
        <v/>
      </c>
      <c r="O50" s="31">
        <f>M50*N50</f>
        <v/>
      </c>
      <c r="P50" s="32">
        <f>735.0*N50</f>
        <v/>
      </c>
    </row>
    <row r="51">
      <c r="A51" t="inlineStr">
        <is>
          <t>U1-05</t>
        </is>
      </c>
      <c r="B51" t="n">
        <v>1</v>
      </c>
      <c r="C51" t="n">
        <v>5</v>
      </c>
      <c r="D51" t="inlineStr">
        <is>
          <t>BAF20</t>
        </is>
      </c>
      <c r="E51" t="inlineStr">
        <is>
          <t>WF</t>
        </is>
      </c>
      <c r="F51" t="n">
        <v>9.800000000000001</v>
      </c>
      <c r="G51" t="n">
        <v>50</v>
      </c>
      <c r="H51" t="n">
        <v>0</v>
      </c>
      <c r="I51" t="inlineStr">
        <is>
          <t>L</t>
        </is>
      </c>
      <c r="J51" t="inlineStr">
        <is>
          <t>S</t>
        </is>
      </c>
      <c r="K51" t="inlineStr">
        <is>
          <t>Y</t>
        </is>
      </c>
      <c r="L51" t="inlineStr"/>
      <c r="M51" s="30">
        <f>0.005454*F51^2</f>
        <v/>
      </c>
      <c r="N51" s="31">
        <f>IF(D51="BAF20",20/M51,100)</f>
        <v/>
      </c>
      <c r="O51" s="31">
        <f>M51*N51</f>
        <v/>
      </c>
      <c r="P51" s="32">
        <f>0.0*N51</f>
        <v/>
      </c>
    </row>
    <row r="52">
      <c r="A52" t="inlineStr">
        <is>
          <t>U1-05</t>
        </is>
      </c>
      <c r="B52" t="n">
        <v>1</v>
      </c>
      <c r="C52" t="n">
        <v>6</v>
      </c>
      <c r="D52" t="inlineStr">
        <is>
          <t>BAF20</t>
        </is>
      </c>
      <c r="E52" t="inlineStr">
        <is>
          <t>IC</t>
        </is>
      </c>
      <c r="F52" t="n">
        <v>23.2</v>
      </c>
      <c r="G52" t="n">
        <v>84</v>
      </c>
      <c r="H52" t="n">
        <v>2</v>
      </c>
      <c r="I52" t="inlineStr">
        <is>
          <t>L</t>
        </is>
      </c>
      <c r="J52" t="inlineStr">
        <is>
          <t>C</t>
        </is>
      </c>
      <c r="K52" t="inlineStr"/>
      <c r="L52" t="inlineStr"/>
      <c r="M52" s="30">
        <f>0.005454*F52^2</f>
        <v/>
      </c>
      <c r="N52" s="31">
        <f>IF(D52="BAF20",20/M52,100)</f>
        <v/>
      </c>
      <c r="O52" s="31">
        <f>M52*N52</f>
        <v/>
      </c>
      <c r="P52" s="32">
        <f>455.6*N52</f>
        <v/>
      </c>
    </row>
    <row r="53">
      <c r="A53" t="inlineStr">
        <is>
          <t>U1-05</t>
        </is>
      </c>
      <c r="B53" t="n">
        <v>1</v>
      </c>
      <c r="C53" t="n">
        <v>7</v>
      </c>
      <c r="D53" t="inlineStr">
        <is>
          <t>BAF20</t>
        </is>
      </c>
      <c r="E53" t="inlineStr">
        <is>
          <t>PP</t>
        </is>
      </c>
      <c r="F53" t="n">
        <v>31.2</v>
      </c>
      <c r="G53" t="n">
        <v>118</v>
      </c>
      <c r="H53" t="n">
        <v>4</v>
      </c>
      <c r="I53" t="inlineStr">
        <is>
          <t>L</t>
        </is>
      </c>
      <c r="J53" t="inlineStr">
        <is>
          <t>D</t>
        </is>
      </c>
      <c r="K53" t="inlineStr"/>
      <c r="L53" t="inlineStr"/>
      <c r="M53" s="30">
        <f>0.005454*F53^2</f>
        <v/>
      </c>
      <c r="N53" s="31">
        <f>IF(D53="BAF20",20/M53,100)</f>
        <v/>
      </c>
      <c r="O53" s="31">
        <f>M53*N53</f>
        <v/>
      </c>
      <c r="P53" s="32">
        <f>1297.6*N53</f>
        <v/>
      </c>
    </row>
    <row r="54">
      <c r="A54" t="inlineStr">
        <is>
          <t>U1-05</t>
        </is>
      </c>
      <c r="B54" t="n">
        <v>1</v>
      </c>
      <c r="C54" t="n">
        <v>8</v>
      </c>
      <c r="D54" t="inlineStr">
        <is>
          <t>BAF20</t>
        </is>
      </c>
      <c r="E54" t="inlineStr">
        <is>
          <t>IC</t>
        </is>
      </c>
      <c r="F54" t="n">
        <v>16.8</v>
      </c>
      <c r="G54" t="n">
        <v>65</v>
      </c>
      <c r="H54" t="n">
        <v>6</v>
      </c>
      <c r="I54" t="inlineStr">
        <is>
          <t>L</t>
        </is>
      </c>
      <c r="J54" t="inlineStr">
        <is>
          <t>I</t>
        </is>
      </c>
      <c r="K54" t="inlineStr"/>
      <c r="L54" t="inlineStr"/>
      <c r="M54" s="30">
        <f>0.005454*F54^2</f>
        <v/>
      </c>
      <c r="N54" s="31">
        <f>IF(D54="BAF20",20/M54,100)</f>
        <v/>
      </c>
      <c r="O54" s="31">
        <f>M54*N54</f>
        <v/>
      </c>
      <c r="P54" s="32">
        <f>156.9*N54</f>
        <v/>
      </c>
    </row>
    <row r="55">
      <c r="A55" t="inlineStr">
        <is>
          <t>U1-05</t>
        </is>
      </c>
      <c r="B55" t="n">
        <v>1</v>
      </c>
      <c r="C55" t="n">
        <v>9</v>
      </c>
      <c r="D55" t="inlineStr">
        <is>
          <t>BAF20</t>
        </is>
      </c>
      <c r="E55" t="inlineStr">
        <is>
          <t>BO</t>
        </is>
      </c>
      <c r="F55" t="n">
        <v>27.5</v>
      </c>
      <c r="G55" t="n">
        <v>63</v>
      </c>
      <c r="H55" t="n">
        <v>19</v>
      </c>
      <c r="I55" t="inlineStr">
        <is>
          <t>L</t>
        </is>
      </c>
      <c r="J55" t="inlineStr">
        <is>
          <t>D</t>
        </is>
      </c>
      <c r="K55" t="inlineStr"/>
      <c r="L55" t="inlineStr"/>
      <c r="M55" s="30">
        <f>0.005454*F55^2</f>
        <v/>
      </c>
      <c r="N55" s="31">
        <f>IF(D55="BAF20",20/M55,100)</f>
        <v/>
      </c>
      <c r="O55" s="31">
        <f>M55*N55</f>
        <v/>
      </c>
      <c r="P55" s="32">
        <f>386.9*N55</f>
        <v/>
      </c>
    </row>
    <row r="56">
      <c r="A56" t="inlineStr">
        <is>
          <t>U1-05</t>
        </is>
      </c>
      <c r="B56" t="n">
        <v>1</v>
      </c>
      <c r="C56" t="n">
        <v>10</v>
      </c>
      <c r="D56" t="inlineStr">
        <is>
          <t>BAF20</t>
        </is>
      </c>
      <c r="E56" t="inlineStr">
        <is>
          <t>DF</t>
        </is>
      </c>
      <c r="F56" t="n">
        <v>10.1</v>
      </c>
      <c r="G56" t="n">
        <v>57</v>
      </c>
      <c r="H56" t="n">
        <v>5</v>
      </c>
      <c r="I56" t="inlineStr">
        <is>
          <t>L</t>
        </is>
      </c>
      <c r="J56" t="inlineStr">
        <is>
          <t>S</t>
        </is>
      </c>
      <c r="K56" t="inlineStr">
        <is>
          <t>Y</t>
        </is>
      </c>
      <c r="L56" t="inlineStr"/>
      <c r="M56" s="30">
        <f>0.005454*F56^2</f>
        <v/>
      </c>
      <c r="N56" s="31">
        <f>IF(D56="BAF20",20/M56,100)</f>
        <v/>
      </c>
      <c r="O56" s="31">
        <f>M56*N56</f>
        <v/>
      </c>
      <c r="P56" s="32">
        <f>43.4*N56</f>
        <v/>
      </c>
    </row>
    <row r="57">
      <c r="A57" t="inlineStr">
        <is>
          <t>U1-05</t>
        </is>
      </c>
      <c r="B57" t="n">
        <v>1</v>
      </c>
      <c r="C57" t="n">
        <v>11</v>
      </c>
      <c r="D57" t="inlineStr">
        <is>
          <t>BAF20</t>
        </is>
      </c>
      <c r="E57" t="inlineStr">
        <is>
          <t>SP</t>
        </is>
      </c>
      <c r="F57" t="n">
        <v>23.8</v>
      </c>
      <c r="G57" t="n">
        <v>106</v>
      </c>
      <c r="H57" t="n">
        <v>13</v>
      </c>
      <c r="I57" t="inlineStr">
        <is>
          <t>L</t>
        </is>
      </c>
      <c r="J57" t="inlineStr">
        <is>
          <t>C</t>
        </is>
      </c>
      <c r="K57" t="inlineStr"/>
      <c r="L57" t="inlineStr"/>
      <c r="M57" s="30">
        <f>0.005454*F57^2</f>
        <v/>
      </c>
      <c r="N57" s="31">
        <f>IF(D57="BAF20",20/M57,100)</f>
        <v/>
      </c>
      <c r="O57" s="31">
        <f>M57*N57</f>
        <v/>
      </c>
      <c r="P57" s="32">
        <f>543.0*N57</f>
        <v/>
      </c>
    </row>
    <row r="58">
      <c r="A58" t="inlineStr">
        <is>
          <t>U1-05</t>
        </is>
      </c>
      <c r="B58" t="n">
        <v>1</v>
      </c>
      <c r="C58" t="n">
        <v>12</v>
      </c>
      <c r="D58" t="inlineStr">
        <is>
          <t>BAF20</t>
        </is>
      </c>
      <c r="E58" t="inlineStr">
        <is>
          <t>IC</t>
        </is>
      </c>
      <c r="F58" t="n">
        <v>10.2</v>
      </c>
      <c r="G58" t="n">
        <v>43</v>
      </c>
      <c r="H58" t="n">
        <v>10</v>
      </c>
      <c r="I58" t="inlineStr">
        <is>
          <t>L</t>
        </is>
      </c>
      <c r="J58" t="inlineStr">
        <is>
          <t>S</t>
        </is>
      </c>
      <c r="K58" t="inlineStr">
        <is>
          <t>Y</t>
        </is>
      </c>
      <c r="L58" t="inlineStr"/>
      <c r="M58" s="30">
        <f>0.005454*F58^2</f>
        <v/>
      </c>
      <c r="N58" s="31">
        <f>IF(D58="BAF20",20/M58,100)</f>
        <v/>
      </c>
      <c r="O58" s="31">
        <f>M58*N58</f>
        <v/>
      </c>
      <c r="P58" s="32">
        <f>31.7*N58</f>
        <v/>
      </c>
    </row>
    <row r="59">
      <c r="A59" t="inlineStr">
        <is>
          <t>U1-05</t>
        </is>
      </c>
      <c r="B59" t="n">
        <v>1</v>
      </c>
      <c r="C59" t="n">
        <v>13</v>
      </c>
      <c r="D59" t="inlineStr">
        <is>
          <t>BAF20</t>
        </is>
      </c>
      <c r="E59" t="inlineStr">
        <is>
          <t>WF</t>
        </is>
      </c>
      <c r="F59" t="n">
        <v>18.6</v>
      </c>
      <c r="G59" t="n">
        <v>91</v>
      </c>
      <c r="H59" t="n">
        <v>16</v>
      </c>
      <c r="I59" t="inlineStr">
        <is>
          <t>L</t>
        </is>
      </c>
      <c r="J59" t="inlineStr">
        <is>
          <t>I</t>
        </is>
      </c>
      <c r="K59" t="inlineStr"/>
      <c r="L59" t="inlineStr"/>
      <c r="M59" s="30">
        <f>0.005454*F59^2</f>
        <v/>
      </c>
      <c r="N59" s="31">
        <f>IF(D59="BAF20",20/M59,100)</f>
        <v/>
      </c>
      <c r="O59" s="31">
        <f>M59*N59</f>
        <v/>
      </c>
      <c r="P59" s="32">
        <f>249.4*N59</f>
        <v/>
      </c>
    </row>
    <row r="60">
      <c r="A60" t="inlineStr">
        <is>
          <t>U1-05</t>
        </is>
      </c>
      <c r="B60" t="n">
        <v>1</v>
      </c>
      <c r="C60" t="n">
        <v>14</v>
      </c>
      <c r="D60" t="inlineStr">
        <is>
          <t>BAF20</t>
        </is>
      </c>
      <c r="E60" t="inlineStr">
        <is>
          <t>IC</t>
        </is>
      </c>
      <c r="F60" t="n">
        <v>29</v>
      </c>
      <c r="G60" t="n">
        <v>91</v>
      </c>
      <c r="H60" t="n">
        <v>100</v>
      </c>
      <c r="I60" t="inlineStr">
        <is>
          <t>D</t>
        </is>
      </c>
      <c r="J60" t="inlineStr">
        <is>
          <t>D</t>
        </is>
      </c>
      <c r="K60" t="inlineStr"/>
      <c r="L60" t="inlineStr"/>
      <c r="M60" s="30">
        <f>0.005454*F60^2</f>
        <v/>
      </c>
      <c r="N60" s="31">
        <f>IF(D60="BAF20",20/M60,100)</f>
        <v/>
      </c>
      <c r="O60" s="31">
        <f>M60*N60</f>
        <v/>
      </c>
      <c r="P60" s="32">
        <f>0.0*N60</f>
        <v/>
      </c>
    </row>
    <row r="61">
      <c r="A61" t="inlineStr">
        <is>
          <t>U1-05</t>
        </is>
      </c>
      <c r="B61" t="n">
        <v>1</v>
      </c>
      <c r="C61" t="n">
        <v>15</v>
      </c>
      <c r="D61" t="inlineStr">
        <is>
          <t>BAF20</t>
        </is>
      </c>
      <c r="E61" t="inlineStr">
        <is>
          <t>PP</t>
        </is>
      </c>
      <c r="F61" t="n">
        <v>25.1</v>
      </c>
      <c r="G61" t="n">
        <v>111</v>
      </c>
      <c r="H61" t="n">
        <v>0</v>
      </c>
      <c r="I61" t="inlineStr">
        <is>
          <t>L</t>
        </is>
      </c>
      <c r="J61" t="inlineStr">
        <is>
          <t>D</t>
        </is>
      </c>
      <c r="K61" t="inlineStr"/>
      <c r="L61" t="inlineStr"/>
      <c r="M61" s="30">
        <f>0.005454*F61^2</f>
        <v/>
      </c>
      <c r="N61" s="31">
        <f>IF(D61="BAF20",20/M61,100)</f>
        <v/>
      </c>
      <c r="O61" s="31">
        <f>M61*N61</f>
        <v/>
      </c>
      <c r="P61" s="32">
        <f>743.8*N61</f>
        <v/>
      </c>
    </row>
    <row r="62">
      <c r="A62" t="inlineStr">
        <is>
          <t>U1-05</t>
        </is>
      </c>
      <c r="B62" t="n">
        <v>1</v>
      </c>
      <c r="C62" t="n">
        <v>16</v>
      </c>
      <c r="D62" t="inlineStr">
        <is>
          <t>FIX100</t>
        </is>
      </c>
      <c r="E62" t="inlineStr">
        <is>
          <t>WF</t>
        </is>
      </c>
      <c r="F62" t="n">
        <v>4.2</v>
      </c>
      <c r="G62" t="n">
        <v>24</v>
      </c>
      <c r="H62" t="n">
        <v>0</v>
      </c>
      <c r="I62" t="inlineStr">
        <is>
          <t>L</t>
        </is>
      </c>
      <c r="J62" t="inlineStr">
        <is>
          <t>S</t>
        </is>
      </c>
      <c r="K62" t="inlineStr"/>
      <c r="L62" t="inlineStr"/>
      <c r="M62" s="30">
        <f>0.005454*F62^2</f>
        <v/>
      </c>
      <c r="N62" s="31">
        <f>IF(D62="BAF20",20/M62,100)</f>
        <v/>
      </c>
      <c r="O62" s="31">
        <f>M62*N62</f>
        <v/>
      </c>
      <c r="P62" s="32">
        <f>0.0*N62</f>
        <v/>
      </c>
    </row>
    <row r="63">
      <c r="A63" t="inlineStr">
        <is>
          <t>U1-05</t>
        </is>
      </c>
      <c r="B63" t="n">
        <v>1</v>
      </c>
      <c r="C63" t="n">
        <v>17</v>
      </c>
      <c r="D63" t="inlineStr">
        <is>
          <t>FIX100</t>
        </is>
      </c>
      <c r="E63" t="inlineStr">
        <is>
          <t>PP</t>
        </is>
      </c>
      <c r="F63" t="n">
        <v>2.2</v>
      </c>
      <c r="G63" t="n">
        <v>14</v>
      </c>
      <c r="H63" t="n">
        <v>0</v>
      </c>
      <c r="I63" t="inlineStr">
        <is>
          <t>L</t>
        </is>
      </c>
      <c r="J63" t="inlineStr">
        <is>
          <t>S</t>
        </is>
      </c>
      <c r="K63" t="inlineStr"/>
      <c r="L63" t="inlineStr"/>
      <c r="M63" s="30">
        <f>0.005454*F63^2</f>
        <v/>
      </c>
      <c r="N63" s="31">
        <f>IF(D63="BAF20",20/M63,100)</f>
        <v/>
      </c>
      <c r="O63" s="31">
        <f>M63*N63</f>
        <v/>
      </c>
      <c r="P63" s="32">
        <f>0.0*N63</f>
        <v/>
      </c>
    </row>
    <row r="64">
      <c r="A64" t="inlineStr">
        <is>
          <t>U1-05</t>
        </is>
      </c>
      <c r="B64" t="n">
        <v>1</v>
      </c>
      <c r="C64" t="n">
        <v>18</v>
      </c>
      <c r="D64" t="inlineStr">
        <is>
          <t>FIX100</t>
        </is>
      </c>
      <c r="E64" t="inlineStr">
        <is>
          <t>PP</t>
        </is>
      </c>
      <c r="F64" t="n">
        <v>2.6</v>
      </c>
      <c r="G64" t="n">
        <v>19</v>
      </c>
      <c r="H64" t="n">
        <v>0</v>
      </c>
      <c r="I64" t="inlineStr">
        <is>
          <t>L</t>
        </is>
      </c>
      <c r="J64" t="inlineStr">
        <is>
          <t>S</t>
        </is>
      </c>
      <c r="K64" t="inlineStr"/>
      <c r="L64" t="inlineStr"/>
      <c r="M64" s="30">
        <f>0.005454*F64^2</f>
        <v/>
      </c>
      <c r="N64" s="31">
        <f>IF(D64="BAF20",20/M64,100)</f>
        <v/>
      </c>
      <c r="O64" s="31">
        <f>M64*N64</f>
        <v/>
      </c>
      <c r="P64" s="32">
        <f>0.0*N64</f>
        <v/>
      </c>
    </row>
    <row r="65">
      <c r="A65" t="inlineStr">
        <is>
          <t>U1-05</t>
        </is>
      </c>
      <c r="B65" t="n">
        <v>1</v>
      </c>
      <c r="C65" t="n">
        <v>19</v>
      </c>
      <c r="D65" t="inlineStr">
        <is>
          <t>FIX100</t>
        </is>
      </c>
      <c r="E65" t="inlineStr">
        <is>
          <t>DF</t>
        </is>
      </c>
      <c r="F65" t="n">
        <v>2.3</v>
      </c>
      <c r="G65" t="n">
        <v>14</v>
      </c>
      <c r="H65" t="n">
        <v>0</v>
      </c>
      <c r="I65" t="inlineStr">
        <is>
          <t>L</t>
        </is>
      </c>
      <c r="J65" t="inlineStr">
        <is>
          <t>S</t>
        </is>
      </c>
      <c r="K65" t="inlineStr"/>
      <c r="L65" t="inlineStr"/>
      <c r="M65" s="30">
        <f>0.005454*F65^2</f>
        <v/>
      </c>
      <c r="N65" s="31">
        <f>IF(D65="BAF20",20/M65,100)</f>
        <v/>
      </c>
      <c r="O65" s="31">
        <f>M65*N65</f>
        <v/>
      </c>
      <c r="P65" s="32">
        <f>0.0*N65</f>
        <v/>
      </c>
    </row>
    <row r="66">
      <c r="A66" t="inlineStr">
        <is>
          <t>U1-06</t>
        </is>
      </c>
      <c r="B66" t="n">
        <v>1</v>
      </c>
      <c r="C66" t="n">
        <v>1</v>
      </c>
      <c r="D66" t="inlineStr">
        <is>
          <t>BAF20</t>
        </is>
      </c>
      <c r="E66" t="inlineStr">
        <is>
          <t>PP</t>
        </is>
      </c>
      <c r="F66" t="n">
        <v>27.6</v>
      </c>
      <c r="G66" t="n">
        <v>121</v>
      </c>
      <c r="H66" t="n">
        <v>0</v>
      </c>
      <c r="I66" t="inlineStr">
        <is>
          <t>L</t>
        </is>
      </c>
      <c r="J66" t="inlineStr">
        <is>
          <t>D</t>
        </is>
      </c>
      <c r="K66" t="inlineStr"/>
      <c r="L66" t="inlineStr"/>
      <c r="M66" s="30">
        <f>0.005454*F66^2</f>
        <v/>
      </c>
      <c r="N66" s="31">
        <f>IF(D66="BAF20",20/M66,100)</f>
        <v/>
      </c>
      <c r="O66" s="31">
        <f>M66*N66</f>
        <v/>
      </c>
      <c r="P66" s="32">
        <f>1023.1*N66</f>
        <v/>
      </c>
    </row>
    <row r="67">
      <c r="A67" t="inlineStr">
        <is>
          <t>U1-06</t>
        </is>
      </c>
      <c r="B67" t="n">
        <v>1</v>
      </c>
      <c r="C67" t="n">
        <v>2</v>
      </c>
      <c r="D67" t="inlineStr">
        <is>
          <t>BAF20</t>
        </is>
      </c>
      <c r="E67" t="inlineStr">
        <is>
          <t>PP</t>
        </is>
      </c>
      <c r="F67" t="n">
        <v>7.9</v>
      </c>
      <c r="G67" t="n">
        <v>48</v>
      </c>
      <c r="H67" t="n">
        <v>2</v>
      </c>
      <c r="I67" t="inlineStr">
        <is>
          <t>L</t>
        </is>
      </c>
      <c r="J67" t="inlineStr">
        <is>
          <t>S</t>
        </is>
      </c>
      <c r="K67" t="inlineStr">
        <is>
          <t>Y</t>
        </is>
      </c>
      <c r="L67" t="inlineStr"/>
      <c r="M67" s="30">
        <f>0.005454*F67^2</f>
        <v/>
      </c>
      <c r="N67" s="31">
        <f>IF(D67="BAF20",20/M67,100)</f>
        <v/>
      </c>
      <c r="O67" s="31">
        <f>M67*N67</f>
        <v/>
      </c>
      <c r="P67" s="32">
        <f>0.0*N67</f>
        <v/>
      </c>
    </row>
    <row r="68">
      <c r="A68" t="inlineStr">
        <is>
          <t>U1-06</t>
        </is>
      </c>
      <c r="B68" t="n">
        <v>1</v>
      </c>
      <c r="C68" t="n">
        <v>3</v>
      </c>
      <c r="D68" t="inlineStr">
        <is>
          <t>BAF20</t>
        </is>
      </c>
      <c r="E68" t="inlineStr">
        <is>
          <t>DF</t>
        </is>
      </c>
      <c r="F68" t="n">
        <v>5.9</v>
      </c>
      <c r="G68" t="n">
        <v>30</v>
      </c>
      <c r="H68" t="n">
        <v>4</v>
      </c>
      <c r="I68" t="inlineStr">
        <is>
          <t>L</t>
        </is>
      </c>
      <c r="J68" t="inlineStr">
        <is>
          <t>S</t>
        </is>
      </c>
      <c r="K68" t="inlineStr">
        <is>
          <t>Y</t>
        </is>
      </c>
      <c r="L68" t="inlineStr"/>
      <c r="M68" s="30">
        <f>0.005454*F68^2</f>
        <v/>
      </c>
      <c r="N68" s="31">
        <f>IF(D68="BAF20",20/M68,100)</f>
        <v/>
      </c>
      <c r="O68" s="31">
        <f>M68*N68</f>
        <v/>
      </c>
      <c r="P68" s="32">
        <f>0.0*N68</f>
        <v/>
      </c>
    </row>
    <row r="69">
      <c r="A69" t="inlineStr">
        <is>
          <t>U1-06</t>
        </is>
      </c>
      <c r="B69" t="n">
        <v>1</v>
      </c>
      <c r="C69" t="n">
        <v>4</v>
      </c>
      <c r="D69" t="inlineStr">
        <is>
          <t>BAF20</t>
        </is>
      </c>
      <c r="E69" t="inlineStr">
        <is>
          <t>PP</t>
        </is>
      </c>
      <c r="F69" t="n">
        <v>13.7</v>
      </c>
      <c r="G69" t="n">
        <v>60</v>
      </c>
      <c r="H69" t="n">
        <v>4</v>
      </c>
      <c r="I69" t="inlineStr">
        <is>
          <t>L</t>
        </is>
      </c>
      <c r="J69" t="inlineStr">
        <is>
          <t>I</t>
        </is>
      </c>
      <c r="K69" t="inlineStr">
        <is>
          <t>Y</t>
        </is>
      </c>
      <c r="L69" t="inlineStr"/>
      <c r="M69" s="30">
        <f>0.005454*F69^2</f>
        <v/>
      </c>
      <c r="N69" s="31">
        <f>IF(D69="BAF20",20/M69,100)</f>
        <v/>
      </c>
      <c r="O69" s="31">
        <f>M69*N69</f>
        <v/>
      </c>
      <c r="P69" s="32">
        <f>92.1*N69</f>
        <v/>
      </c>
    </row>
    <row r="70">
      <c r="A70" t="inlineStr">
        <is>
          <t>U1-06</t>
        </is>
      </c>
      <c r="B70" t="n">
        <v>1</v>
      </c>
      <c r="C70" t="n">
        <v>5</v>
      </c>
      <c r="D70" t="inlineStr">
        <is>
          <t>BAF20</t>
        </is>
      </c>
      <c r="E70" t="inlineStr">
        <is>
          <t>BO</t>
        </is>
      </c>
      <c r="F70" t="n">
        <v>14.2</v>
      </c>
      <c r="G70" t="n">
        <v>46</v>
      </c>
      <c r="H70" t="n">
        <v>10</v>
      </c>
      <c r="I70" t="inlineStr">
        <is>
          <t>L</t>
        </is>
      </c>
      <c r="J70" t="inlineStr">
        <is>
          <t>I</t>
        </is>
      </c>
      <c r="K70" t="inlineStr">
        <is>
          <t>Y</t>
        </is>
      </c>
      <c r="L70" t="inlineStr"/>
      <c r="M70" s="30">
        <f>0.005454*F70^2</f>
        <v/>
      </c>
      <c r="N70" s="31">
        <f>IF(D70="BAF20",20/M70,100)</f>
        <v/>
      </c>
      <c r="O70" s="31">
        <f>M70*N70</f>
        <v/>
      </c>
      <c r="P70" s="32">
        <f>65.1*N70</f>
        <v/>
      </c>
    </row>
    <row r="71">
      <c r="A71" t="inlineStr">
        <is>
          <t>U1-06</t>
        </is>
      </c>
      <c r="B71" t="n">
        <v>1</v>
      </c>
      <c r="C71" t="n">
        <v>6</v>
      </c>
      <c r="D71" t="inlineStr">
        <is>
          <t>BAF20</t>
        </is>
      </c>
      <c r="E71" t="inlineStr">
        <is>
          <t>IC</t>
        </is>
      </c>
      <c r="F71" t="n">
        <v>20</v>
      </c>
      <c r="G71" t="n">
        <v>73</v>
      </c>
      <c r="H71" t="n">
        <v>7</v>
      </c>
      <c r="I71" t="inlineStr">
        <is>
          <t>L</t>
        </is>
      </c>
      <c r="J71" t="inlineStr">
        <is>
          <t>C</t>
        </is>
      </c>
      <c r="K71" t="inlineStr"/>
      <c r="L71" t="inlineStr"/>
      <c r="M71" s="30">
        <f>0.005454*F71^2</f>
        <v/>
      </c>
      <c r="N71" s="31">
        <f>IF(D71="BAF20",20/M71,100)</f>
        <v/>
      </c>
      <c r="O71" s="31">
        <f>M71*N71</f>
        <v/>
      </c>
      <c r="P71" s="32">
        <f>263.1*N71</f>
        <v/>
      </c>
    </row>
    <row r="72">
      <c r="A72" t="inlineStr">
        <is>
          <t>U1-06</t>
        </is>
      </c>
      <c r="B72" t="n">
        <v>1</v>
      </c>
      <c r="C72" t="n">
        <v>7</v>
      </c>
      <c r="D72" t="inlineStr">
        <is>
          <t>BAF20</t>
        </is>
      </c>
      <c r="E72" t="inlineStr">
        <is>
          <t>PP</t>
        </is>
      </c>
      <c r="F72" t="n">
        <v>8.5</v>
      </c>
      <c r="G72" t="n">
        <v>49</v>
      </c>
      <c r="H72" t="n">
        <v>6</v>
      </c>
      <c r="I72" t="inlineStr">
        <is>
          <t>L</t>
        </is>
      </c>
      <c r="J72" t="inlineStr">
        <is>
          <t>S</t>
        </is>
      </c>
      <c r="K72" t="inlineStr">
        <is>
          <t>Y</t>
        </is>
      </c>
      <c r="L72" t="inlineStr"/>
      <c r="M72" s="30">
        <f>0.005454*F72^2</f>
        <v/>
      </c>
      <c r="N72" s="31">
        <f>IF(D72="BAF20",20/M72,100)</f>
        <v/>
      </c>
      <c r="O72" s="31">
        <f>M72*N72</f>
        <v/>
      </c>
      <c r="P72" s="32">
        <f>0.0*N72</f>
        <v/>
      </c>
    </row>
    <row r="73">
      <c r="A73" t="inlineStr">
        <is>
          <t>U1-06</t>
        </is>
      </c>
      <c r="B73" t="n">
        <v>1</v>
      </c>
      <c r="C73" t="n">
        <v>8</v>
      </c>
      <c r="D73" t="inlineStr">
        <is>
          <t>BAF20</t>
        </is>
      </c>
      <c r="E73" t="inlineStr">
        <is>
          <t>DF</t>
        </is>
      </c>
      <c r="F73" t="n">
        <v>42.9</v>
      </c>
      <c r="G73" t="n">
        <v>132</v>
      </c>
      <c r="H73" t="n">
        <v>0</v>
      </c>
      <c r="I73" t="inlineStr">
        <is>
          <t>L</t>
        </is>
      </c>
      <c r="J73" t="inlineStr">
        <is>
          <t>D</t>
        </is>
      </c>
      <c r="K73" t="inlineStr"/>
      <c r="L73" t="inlineStr"/>
      <c r="M73" s="30">
        <f>0.005454*F73^2</f>
        <v/>
      </c>
      <c r="N73" s="31">
        <f>IF(D73="BAF20",20/M73,100)</f>
        <v/>
      </c>
      <c r="O73" s="31">
        <f>M73*N73</f>
        <v/>
      </c>
      <c r="P73" s="32">
        <f>3105.2*N73</f>
        <v/>
      </c>
    </row>
    <row r="74">
      <c r="A74" t="inlineStr">
        <is>
          <t>U1-06</t>
        </is>
      </c>
      <c r="B74" t="n">
        <v>1</v>
      </c>
      <c r="C74" t="n">
        <v>9</v>
      </c>
      <c r="D74" t="inlineStr">
        <is>
          <t>BAF20</t>
        </is>
      </c>
      <c r="E74" t="inlineStr">
        <is>
          <t>BO</t>
        </is>
      </c>
      <c r="F74" t="n">
        <v>14.2</v>
      </c>
      <c r="G74" t="n">
        <v>50</v>
      </c>
      <c r="H74" t="n">
        <v>23</v>
      </c>
      <c r="I74" t="inlineStr">
        <is>
          <t>L</t>
        </is>
      </c>
      <c r="J74" t="inlineStr">
        <is>
          <t>I</t>
        </is>
      </c>
      <c r="K74" t="inlineStr">
        <is>
          <t>Y</t>
        </is>
      </c>
      <c r="L74" t="inlineStr"/>
      <c r="M74" s="30">
        <f>0.005454*F74^2</f>
        <v/>
      </c>
      <c r="N74" s="31">
        <f>IF(D74="BAF20",20/M74,100)</f>
        <v/>
      </c>
      <c r="O74" s="31">
        <f>M74*N74</f>
        <v/>
      </c>
      <c r="P74" s="32">
        <f>60.5*N74</f>
        <v/>
      </c>
    </row>
    <row r="75">
      <c r="A75" t="inlineStr">
        <is>
          <t>U1-06</t>
        </is>
      </c>
      <c r="B75" t="n">
        <v>1</v>
      </c>
      <c r="C75" t="n">
        <v>10</v>
      </c>
      <c r="D75" t="inlineStr">
        <is>
          <t>BAF20</t>
        </is>
      </c>
      <c r="E75" t="inlineStr">
        <is>
          <t>IC</t>
        </is>
      </c>
      <c r="F75" t="n">
        <v>39.3</v>
      </c>
      <c r="G75" t="n">
        <v>118</v>
      </c>
      <c r="H75" t="n">
        <v>9</v>
      </c>
      <c r="I75" t="inlineStr">
        <is>
          <t>L</t>
        </is>
      </c>
      <c r="J75" t="inlineStr">
        <is>
          <t>D</t>
        </is>
      </c>
      <c r="K75" t="inlineStr"/>
      <c r="L75" t="inlineStr"/>
      <c r="M75" s="30">
        <f>0.005454*F75^2</f>
        <v/>
      </c>
      <c r="N75" s="31">
        <f>IF(D75="BAF20",20/M75,100)</f>
        <v/>
      </c>
      <c r="O75" s="31">
        <f>M75*N75</f>
        <v/>
      </c>
      <c r="P75" s="32">
        <f>2119.9*N75</f>
        <v/>
      </c>
    </row>
    <row r="76">
      <c r="A76" t="inlineStr">
        <is>
          <t>U1-06</t>
        </is>
      </c>
      <c r="B76" t="n">
        <v>1</v>
      </c>
      <c r="C76" t="n">
        <v>11</v>
      </c>
      <c r="D76" t="inlineStr">
        <is>
          <t>BAF20</t>
        </is>
      </c>
      <c r="E76" t="inlineStr">
        <is>
          <t>PP</t>
        </is>
      </c>
      <c r="F76" t="n">
        <v>31</v>
      </c>
      <c r="G76" t="n">
        <v>124</v>
      </c>
      <c r="H76" t="n">
        <v>1</v>
      </c>
      <c r="I76" t="inlineStr">
        <is>
          <t>L</t>
        </is>
      </c>
      <c r="J76" t="inlineStr">
        <is>
          <t>D</t>
        </is>
      </c>
      <c r="K76" t="inlineStr"/>
      <c r="L76" t="inlineStr"/>
      <c r="M76" s="30">
        <f>0.005454*F76^2</f>
        <v/>
      </c>
      <c r="N76" s="31">
        <f>IF(D76="BAF20",20/M76,100)</f>
        <v/>
      </c>
      <c r="O76" s="31">
        <f>M76*N76</f>
        <v/>
      </c>
      <c r="P76" s="32">
        <f>1383.9*N76</f>
        <v/>
      </c>
    </row>
    <row r="77">
      <c r="A77" t="inlineStr">
        <is>
          <t>U1-06</t>
        </is>
      </c>
      <c r="B77" t="n">
        <v>1</v>
      </c>
      <c r="C77" t="n">
        <v>12</v>
      </c>
      <c r="D77" t="inlineStr">
        <is>
          <t>BAF20</t>
        </is>
      </c>
      <c r="E77" t="inlineStr">
        <is>
          <t>BO</t>
        </is>
      </c>
      <c r="F77" t="n">
        <v>18.3</v>
      </c>
      <c r="G77" t="n">
        <v>59</v>
      </c>
      <c r="H77" t="n">
        <v>11</v>
      </c>
      <c r="I77" t="inlineStr">
        <is>
          <t>L</t>
        </is>
      </c>
      <c r="J77" t="inlineStr">
        <is>
          <t>I</t>
        </is>
      </c>
      <c r="K77" t="inlineStr"/>
      <c r="L77" t="inlineStr"/>
      <c r="M77" s="30">
        <f>0.005454*F77^2</f>
        <v/>
      </c>
      <c r="N77" s="31">
        <f>IF(D77="BAF20",20/M77,100)</f>
        <v/>
      </c>
      <c r="O77" s="31">
        <f>M77*N77</f>
        <v/>
      </c>
      <c r="P77" s="32">
        <f>149.1*N77</f>
        <v/>
      </c>
    </row>
    <row r="78">
      <c r="A78" t="inlineStr">
        <is>
          <t>U1-06</t>
        </is>
      </c>
      <c r="B78" t="n">
        <v>1</v>
      </c>
      <c r="C78" t="n">
        <v>13</v>
      </c>
      <c r="D78" t="inlineStr">
        <is>
          <t>BAF20</t>
        </is>
      </c>
      <c r="E78" t="inlineStr">
        <is>
          <t>SP</t>
        </is>
      </c>
      <c r="F78" t="n">
        <v>22.4</v>
      </c>
      <c r="G78" t="n">
        <v>105</v>
      </c>
      <c r="H78" t="n">
        <v>10</v>
      </c>
      <c r="I78" t="inlineStr">
        <is>
          <t>L</t>
        </is>
      </c>
      <c r="J78" t="inlineStr">
        <is>
          <t>C</t>
        </is>
      </c>
      <c r="K78" t="inlineStr"/>
      <c r="L78" t="inlineStr"/>
      <c r="M78" s="30">
        <f>0.005454*F78^2</f>
        <v/>
      </c>
      <c r="N78" s="31">
        <f>IF(D78="BAF20",20/M78,100)</f>
        <v/>
      </c>
      <c r="O78" s="31">
        <f>M78*N78</f>
        <v/>
      </c>
      <c r="P78" s="32">
        <f>480.6*N78</f>
        <v/>
      </c>
    </row>
    <row r="79">
      <c r="A79" t="inlineStr">
        <is>
          <t>U1-06</t>
        </is>
      </c>
      <c r="B79" t="n">
        <v>1</v>
      </c>
      <c r="C79" t="n">
        <v>14</v>
      </c>
      <c r="D79" t="inlineStr">
        <is>
          <t>BAF20</t>
        </is>
      </c>
      <c r="E79" t="inlineStr">
        <is>
          <t>BO</t>
        </is>
      </c>
      <c r="F79" t="n">
        <v>11.3</v>
      </c>
      <c r="G79" t="n">
        <v>40</v>
      </c>
      <c r="H79" t="n">
        <v>11</v>
      </c>
      <c r="I79" t="inlineStr">
        <is>
          <t>L</t>
        </is>
      </c>
      <c r="J79" t="inlineStr">
        <is>
          <t>S</t>
        </is>
      </c>
      <c r="K79" t="inlineStr">
        <is>
          <t>Y</t>
        </is>
      </c>
      <c r="L79" t="inlineStr"/>
      <c r="M79" s="30">
        <f>0.005454*F79^2</f>
        <v/>
      </c>
      <c r="N79" s="31">
        <f>IF(D79="BAF20",20/M79,100)</f>
        <v/>
      </c>
      <c r="O79" s="31">
        <f>M79*N79</f>
        <v/>
      </c>
      <c r="P79" s="32">
        <f>33.2*N79</f>
        <v/>
      </c>
    </row>
    <row r="80">
      <c r="A80" t="inlineStr">
        <is>
          <t>U1-06</t>
        </is>
      </c>
      <c r="B80" t="n">
        <v>1</v>
      </c>
      <c r="C80" t="n">
        <v>15</v>
      </c>
      <c r="D80" t="inlineStr">
        <is>
          <t>BAF20</t>
        </is>
      </c>
      <c r="E80" t="inlineStr">
        <is>
          <t>PP</t>
        </is>
      </c>
      <c r="F80" t="n">
        <v>18.5</v>
      </c>
      <c r="G80" t="n">
        <v>80</v>
      </c>
      <c r="H80" t="n">
        <v>14</v>
      </c>
      <c r="I80" t="inlineStr">
        <is>
          <t>L</t>
        </is>
      </c>
      <c r="J80" t="inlineStr">
        <is>
          <t>I</t>
        </is>
      </c>
      <c r="K80" t="inlineStr"/>
      <c r="L80" t="inlineStr"/>
      <c r="M80" s="30">
        <f>0.005454*F80^2</f>
        <v/>
      </c>
      <c r="N80" s="31">
        <f>IF(D80="BAF20",20/M80,100)</f>
        <v/>
      </c>
      <c r="O80" s="31">
        <f>M80*N80</f>
        <v/>
      </c>
      <c r="P80" s="32">
        <f>221.6*N80</f>
        <v/>
      </c>
    </row>
    <row r="81">
      <c r="A81" t="inlineStr">
        <is>
          <t>U1-06</t>
        </is>
      </c>
      <c r="B81" t="n">
        <v>1</v>
      </c>
      <c r="C81" t="n">
        <v>16</v>
      </c>
      <c r="D81" t="inlineStr">
        <is>
          <t>FIX100</t>
        </is>
      </c>
      <c r="E81" t="inlineStr">
        <is>
          <t>PP</t>
        </is>
      </c>
      <c r="F81" t="n">
        <v>3.4</v>
      </c>
      <c r="G81" t="n">
        <v>24</v>
      </c>
      <c r="H81" t="n">
        <v>0</v>
      </c>
      <c r="I81" t="inlineStr">
        <is>
          <t>L</t>
        </is>
      </c>
      <c r="J81" t="inlineStr">
        <is>
          <t>S</t>
        </is>
      </c>
      <c r="K81" t="inlineStr"/>
      <c r="L81" t="inlineStr"/>
      <c r="M81" s="30">
        <f>0.005454*F81^2</f>
        <v/>
      </c>
      <c r="N81" s="31">
        <f>IF(D81="BAF20",20/M81,100)</f>
        <v/>
      </c>
      <c r="O81" s="31">
        <f>M81*N81</f>
        <v/>
      </c>
      <c r="P81" s="32">
        <f>0.0*N81</f>
        <v/>
      </c>
    </row>
    <row r="82">
      <c r="A82" t="inlineStr">
        <is>
          <t>U1-07</t>
        </is>
      </c>
      <c r="B82" t="n">
        <v>1</v>
      </c>
      <c r="C82" t="n">
        <v>1</v>
      </c>
      <c r="D82" t="inlineStr">
        <is>
          <t>BAF20</t>
        </is>
      </c>
      <c r="E82" t="inlineStr">
        <is>
          <t>PP</t>
        </is>
      </c>
      <c r="F82" t="n">
        <v>24.7</v>
      </c>
      <c r="G82" t="n">
        <v>105</v>
      </c>
      <c r="H82" t="n">
        <v>6</v>
      </c>
      <c r="I82" t="inlineStr">
        <is>
          <t>L</t>
        </is>
      </c>
      <c r="J82" t="inlineStr">
        <is>
          <t>C</t>
        </is>
      </c>
      <c r="K82" t="inlineStr"/>
      <c r="L82" t="inlineStr"/>
      <c r="M82" s="30">
        <f>0.005454*F82^2</f>
        <v/>
      </c>
      <c r="N82" s="31">
        <f>IF(D82="BAF20",20/M82,100)</f>
        <v/>
      </c>
      <c r="O82" s="31">
        <f>M82*N82</f>
        <v/>
      </c>
      <c r="P82" s="32">
        <f>636.0*N82</f>
        <v/>
      </c>
    </row>
    <row r="83">
      <c r="A83" t="inlineStr">
        <is>
          <t>U1-07</t>
        </is>
      </c>
      <c r="B83" t="n">
        <v>1</v>
      </c>
      <c r="C83" t="n">
        <v>2</v>
      </c>
      <c r="D83" t="inlineStr">
        <is>
          <t>BAF20</t>
        </is>
      </c>
      <c r="E83" t="inlineStr">
        <is>
          <t>BO</t>
        </is>
      </c>
      <c r="F83" t="n">
        <v>23.5</v>
      </c>
      <c r="G83" t="n">
        <v>65</v>
      </c>
      <c r="H83" t="n">
        <v>12</v>
      </c>
      <c r="I83" t="inlineStr">
        <is>
          <t>L</t>
        </is>
      </c>
      <c r="J83" t="inlineStr">
        <is>
          <t>C</t>
        </is>
      </c>
      <c r="K83" t="inlineStr"/>
      <c r="L83" t="inlineStr"/>
      <c r="M83" s="30">
        <f>0.005454*F83^2</f>
        <v/>
      </c>
      <c r="N83" s="31">
        <f>IF(D83="BAF20",20/M83,100)</f>
        <v/>
      </c>
      <c r="O83" s="31">
        <f>M83*N83</f>
        <v/>
      </c>
      <c r="P83" s="32">
        <f>295.5*N83</f>
        <v/>
      </c>
    </row>
    <row r="84">
      <c r="A84" t="inlineStr">
        <is>
          <t>U1-07</t>
        </is>
      </c>
      <c r="B84" t="n">
        <v>1</v>
      </c>
      <c r="C84" t="n">
        <v>3</v>
      </c>
      <c r="D84" t="inlineStr">
        <is>
          <t>BAF20</t>
        </is>
      </c>
      <c r="E84" t="inlineStr">
        <is>
          <t>WF</t>
        </is>
      </c>
      <c r="F84" t="n">
        <v>31.7</v>
      </c>
      <c r="G84" t="n">
        <v>107</v>
      </c>
      <c r="H84" t="n">
        <v>1</v>
      </c>
      <c r="I84" t="inlineStr">
        <is>
          <t>L</t>
        </is>
      </c>
      <c r="J84" t="inlineStr">
        <is>
          <t>D</t>
        </is>
      </c>
      <c r="K84" t="inlineStr"/>
      <c r="L84" t="inlineStr"/>
      <c r="M84" s="30">
        <f>0.005454*F84^2</f>
        <v/>
      </c>
      <c r="N84" s="31">
        <f>IF(D84="BAF20",20/M84,100)</f>
        <v/>
      </c>
      <c r="O84" s="31">
        <f>M84*N84</f>
        <v/>
      </c>
      <c r="P84" s="32">
        <f>1262.5*N84</f>
        <v/>
      </c>
    </row>
    <row r="85">
      <c r="A85" t="inlineStr">
        <is>
          <t>U1-07</t>
        </is>
      </c>
      <c r="B85" t="n">
        <v>1</v>
      </c>
      <c r="C85" t="n">
        <v>4</v>
      </c>
      <c r="D85" t="inlineStr">
        <is>
          <t>BAF20</t>
        </is>
      </c>
      <c r="E85" t="inlineStr">
        <is>
          <t>PP</t>
        </is>
      </c>
      <c r="F85" t="n">
        <v>25.4</v>
      </c>
      <c r="G85" t="n">
        <v>104</v>
      </c>
      <c r="H85" t="n">
        <v>0</v>
      </c>
      <c r="I85" t="inlineStr">
        <is>
          <t>L</t>
        </is>
      </c>
      <c r="J85" t="inlineStr">
        <is>
          <t>D</t>
        </is>
      </c>
      <c r="K85" t="inlineStr"/>
      <c r="L85" t="inlineStr"/>
      <c r="M85" s="30">
        <f>0.005454*F85^2</f>
        <v/>
      </c>
      <c r="N85" s="31">
        <f>IF(D85="BAF20",20/M85,100)</f>
        <v/>
      </c>
      <c r="O85" s="31">
        <f>M85*N85</f>
        <v/>
      </c>
      <c r="P85" s="32">
        <f>717.4*N85</f>
        <v/>
      </c>
    </row>
    <row r="86">
      <c r="A86" t="inlineStr">
        <is>
          <t>U1-07</t>
        </is>
      </c>
      <c r="B86" t="n">
        <v>1</v>
      </c>
      <c r="C86" t="n">
        <v>5</v>
      </c>
      <c r="D86" t="inlineStr">
        <is>
          <t>BAF20</t>
        </is>
      </c>
      <c r="E86" t="inlineStr">
        <is>
          <t>DF</t>
        </is>
      </c>
      <c r="F86" t="n">
        <v>5</v>
      </c>
      <c r="G86" t="n">
        <v>31</v>
      </c>
      <c r="H86" t="n">
        <v>4</v>
      </c>
      <c r="I86" t="inlineStr">
        <is>
          <t>L</t>
        </is>
      </c>
      <c r="J86" t="inlineStr">
        <is>
          <t>S</t>
        </is>
      </c>
      <c r="K86" t="inlineStr">
        <is>
          <t>Y</t>
        </is>
      </c>
      <c r="L86" t="inlineStr"/>
      <c r="M86" s="30">
        <f>0.005454*F86^2</f>
        <v/>
      </c>
      <c r="N86" s="31">
        <f>IF(D86="BAF20",20/M86,100)</f>
        <v/>
      </c>
      <c r="O86" s="31">
        <f>M86*N86</f>
        <v/>
      </c>
      <c r="P86" s="32">
        <f>0.0*N86</f>
        <v/>
      </c>
    </row>
    <row r="87">
      <c r="A87" t="inlineStr">
        <is>
          <t>U1-07</t>
        </is>
      </c>
      <c r="B87" t="n">
        <v>1</v>
      </c>
      <c r="C87" t="n">
        <v>6</v>
      </c>
      <c r="D87" t="inlineStr">
        <is>
          <t>BAF20</t>
        </is>
      </c>
      <c r="E87" t="inlineStr">
        <is>
          <t>IC</t>
        </is>
      </c>
      <c r="F87" t="n">
        <v>18</v>
      </c>
      <c r="G87" t="n">
        <v>69</v>
      </c>
      <c r="H87" t="n">
        <v>2</v>
      </c>
      <c r="I87" t="inlineStr">
        <is>
          <t>L</t>
        </is>
      </c>
      <c r="J87" t="inlineStr">
        <is>
          <t>I</t>
        </is>
      </c>
      <c r="K87" t="inlineStr"/>
      <c r="L87" t="inlineStr"/>
      <c r="M87" s="30">
        <f>0.005454*F87^2</f>
        <v/>
      </c>
      <c r="N87" s="31">
        <f>IF(D87="BAF20",20/M87,100)</f>
        <v/>
      </c>
      <c r="O87" s="31">
        <f>M87*N87</f>
        <v/>
      </c>
      <c r="P87" s="32">
        <f>204.2*N87</f>
        <v/>
      </c>
    </row>
    <row r="88">
      <c r="A88" t="inlineStr">
        <is>
          <t>U1-07</t>
        </is>
      </c>
      <c r="B88" t="n">
        <v>1</v>
      </c>
      <c r="C88" t="n">
        <v>7</v>
      </c>
      <c r="D88" t="inlineStr">
        <is>
          <t>BAF20</t>
        </is>
      </c>
      <c r="E88" t="inlineStr">
        <is>
          <t>PP</t>
        </is>
      </c>
      <c r="F88" t="n">
        <v>23.4</v>
      </c>
      <c r="G88" t="n">
        <v>94</v>
      </c>
      <c r="H88" t="n">
        <v>7</v>
      </c>
      <c r="I88" t="inlineStr">
        <is>
          <t>L</t>
        </is>
      </c>
      <c r="J88" t="inlineStr">
        <is>
          <t>C</t>
        </is>
      </c>
      <c r="K88" t="inlineStr"/>
      <c r="L88" t="inlineStr"/>
      <c r="M88" s="30">
        <f>0.005454*F88^2</f>
        <v/>
      </c>
      <c r="N88" s="31">
        <f>IF(D88="BAF20",20/M88,100)</f>
        <v/>
      </c>
      <c r="O88" s="31">
        <f>M88*N88</f>
        <v/>
      </c>
      <c r="P88" s="32">
        <f>494.0*N88</f>
        <v/>
      </c>
    </row>
    <row r="89">
      <c r="A89" t="inlineStr">
        <is>
          <t>U1-07</t>
        </is>
      </c>
      <c r="B89" t="n">
        <v>1</v>
      </c>
      <c r="C89" t="n">
        <v>8</v>
      </c>
      <c r="D89" t="inlineStr">
        <is>
          <t>BAF20</t>
        </is>
      </c>
      <c r="E89" t="inlineStr">
        <is>
          <t>BO</t>
        </is>
      </c>
      <c r="F89" t="n">
        <v>5</v>
      </c>
      <c r="G89" t="n">
        <v>24</v>
      </c>
      <c r="H89" t="n">
        <v>11</v>
      </c>
      <c r="I89" t="inlineStr">
        <is>
          <t>L</t>
        </is>
      </c>
      <c r="J89" t="inlineStr">
        <is>
          <t>S</t>
        </is>
      </c>
      <c r="K89" t="inlineStr">
        <is>
          <t>Y</t>
        </is>
      </c>
      <c r="L89" t="inlineStr"/>
      <c r="M89" s="30">
        <f>0.005454*F89^2</f>
        <v/>
      </c>
      <c r="N89" s="31">
        <f>IF(D89="BAF20",20/M89,100)</f>
        <v/>
      </c>
      <c r="O89" s="31">
        <f>M89*N89</f>
        <v/>
      </c>
      <c r="P89" s="32">
        <f>0.0*N89</f>
        <v/>
      </c>
    </row>
    <row r="90">
      <c r="A90" t="inlineStr">
        <is>
          <t>U1-07</t>
        </is>
      </c>
      <c r="B90" t="n">
        <v>1</v>
      </c>
      <c r="C90" t="n">
        <v>9</v>
      </c>
      <c r="D90" t="inlineStr">
        <is>
          <t>BAF20</t>
        </is>
      </c>
      <c r="E90" t="inlineStr">
        <is>
          <t>PP</t>
        </is>
      </c>
      <c r="F90" t="n">
        <v>11.5</v>
      </c>
      <c r="G90" t="n">
        <v>59</v>
      </c>
      <c r="H90" t="n">
        <v>9</v>
      </c>
      <c r="I90" t="inlineStr">
        <is>
          <t>L</t>
        </is>
      </c>
      <c r="J90" t="inlineStr">
        <is>
          <t>S</t>
        </is>
      </c>
      <c r="K90" t="inlineStr">
        <is>
          <t>Y</t>
        </is>
      </c>
      <c r="L90" t="inlineStr"/>
      <c r="M90" s="30">
        <f>0.005454*F90^2</f>
        <v/>
      </c>
      <c r="N90" s="31">
        <f>IF(D90="BAF20",20/M90,100)</f>
        <v/>
      </c>
      <c r="O90" s="31">
        <f>M90*N90</f>
        <v/>
      </c>
      <c r="P90" s="32">
        <f>57.6*N90</f>
        <v/>
      </c>
    </row>
    <row r="91">
      <c r="A91" t="inlineStr">
        <is>
          <t>U1-07</t>
        </is>
      </c>
      <c r="B91" t="n">
        <v>1</v>
      </c>
      <c r="C91" t="n">
        <v>10</v>
      </c>
      <c r="D91" t="inlineStr">
        <is>
          <t>BAF20</t>
        </is>
      </c>
      <c r="E91" t="inlineStr">
        <is>
          <t>PP</t>
        </is>
      </c>
      <c r="F91" t="n">
        <v>23.1</v>
      </c>
      <c r="G91" t="n">
        <v>93</v>
      </c>
      <c r="H91" t="n">
        <v>2</v>
      </c>
      <c r="I91" t="inlineStr">
        <is>
          <t>L</t>
        </is>
      </c>
      <c r="J91" t="inlineStr">
        <is>
          <t>C</t>
        </is>
      </c>
      <c r="K91" t="inlineStr"/>
      <c r="L91" t="inlineStr"/>
      <c r="M91" s="30">
        <f>0.005454*F91^2</f>
        <v/>
      </c>
      <c r="N91" s="31">
        <f>IF(D91="BAF20",20/M91,100)</f>
        <v/>
      </c>
      <c r="O91" s="31">
        <f>M91*N91</f>
        <v/>
      </c>
      <c r="P91" s="32">
        <f>499.2*N91</f>
        <v/>
      </c>
    </row>
    <row r="92">
      <c r="A92" t="inlineStr">
        <is>
          <t>U1-07</t>
        </is>
      </c>
      <c r="B92" t="n">
        <v>1</v>
      </c>
      <c r="C92" t="n">
        <v>11</v>
      </c>
      <c r="D92" t="inlineStr">
        <is>
          <t>BAF20</t>
        </is>
      </c>
      <c r="E92" t="inlineStr">
        <is>
          <t>WF</t>
        </is>
      </c>
      <c r="F92" t="n">
        <v>13.7</v>
      </c>
      <c r="G92" t="n">
        <v>58</v>
      </c>
      <c r="H92" t="n">
        <v>10</v>
      </c>
      <c r="I92" t="inlineStr">
        <is>
          <t>L</t>
        </is>
      </c>
      <c r="J92" t="inlineStr">
        <is>
          <t>I</t>
        </is>
      </c>
      <c r="K92" t="inlineStr">
        <is>
          <t>Y</t>
        </is>
      </c>
      <c r="L92" t="inlineStr"/>
      <c r="M92" s="30">
        <f>0.005454*F92^2</f>
        <v/>
      </c>
      <c r="N92" s="31">
        <f>IF(D92="BAF20",20/M92,100)</f>
        <v/>
      </c>
      <c r="O92" s="31">
        <f>M92*N92</f>
        <v/>
      </c>
      <c r="P92" s="32">
        <f>83.5*N92</f>
        <v/>
      </c>
    </row>
    <row r="93">
      <c r="A93" t="inlineStr">
        <is>
          <t>U1-07</t>
        </is>
      </c>
      <c r="B93" t="n">
        <v>1</v>
      </c>
      <c r="C93" t="n">
        <v>12</v>
      </c>
      <c r="D93" t="inlineStr">
        <is>
          <t>BAF20</t>
        </is>
      </c>
      <c r="E93" t="inlineStr">
        <is>
          <t>PP</t>
        </is>
      </c>
      <c r="F93" t="n">
        <v>12.5</v>
      </c>
      <c r="G93" t="n">
        <v>52</v>
      </c>
      <c r="H93" t="n">
        <v>1</v>
      </c>
      <c r="I93" t="inlineStr">
        <is>
          <t>L</t>
        </is>
      </c>
      <c r="J93" t="inlineStr">
        <is>
          <t>S</t>
        </is>
      </c>
      <c r="K93" t="inlineStr">
        <is>
          <t>Y</t>
        </is>
      </c>
      <c r="L93" t="inlineStr"/>
      <c r="M93" s="30">
        <f>0.005454*F93^2</f>
        <v/>
      </c>
      <c r="N93" s="31">
        <f>IF(D93="BAF20",20/M93,100)</f>
        <v/>
      </c>
      <c r="O93" s="31">
        <f>M93*N93</f>
        <v/>
      </c>
      <c r="P93" s="32">
        <f>66.7*N93</f>
        <v/>
      </c>
    </row>
    <row r="94">
      <c r="A94" t="inlineStr">
        <is>
          <t>U1-07</t>
        </is>
      </c>
      <c r="B94" t="n">
        <v>1</v>
      </c>
      <c r="C94" t="n">
        <v>13</v>
      </c>
      <c r="D94" t="inlineStr">
        <is>
          <t>BAF20</t>
        </is>
      </c>
      <c r="E94" t="inlineStr">
        <is>
          <t>PP</t>
        </is>
      </c>
      <c r="F94" t="n">
        <v>6.8</v>
      </c>
      <c r="G94" t="n">
        <v>37</v>
      </c>
      <c r="H94" t="n">
        <v>5</v>
      </c>
      <c r="I94" t="inlineStr">
        <is>
          <t>L</t>
        </is>
      </c>
      <c r="J94" t="inlineStr">
        <is>
          <t>S</t>
        </is>
      </c>
      <c r="K94" t="inlineStr">
        <is>
          <t>Y</t>
        </is>
      </c>
      <c r="L94" t="inlineStr"/>
      <c r="M94" s="30">
        <f>0.005454*F94^2</f>
        <v/>
      </c>
      <c r="N94" s="31">
        <f>IF(D94="BAF20",20/M94,100)</f>
        <v/>
      </c>
      <c r="O94" s="31">
        <f>M94*N94</f>
        <v/>
      </c>
      <c r="P94" s="32">
        <f>0.0*N94</f>
        <v/>
      </c>
    </row>
    <row r="95">
      <c r="A95" t="inlineStr">
        <is>
          <t>U1-07</t>
        </is>
      </c>
      <c r="B95" t="n">
        <v>1</v>
      </c>
      <c r="C95" t="n">
        <v>14</v>
      </c>
      <c r="D95" t="inlineStr">
        <is>
          <t>BAF20</t>
        </is>
      </c>
      <c r="E95" t="inlineStr">
        <is>
          <t>PP</t>
        </is>
      </c>
      <c r="F95" t="n">
        <v>11.3</v>
      </c>
      <c r="G95" t="n">
        <v>60</v>
      </c>
      <c r="H95" t="n">
        <v>4</v>
      </c>
      <c r="I95" t="inlineStr">
        <is>
          <t>L</t>
        </is>
      </c>
      <c r="J95" t="inlineStr">
        <is>
          <t>S</t>
        </is>
      </c>
      <c r="K95" t="inlineStr">
        <is>
          <t>Y</t>
        </is>
      </c>
      <c r="L95" t="inlineStr"/>
      <c r="M95" s="30">
        <f>0.005454*F95^2</f>
        <v/>
      </c>
      <c r="N95" s="31">
        <f>IF(D95="BAF20",20/M95,100)</f>
        <v/>
      </c>
      <c r="O95" s="31">
        <f>M95*N95</f>
        <v/>
      </c>
      <c r="P95" s="32">
        <f>59.4*N95</f>
        <v/>
      </c>
    </row>
    <row r="96">
      <c r="A96" t="inlineStr">
        <is>
          <t>U1-07</t>
        </is>
      </c>
      <c r="B96" t="n">
        <v>1</v>
      </c>
      <c r="C96" t="n">
        <v>15</v>
      </c>
      <c r="D96" t="inlineStr">
        <is>
          <t>FIX100</t>
        </is>
      </c>
      <c r="E96" t="inlineStr">
        <is>
          <t>DF</t>
        </is>
      </c>
      <c r="F96" t="n">
        <v>2.6</v>
      </c>
      <c r="G96" t="n">
        <v>18</v>
      </c>
      <c r="H96" t="n">
        <v>0</v>
      </c>
      <c r="I96" t="inlineStr">
        <is>
          <t>L</t>
        </is>
      </c>
      <c r="J96" t="inlineStr">
        <is>
          <t>S</t>
        </is>
      </c>
      <c r="K96" t="inlineStr"/>
      <c r="L96" t="inlineStr"/>
      <c r="M96" s="30">
        <f>0.005454*F96^2</f>
        <v/>
      </c>
      <c r="N96" s="31">
        <f>IF(D96="BAF20",20/M96,100)</f>
        <v/>
      </c>
      <c r="O96" s="31">
        <f>M96*N96</f>
        <v/>
      </c>
      <c r="P96" s="32">
        <f>0.0*N96</f>
        <v/>
      </c>
    </row>
    <row r="97">
      <c r="A97" t="inlineStr">
        <is>
          <t>U1-07</t>
        </is>
      </c>
      <c r="B97" t="n">
        <v>1</v>
      </c>
      <c r="C97" t="n">
        <v>16</v>
      </c>
      <c r="D97" t="inlineStr">
        <is>
          <t>FIX100</t>
        </is>
      </c>
      <c r="E97" t="inlineStr">
        <is>
          <t>PP</t>
        </is>
      </c>
      <c r="F97" t="n">
        <v>3.4</v>
      </c>
      <c r="G97" t="n">
        <v>19</v>
      </c>
      <c r="H97" t="n">
        <v>0</v>
      </c>
      <c r="I97" t="inlineStr">
        <is>
          <t>L</t>
        </is>
      </c>
      <c r="J97" t="inlineStr">
        <is>
          <t>S</t>
        </is>
      </c>
      <c r="K97" t="inlineStr"/>
      <c r="L97" t="inlineStr"/>
      <c r="M97" s="30">
        <f>0.005454*F97^2</f>
        <v/>
      </c>
      <c r="N97" s="31">
        <f>IF(D97="BAF20",20/M97,100)</f>
        <v/>
      </c>
      <c r="O97" s="31">
        <f>M97*N97</f>
        <v/>
      </c>
      <c r="P97" s="32">
        <f>0.0*N97</f>
        <v/>
      </c>
    </row>
    <row r="98">
      <c r="A98" t="inlineStr">
        <is>
          <t>U1-08</t>
        </is>
      </c>
      <c r="B98" t="n">
        <v>1</v>
      </c>
      <c r="C98" t="n">
        <v>1</v>
      </c>
      <c r="D98" t="inlineStr">
        <is>
          <t>BAF20</t>
        </is>
      </c>
      <c r="E98" t="inlineStr">
        <is>
          <t>WF</t>
        </is>
      </c>
      <c r="F98" t="n">
        <v>21.6</v>
      </c>
      <c r="G98" t="n">
        <v>92</v>
      </c>
      <c r="H98" t="n">
        <v>8</v>
      </c>
      <c r="I98" t="inlineStr">
        <is>
          <t>L</t>
        </is>
      </c>
      <c r="J98" t="inlineStr">
        <is>
          <t>C</t>
        </is>
      </c>
      <c r="K98" t="inlineStr"/>
      <c r="L98" t="inlineStr"/>
      <c r="M98" s="30">
        <f>0.005454*F98^2</f>
        <v/>
      </c>
      <c r="N98" s="31">
        <f>IF(D98="BAF20",20/M98,100)</f>
        <v/>
      </c>
      <c r="O98" s="31">
        <f>M98*N98</f>
        <v/>
      </c>
      <c r="P98" s="32">
        <f>394.4*N98</f>
        <v/>
      </c>
    </row>
    <row r="99">
      <c r="A99" t="inlineStr">
        <is>
          <t>U1-08</t>
        </is>
      </c>
      <c r="B99" t="n">
        <v>1</v>
      </c>
      <c r="C99" t="n">
        <v>2</v>
      </c>
      <c r="D99" t="inlineStr">
        <is>
          <t>BAF20</t>
        </is>
      </c>
      <c r="E99" t="inlineStr">
        <is>
          <t>PP</t>
        </is>
      </c>
      <c r="F99" t="n">
        <v>19.5</v>
      </c>
      <c r="G99" t="n">
        <v>89</v>
      </c>
      <c r="H99" t="n">
        <v>3</v>
      </c>
      <c r="I99" t="inlineStr">
        <is>
          <t>L</t>
        </is>
      </c>
      <c r="J99" t="inlineStr">
        <is>
          <t>C</t>
        </is>
      </c>
      <c r="K99" t="inlineStr"/>
      <c r="L99" t="inlineStr"/>
      <c r="M99" s="30">
        <f>0.005454*F99^2</f>
        <v/>
      </c>
      <c r="N99" s="31">
        <f>IF(D99="BAF20",20/M99,100)</f>
        <v/>
      </c>
      <c r="O99" s="31">
        <f>M99*N99</f>
        <v/>
      </c>
      <c r="P99" s="32">
        <f>315.0*N99</f>
        <v/>
      </c>
    </row>
    <row r="100">
      <c r="A100" t="inlineStr">
        <is>
          <t>U1-08</t>
        </is>
      </c>
      <c r="B100" t="n">
        <v>1</v>
      </c>
      <c r="C100" t="n">
        <v>3</v>
      </c>
      <c r="D100" t="inlineStr">
        <is>
          <t>BAF20</t>
        </is>
      </c>
      <c r="E100" t="inlineStr">
        <is>
          <t>SP</t>
        </is>
      </c>
      <c r="F100" t="n">
        <v>19.4</v>
      </c>
      <c r="G100" t="n">
        <v>89</v>
      </c>
      <c r="H100" t="n">
        <v>3</v>
      </c>
      <c r="I100" t="inlineStr">
        <is>
          <t>L</t>
        </is>
      </c>
      <c r="J100" t="inlineStr">
        <is>
          <t>C</t>
        </is>
      </c>
      <c r="K100" t="inlineStr"/>
      <c r="L100" t="inlineStr"/>
      <c r="M100" s="30">
        <f>0.005454*F100^2</f>
        <v/>
      </c>
      <c r="N100" s="31">
        <f>IF(D100="BAF20",20/M100,100)</f>
        <v/>
      </c>
      <c r="O100" s="31">
        <f>M100*N100</f>
        <v/>
      </c>
      <c r="P100" s="32">
        <f>311.2*N100</f>
        <v/>
      </c>
    </row>
    <row r="101">
      <c r="A101" t="inlineStr">
        <is>
          <t>U1-08</t>
        </is>
      </c>
      <c r="B101" t="n">
        <v>1</v>
      </c>
      <c r="C101" t="n">
        <v>4</v>
      </c>
      <c r="D101" t="inlineStr">
        <is>
          <t>BAF20</t>
        </is>
      </c>
      <c r="E101" t="inlineStr">
        <is>
          <t>BO</t>
        </is>
      </c>
      <c r="F101" t="n">
        <v>12.3</v>
      </c>
      <c r="G101" t="n">
        <v>48</v>
      </c>
      <c r="H101" t="n">
        <v>100</v>
      </c>
      <c r="I101" t="inlineStr">
        <is>
          <t>D</t>
        </is>
      </c>
      <c r="J101" t="inlineStr">
        <is>
          <t>S</t>
        </is>
      </c>
      <c r="K101" t="inlineStr"/>
      <c r="L101" t="inlineStr"/>
      <c r="M101" s="30">
        <f>0.005454*F101^2</f>
        <v/>
      </c>
      <c r="N101" s="31">
        <f>IF(D101="BAF20",20/M101,100)</f>
        <v/>
      </c>
      <c r="O101" s="31">
        <f>M101*N101</f>
        <v/>
      </c>
      <c r="P101" s="32">
        <f>0.0*N101</f>
        <v/>
      </c>
    </row>
    <row r="102">
      <c r="A102" t="inlineStr">
        <is>
          <t>U1-08</t>
        </is>
      </c>
      <c r="B102" t="n">
        <v>1</v>
      </c>
      <c r="C102" t="n">
        <v>5</v>
      </c>
      <c r="D102" t="inlineStr">
        <is>
          <t>BAF20</t>
        </is>
      </c>
      <c r="E102" t="inlineStr">
        <is>
          <t>PP</t>
        </is>
      </c>
      <c r="F102" t="n">
        <v>25.3</v>
      </c>
      <c r="G102" t="n">
        <v>104</v>
      </c>
      <c r="H102" t="n">
        <v>5</v>
      </c>
      <c r="I102" t="inlineStr">
        <is>
          <t>L</t>
        </is>
      </c>
      <c r="J102" t="inlineStr">
        <is>
          <t>D</t>
        </is>
      </c>
      <c r="K102" t="inlineStr"/>
      <c r="L102" t="inlineStr"/>
      <c r="M102" s="30">
        <f>0.005454*F102^2</f>
        <v/>
      </c>
      <c r="N102" s="31">
        <f>IF(D102="BAF20",20/M102,100)</f>
        <v/>
      </c>
      <c r="O102" s="31">
        <f>M102*N102</f>
        <v/>
      </c>
      <c r="P102" s="32">
        <f>675.0*N102</f>
        <v/>
      </c>
    </row>
    <row r="103">
      <c r="A103" t="inlineStr">
        <is>
          <t>U1-08</t>
        </is>
      </c>
      <c r="B103" t="n">
        <v>1</v>
      </c>
      <c r="C103" t="n">
        <v>6</v>
      </c>
      <c r="D103" t="inlineStr">
        <is>
          <t>BAF20</t>
        </is>
      </c>
      <c r="E103" t="inlineStr">
        <is>
          <t>DF</t>
        </is>
      </c>
      <c r="F103" t="n">
        <v>18.8</v>
      </c>
      <c r="G103" t="n">
        <v>74</v>
      </c>
      <c r="H103" t="n">
        <v>11</v>
      </c>
      <c r="I103" t="inlineStr">
        <is>
          <t>L</t>
        </is>
      </c>
      <c r="J103" t="inlineStr">
        <is>
          <t>I</t>
        </is>
      </c>
      <c r="K103" t="inlineStr"/>
      <c r="L103" t="inlineStr"/>
      <c r="M103" s="30">
        <f>0.005454*F103^2</f>
        <v/>
      </c>
      <c r="N103" s="31">
        <f>IF(D103="BAF20",20/M103,100)</f>
        <v/>
      </c>
      <c r="O103" s="31">
        <f>M103*N103</f>
        <v/>
      </c>
      <c r="P103" s="32">
        <f>220.4*N103</f>
        <v/>
      </c>
    </row>
    <row r="104">
      <c r="A104" t="inlineStr">
        <is>
          <t>U1-08</t>
        </is>
      </c>
      <c r="B104" t="n">
        <v>1</v>
      </c>
      <c r="C104" t="n">
        <v>7</v>
      </c>
      <c r="D104" t="inlineStr">
        <is>
          <t>BAF20</t>
        </is>
      </c>
      <c r="E104" t="inlineStr">
        <is>
          <t>WF</t>
        </is>
      </c>
      <c r="F104" t="n">
        <v>33</v>
      </c>
      <c r="G104" t="n">
        <v>113</v>
      </c>
      <c r="H104" t="n">
        <v>1</v>
      </c>
      <c r="I104" t="inlineStr">
        <is>
          <t>L</t>
        </is>
      </c>
      <c r="J104" t="inlineStr">
        <is>
          <t>D</t>
        </is>
      </c>
      <c r="K104" t="inlineStr"/>
      <c r="L104" t="inlineStr"/>
      <c r="M104" s="30">
        <f>0.005454*F104^2</f>
        <v/>
      </c>
      <c r="N104" s="31">
        <f>IF(D104="BAF20",20/M104,100)</f>
        <v/>
      </c>
      <c r="O104" s="31">
        <f>M104*N104</f>
        <v/>
      </c>
      <c r="P104" s="32">
        <f>1474.3*N104</f>
        <v/>
      </c>
    </row>
    <row r="105">
      <c r="A105" t="inlineStr">
        <is>
          <t>U1-08</t>
        </is>
      </c>
      <c r="B105" t="n">
        <v>1</v>
      </c>
      <c r="C105" t="n">
        <v>8</v>
      </c>
      <c r="D105" t="inlineStr">
        <is>
          <t>BAF20</t>
        </is>
      </c>
      <c r="E105" t="inlineStr">
        <is>
          <t>PP</t>
        </is>
      </c>
      <c r="F105" t="n">
        <v>19</v>
      </c>
      <c r="G105" t="n">
        <v>87</v>
      </c>
      <c r="H105" t="n">
        <v>5</v>
      </c>
      <c r="I105" t="inlineStr">
        <is>
          <t>L</t>
        </is>
      </c>
      <c r="J105" t="inlineStr">
        <is>
          <t>I</t>
        </is>
      </c>
      <c r="K105" t="inlineStr"/>
      <c r="L105" t="inlineStr"/>
      <c r="M105" s="30">
        <f>0.005454*F105^2</f>
        <v/>
      </c>
      <c r="N105" s="31">
        <f>IF(D105="BAF20",20/M105,100)</f>
        <v/>
      </c>
      <c r="O105" s="31">
        <f>M105*N105</f>
        <v/>
      </c>
      <c r="P105" s="32">
        <f>283.6*N105</f>
        <v/>
      </c>
    </row>
    <row r="106">
      <c r="A106" t="inlineStr">
        <is>
          <t>U1-08</t>
        </is>
      </c>
      <c r="B106" t="n">
        <v>1</v>
      </c>
      <c r="C106" t="n">
        <v>9</v>
      </c>
      <c r="D106" t="inlineStr">
        <is>
          <t>FIX100</t>
        </is>
      </c>
      <c r="E106" t="inlineStr">
        <is>
          <t>BO</t>
        </is>
      </c>
      <c r="F106" t="n">
        <v>1.3</v>
      </c>
      <c r="G106" t="n">
        <v>7</v>
      </c>
      <c r="H106" t="n">
        <v>0</v>
      </c>
      <c r="I106" t="inlineStr">
        <is>
          <t>L</t>
        </is>
      </c>
      <c r="J106" t="inlineStr">
        <is>
          <t>S</t>
        </is>
      </c>
      <c r="K106" t="inlineStr"/>
      <c r="L106" t="inlineStr"/>
      <c r="M106" s="30">
        <f>0.005454*F106^2</f>
        <v/>
      </c>
      <c r="N106" s="31">
        <f>IF(D106="BAF20",20/M106,100)</f>
        <v/>
      </c>
      <c r="O106" s="31">
        <f>M106*N106</f>
        <v/>
      </c>
      <c r="P106" s="32">
        <f>0.0*N106</f>
        <v/>
      </c>
    </row>
    <row r="107">
      <c r="A107" t="inlineStr">
        <is>
          <t>U1-08</t>
        </is>
      </c>
      <c r="B107" t="n">
        <v>1</v>
      </c>
      <c r="C107" t="n">
        <v>10</v>
      </c>
      <c r="D107" t="inlineStr">
        <is>
          <t>FIX100</t>
        </is>
      </c>
      <c r="E107" t="inlineStr">
        <is>
          <t>PP</t>
        </is>
      </c>
      <c r="F107" t="n">
        <v>3.3</v>
      </c>
      <c r="G107" t="n">
        <v>20</v>
      </c>
      <c r="H107" t="n">
        <v>0</v>
      </c>
      <c r="I107" t="inlineStr">
        <is>
          <t>L</t>
        </is>
      </c>
      <c r="J107" t="inlineStr">
        <is>
          <t>S</t>
        </is>
      </c>
      <c r="K107" t="inlineStr"/>
      <c r="L107" t="inlineStr"/>
      <c r="M107" s="30">
        <f>0.005454*F107^2</f>
        <v/>
      </c>
      <c r="N107" s="31">
        <f>IF(D107="BAF20",20/M107,100)</f>
        <v/>
      </c>
      <c r="O107" s="31">
        <f>M107*N107</f>
        <v/>
      </c>
      <c r="P107" s="32">
        <f>0.0*N107</f>
        <v/>
      </c>
    </row>
    <row r="108">
      <c r="A108" t="inlineStr">
        <is>
          <t>U1-09</t>
        </is>
      </c>
      <c r="B108" t="n">
        <v>1</v>
      </c>
      <c r="C108" t="n">
        <v>1</v>
      </c>
      <c r="D108" t="inlineStr">
        <is>
          <t>BAF20</t>
        </is>
      </c>
      <c r="E108" t="inlineStr">
        <is>
          <t>IC</t>
        </is>
      </c>
      <c r="F108" t="n">
        <v>21.1</v>
      </c>
      <c r="G108" t="n">
        <v>86</v>
      </c>
      <c r="H108" t="n">
        <v>9</v>
      </c>
      <c r="I108" t="inlineStr">
        <is>
          <t>L</t>
        </is>
      </c>
      <c r="J108" t="inlineStr">
        <is>
          <t>C</t>
        </is>
      </c>
      <c r="K108" t="inlineStr"/>
      <c r="L108" t="inlineStr"/>
      <c r="M108" s="30">
        <f>0.005454*F108^2</f>
        <v/>
      </c>
      <c r="N108" s="31">
        <f>IF(D108="BAF20",20/M108,100)</f>
        <v/>
      </c>
      <c r="O108" s="31">
        <f>M108*N108</f>
        <v/>
      </c>
      <c r="P108" s="32">
        <f>344.7*N108</f>
        <v/>
      </c>
    </row>
    <row r="109">
      <c r="A109" t="inlineStr">
        <is>
          <t>U1-09</t>
        </is>
      </c>
      <c r="B109" t="n">
        <v>1</v>
      </c>
      <c r="C109" t="n">
        <v>2</v>
      </c>
      <c r="D109" t="inlineStr">
        <is>
          <t>BAF20</t>
        </is>
      </c>
      <c r="E109" t="inlineStr">
        <is>
          <t>PP</t>
        </is>
      </c>
      <c r="F109" t="n">
        <v>14</v>
      </c>
      <c r="G109" t="n">
        <v>69</v>
      </c>
      <c r="H109" t="n">
        <v>6</v>
      </c>
      <c r="I109" t="inlineStr">
        <is>
          <t>L</t>
        </is>
      </c>
      <c r="J109" t="inlineStr">
        <is>
          <t>I</t>
        </is>
      </c>
      <c r="K109" t="inlineStr">
        <is>
          <t>Y</t>
        </is>
      </c>
      <c r="L109" t="inlineStr"/>
      <c r="M109" s="30">
        <f>0.005454*F109^2</f>
        <v/>
      </c>
      <c r="N109" s="31">
        <f>IF(D109="BAF20",20/M109,100)</f>
        <v/>
      </c>
      <c r="O109" s="31">
        <f>M109*N109</f>
        <v/>
      </c>
      <c r="P109" s="32">
        <f>109.0*N109</f>
        <v/>
      </c>
    </row>
    <row r="110">
      <c r="A110" t="inlineStr">
        <is>
          <t>U1-09</t>
        </is>
      </c>
      <c r="B110" t="n">
        <v>1</v>
      </c>
      <c r="C110" t="n">
        <v>3</v>
      </c>
      <c r="D110" t="inlineStr">
        <is>
          <t>BAF20</t>
        </is>
      </c>
      <c r="E110" t="inlineStr">
        <is>
          <t>BO</t>
        </is>
      </c>
      <c r="F110" t="n">
        <v>15.7</v>
      </c>
      <c r="G110" t="n">
        <v>53</v>
      </c>
      <c r="H110" t="n">
        <v>11</v>
      </c>
      <c r="I110" t="inlineStr">
        <is>
          <t>L</t>
        </is>
      </c>
      <c r="J110" t="inlineStr">
        <is>
          <t>I</t>
        </is>
      </c>
      <c r="K110" t="inlineStr"/>
      <c r="L110" t="inlineStr"/>
      <c r="M110" s="30">
        <f>0.005454*F110^2</f>
        <v/>
      </c>
      <c r="N110" s="31">
        <f>IF(D110="BAF20",20/M110,100)</f>
        <v/>
      </c>
      <c r="O110" s="31">
        <f>M110*N110</f>
        <v/>
      </c>
      <c r="P110" s="32">
        <f>93.5*N110</f>
        <v/>
      </c>
    </row>
    <row r="111">
      <c r="A111" t="inlineStr">
        <is>
          <t>U1-09</t>
        </is>
      </c>
      <c r="B111" t="n">
        <v>1</v>
      </c>
      <c r="C111" t="n">
        <v>4</v>
      </c>
      <c r="D111" t="inlineStr">
        <is>
          <t>FIX100</t>
        </is>
      </c>
      <c r="E111" t="inlineStr">
        <is>
          <t>WF</t>
        </is>
      </c>
      <c r="F111" t="n">
        <v>2.2</v>
      </c>
      <c r="G111" t="n">
        <v>14</v>
      </c>
      <c r="H111" t="n">
        <v>0</v>
      </c>
      <c r="I111" t="inlineStr">
        <is>
          <t>L</t>
        </is>
      </c>
      <c r="J111" t="inlineStr">
        <is>
          <t>S</t>
        </is>
      </c>
      <c r="K111" t="inlineStr"/>
      <c r="L111" t="inlineStr"/>
      <c r="M111" s="30">
        <f>0.005454*F111^2</f>
        <v/>
      </c>
      <c r="N111" s="31">
        <f>IF(D111="BAF20",20/M111,100)</f>
        <v/>
      </c>
      <c r="O111" s="31">
        <f>M111*N111</f>
        <v/>
      </c>
      <c r="P111" s="32">
        <f>0.0*N111</f>
        <v/>
      </c>
    </row>
    <row r="112">
      <c r="A112" t="inlineStr">
        <is>
          <t>U1-09</t>
        </is>
      </c>
      <c r="B112" t="n">
        <v>1</v>
      </c>
      <c r="C112" t="n">
        <v>5</v>
      </c>
      <c r="D112" t="inlineStr">
        <is>
          <t>FIX100</t>
        </is>
      </c>
      <c r="E112" t="inlineStr">
        <is>
          <t>PP</t>
        </is>
      </c>
      <c r="F112" t="n">
        <v>2.8</v>
      </c>
      <c r="G112" t="n">
        <v>19</v>
      </c>
      <c r="H112" t="n">
        <v>0</v>
      </c>
      <c r="I112" t="inlineStr">
        <is>
          <t>L</t>
        </is>
      </c>
      <c r="J112" t="inlineStr">
        <is>
          <t>S</t>
        </is>
      </c>
      <c r="K112" t="inlineStr"/>
      <c r="L112" t="inlineStr"/>
      <c r="M112" s="30">
        <f>0.005454*F112^2</f>
        <v/>
      </c>
      <c r="N112" s="31">
        <f>IF(D112="BAF20",20/M112,100)</f>
        <v/>
      </c>
      <c r="O112" s="31">
        <f>M112*N112</f>
        <v/>
      </c>
      <c r="P112" s="32">
        <f>0.0*N112</f>
        <v/>
      </c>
    </row>
    <row r="113">
      <c r="A113" t="inlineStr">
        <is>
          <t>U1-09</t>
        </is>
      </c>
      <c r="B113" t="n">
        <v>1</v>
      </c>
      <c r="C113" t="n">
        <v>6</v>
      </c>
      <c r="D113" t="inlineStr">
        <is>
          <t>FIX100</t>
        </is>
      </c>
      <c r="E113" t="inlineStr">
        <is>
          <t>WF</t>
        </is>
      </c>
      <c r="F113" t="n">
        <v>3</v>
      </c>
      <c r="G113" t="n">
        <v>19</v>
      </c>
      <c r="H113" t="n">
        <v>0</v>
      </c>
      <c r="I113" t="inlineStr">
        <is>
          <t>L</t>
        </is>
      </c>
      <c r="J113" t="inlineStr">
        <is>
          <t>S</t>
        </is>
      </c>
      <c r="K113" t="inlineStr"/>
      <c r="L113" t="inlineStr"/>
      <c r="M113" s="30">
        <f>0.005454*F113^2</f>
        <v/>
      </c>
      <c r="N113" s="31">
        <f>IF(D113="BAF20",20/M113,100)</f>
        <v/>
      </c>
      <c r="O113" s="31">
        <f>M113*N113</f>
        <v/>
      </c>
      <c r="P113" s="32">
        <f>0.0*N113</f>
        <v/>
      </c>
    </row>
    <row r="114">
      <c r="A114" t="inlineStr">
        <is>
          <t>U1-09</t>
        </is>
      </c>
      <c r="B114" t="n">
        <v>1</v>
      </c>
      <c r="C114" t="n">
        <v>7</v>
      </c>
      <c r="D114" t="inlineStr">
        <is>
          <t>FIX100</t>
        </is>
      </c>
      <c r="E114" t="inlineStr">
        <is>
          <t>WF</t>
        </is>
      </c>
      <c r="F114" t="n">
        <v>1.3</v>
      </c>
      <c r="G114" t="n">
        <v>12</v>
      </c>
      <c r="H114" t="n">
        <v>0</v>
      </c>
      <c r="I114" t="inlineStr">
        <is>
          <t>L</t>
        </is>
      </c>
      <c r="J114" t="inlineStr">
        <is>
          <t>S</t>
        </is>
      </c>
      <c r="K114" t="inlineStr"/>
      <c r="L114" t="inlineStr"/>
      <c r="M114" s="30">
        <f>0.005454*F114^2</f>
        <v/>
      </c>
      <c r="N114" s="31">
        <f>IF(D114="BAF20",20/M114,100)</f>
        <v/>
      </c>
      <c r="O114" s="31">
        <f>M114*N114</f>
        <v/>
      </c>
      <c r="P114" s="32">
        <f>0.0*N114</f>
        <v/>
      </c>
    </row>
    <row r="115">
      <c r="A115" t="inlineStr">
        <is>
          <t>U1-09</t>
        </is>
      </c>
      <c r="B115" t="n">
        <v>1</v>
      </c>
      <c r="C115" t="n">
        <v>8</v>
      </c>
      <c r="D115" t="inlineStr">
        <is>
          <t>FIX100</t>
        </is>
      </c>
      <c r="E115" t="inlineStr">
        <is>
          <t>DF</t>
        </is>
      </c>
      <c r="F115" t="n">
        <v>3.2</v>
      </c>
      <c r="G115" t="n">
        <v>22</v>
      </c>
      <c r="H115" t="n">
        <v>0</v>
      </c>
      <c r="I115" t="inlineStr">
        <is>
          <t>L</t>
        </is>
      </c>
      <c r="J115" t="inlineStr">
        <is>
          <t>S</t>
        </is>
      </c>
      <c r="K115" t="inlineStr"/>
      <c r="L115" t="inlineStr"/>
      <c r="M115" s="30">
        <f>0.005454*F115^2</f>
        <v/>
      </c>
      <c r="N115" s="31">
        <f>IF(D115="BAF20",20/M115,100)</f>
        <v/>
      </c>
      <c r="O115" s="31">
        <f>M115*N115</f>
        <v/>
      </c>
      <c r="P115" s="32">
        <f>0.0*N115</f>
        <v/>
      </c>
    </row>
    <row r="116">
      <c r="A116" t="inlineStr">
        <is>
          <t>U1-10</t>
        </is>
      </c>
      <c r="B116" t="n">
        <v>1</v>
      </c>
      <c r="C116" t="n">
        <v>1</v>
      </c>
      <c r="D116" t="inlineStr">
        <is>
          <t>BAF20</t>
        </is>
      </c>
      <c r="E116" t="inlineStr">
        <is>
          <t>DF</t>
        </is>
      </c>
      <c r="F116" t="n">
        <v>24.7</v>
      </c>
      <c r="G116" t="n">
        <v>103</v>
      </c>
      <c r="H116" t="n">
        <v>2</v>
      </c>
      <c r="I116" t="inlineStr">
        <is>
          <t>L</t>
        </is>
      </c>
      <c r="J116" t="inlineStr">
        <is>
          <t>C</t>
        </is>
      </c>
      <c r="K116" t="inlineStr"/>
      <c r="L116" t="inlineStr"/>
      <c r="M116" s="30">
        <f>0.005454*F116^2</f>
        <v/>
      </c>
      <c r="N116" s="31">
        <f>IF(D116="BAF20",20/M116,100)</f>
        <v/>
      </c>
      <c r="O116" s="31">
        <f>M116*N116</f>
        <v/>
      </c>
      <c r="P116" s="32">
        <f>650.4*N116</f>
        <v/>
      </c>
    </row>
    <row r="117">
      <c r="A117" t="inlineStr">
        <is>
          <t>U1-10</t>
        </is>
      </c>
      <c r="B117" t="n">
        <v>1</v>
      </c>
      <c r="C117" t="n">
        <v>2</v>
      </c>
      <c r="D117" t="inlineStr">
        <is>
          <t>BAF20</t>
        </is>
      </c>
      <c r="E117" t="inlineStr">
        <is>
          <t>WF</t>
        </is>
      </c>
      <c r="F117" t="n">
        <v>16.3</v>
      </c>
      <c r="G117" t="n">
        <v>75</v>
      </c>
      <c r="H117" t="n">
        <v>8</v>
      </c>
      <c r="I117" t="inlineStr">
        <is>
          <t>L</t>
        </is>
      </c>
      <c r="J117" t="inlineStr">
        <is>
          <t>I</t>
        </is>
      </c>
      <c r="K117" t="inlineStr"/>
      <c r="L117" t="inlineStr"/>
      <c r="M117" s="30">
        <f>0.005454*F117^2</f>
        <v/>
      </c>
      <c r="N117" s="31">
        <f>IF(D117="BAF20",20/M117,100)</f>
        <v/>
      </c>
      <c r="O117" s="31">
        <f>M117*N117</f>
        <v/>
      </c>
      <c r="P117" s="32">
        <f>165.0*N117</f>
        <v/>
      </c>
    </row>
    <row r="118">
      <c r="A118" t="inlineStr">
        <is>
          <t>U1-10</t>
        </is>
      </c>
      <c r="B118" t="n">
        <v>1</v>
      </c>
      <c r="C118" t="n">
        <v>3</v>
      </c>
      <c r="D118" t="inlineStr">
        <is>
          <t>BAF20</t>
        </is>
      </c>
      <c r="E118" t="inlineStr">
        <is>
          <t>PP</t>
        </is>
      </c>
      <c r="F118" t="n">
        <v>29.5</v>
      </c>
      <c r="G118" t="n">
        <v>98</v>
      </c>
      <c r="H118" t="n">
        <v>0</v>
      </c>
      <c r="I118" t="inlineStr">
        <is>
          <t>L</t>
        </is>
      </c>
      <c r="J118" t="inlineStr">
        <is>
          <t>D</t>
        </is>
      </c>
      <c r="K118" t="inlineStr"/>
      <c r="L118" t="inlineStr"/>
      <c r="M118" s="30">
        <f>0.005454*F118^2</f>
        <v/>
      </c>
      <c r="N118" s="31">
        <f>IF(D118="BAF20",20/M118,100)</f>
        <v/>
      </c>
      <c r="O118" s="31">
        <f>M118*N118</f>
        <v/>
      </c>
      <c r="P118" s="32">
        <f>976.7*N118</f>
        <v/>
      </c>
    </row>
    <row r="119">
      <c r="A119" t="inlineStr">
        <is>
          <t>U1-10</t>
        </is>
      </c>
      <c r="B119" t="n">
        <v>1</v>
      </c>
      <c r="C119" t="n">
        <v>4</v>
      </c>
      <c r="D119" t="inlineStr">
        <is>
          <t>BAF20</t>
        </is>
      </c>
      <c r="E119" t="inlineStr">
        <is>
          <t>WF</t>
        </is>
      </c>
      <c r="F119" t="n">
        <v>14.2</v>
      </c>
      <c r="G119" t="n">
        <v>63</v>
      </c>
      <c r="H119" t="n">
        <v>10</v>
      </c>
      <c r="I119" t="inlineStr">
        <is>
          <t>L</t>
        </is>
      </c>
      <c r="J119" t="inlineStr">
        <is>
          <t>I</t>
        </is>
      </c>
      <c r="K119" t="inlineStr">
        <is>
          <t>Y</t>
        </is>
      </c>
      <c r="L119" t="inlineStr"/>
      <c r="M119" s="30">
        <f>0.005454*F119^2</f>
        <v/>
      </c>
      <c r="N119" s="31">
        <f>IF(D119="BAF20",20/M119,100)</f>
        <v/>
      </c>
      <c r="O119" s="31">
        <f>M119*N119</f>
        <v/>
      </c>
      <c r="P119" s="32">
        <f>98.5*N119</f>
        <v/>
      </c>
    </row>
    <row r="120">
      <c r="A120" t="inlineStr">
        <is>
          <t>U1-10</t>
        </is>
      </c>
      <c r="B120" t="n">
        <v>1</v>
      </c>
      <c r="C120" t="n">
        <v>5</v>
      </c>
      <c r="D120" t="inlineStr">
        <is>
          <t>BAF20</t>
        </is>
      </c>
      <c r="E120" t="inlineStr">
        <is>
          <t>DF</t>
        </is>
      </c>
      <c r="F120" t="n">
        <v>12.9</v>
      </c>
      <c r="G120" t="n">
        <v>58</v>
      </c>
      <c r="H120" t="n">
        <v>2</v>
      </c>
      <c r="I120" t="inlineStr">
        <is>
          <t>L</t>
        </is>
      </c>
      <c r="J120" t="inlineStr">
        <is>
          <t>S</t>
        </is>
      </c>
      <c r="K120" t="inlineStr">
        <is>
          <t>Y</t>
        </is>
      </c>
      <c r="L120" t="inlineStr"/>
      <c r="M120" s="30">
        <f>0.005454*F120^2</f>
        <v/>
      </c>
      <c r="N120" s="31">
        <f>IF(D120="BAF20",20/M120,100)</f>
        <v/>
      </c>
      <c r="O120" s="31">
        <f>M120*N120</f>
        <v/>
      </c>
      <c r="P120" s="32">
        <f>79.2*N120</f>
        <v/>
      </c>
    </row>
    <row r="121">
      <c r="A121" t="inlineStr">
        <is>
          <t>U1-10</t>
        </is>
      </c>
      <c r="B121" t="n">
        <v>1</v>
      </c>
      <c r="C121" t="n">
        <v>6</v>
      </c>
      <c r="D121" t="inlineStr">
        <is>
          <t>BAF20</t>
        </is>
      </c>
      <c r="E121" t="inlineStr">
        <is>
          <t>PP</t>
        </is>
      </c>
      <c r="F121" t="n">
        <v>13.4</v>
      </c>
      <c r="G121" t="n">
        <v>68</v>
      </c>
      <c r="H121" t="n">
        <v>0</v>
      </c>
      <c r="I121" t="inlineStr">
        <is>
          <t>L</t>
        </is>
      </c>
      <c r="J121" t="inlineStr">
        <is>
          <t>I</t>
        </is>
      </c>
      <c r="K121" t="inlineStr">
        <is>
          <t>Y</t>
        </is>
      </c>
      <c r="L121" t="inlineStr"/>
      <c r="M121" s="30">
        <f>0.005454*F121^2</f>
        <v/>
      </c>
      <c r="N121" s="31">
        <f>IF(D121="BAF20",20/M121,100)</f>
        <v/>
      </c>
      <c r="O121" s="31">
        <f>M121*N121</f>
        <v/>
      </c>
      <c r="P121" s="32">
        <f>103.4*N121</f>
        <v/>
      </c>
    </row>
    <row r="122">
      <c r="A122" t="inlineStr">
        <is>
          <t>U1-10</t>
        </is>
      </c>
      <c r="B122" t="n">
        <v>1</v>
      </c>
      <c r="C122" t="n">
        <v>7</v>
      </c>
      <c r="D122" t="inlineStr">
        <is>
          <t>BAF20</t>
        </is>
      </c>
      <c r="E122" t="inlineStr">
        <is>
          <t>IC</t>
        </is>
      </c>
      <c r="F122" t="n">
        <v>25.4</v>
      </c>
      <c r="G122" t="n">
        <v>85</v>
      </c>
      <c r="H122" t="n">
        <v>10</v>
      </c>
      <c r="I122" t="inlineStr">
        <is>
          <t>L</t>
        </is>
      </c>
      <c r="J122" t="inlineStr">
        <is>
          <t>D</t>
        </is>
      </c>
      <c r="K122" t="inlineStr"/>
      <c r="L122" t="inlineStr"/>
      <c r="M122" s="30">
        <f>0.005454*F122^2</f>
        <v/>
      </c>
      <c r="N122" s="31">
        <f>IF(D122="BAF20",20/M122,100)</f>
        <v/>
      </c>
      <c r="O122" s="31">
        <f>M122*N122</f>
        <v/>
      </c>
      <c r="P122" s="32">
        <f>527.7*N122</f>
        <v/>
      </c>
    </row>
    <row r="123">
      <c r="A123" t="inlineStr">
        <is>
          <t>U1-10</t>
        </is>
      </c>
      <c r="B123" t="n">
        <v>1</v>
      </c>
      <c r="C123" t="n">
        <v>8</v>
      </c>
      <c r="D123" t="inlineStr">
        <is>
          <t>BAF20</t>
        </is>
      </c>
      <c r="E123" t="inlineStr">
        <is>
          <t>WF</t>
        </is>
      </c>
      <c r="F123" t="n">
        <v>20</v>
      </c>
      <c r="G123" t="n">
        <v>94</v>
      </c>
      <c r="H123" t="n">
        <v>16</v>
      </c>
      <c r="I123" t="inlineStr">
        <is>
          <t>L</t>
        </is>
      </c>
      <c r="J123" t="inlineStr">
        <is>
          <t>C</t>
        </is>
      </c>
      <c r="K123" t="inlineStr"/>
      <c r="L123" t="inlineStr"/>
      <c r="M123" s="30">
        <f>0.005454*F123^2</f>
        <v/>
      </c>
      <c r="N123" s="31">
        <f>IF(D123="BAF20",20/M123,100)</f>
        <v/>
      </c>
      <c r="O123" s="31">
        <f>M123*N123</f>
        <v/>
      </c>
      <c r="P123" s="32">
        <f>306.0*N123</f>
        <v/>
      </c>
    </row>
    <row r="124">
      <c r="A124" t="inlineStr">
        <is>
          <t>U1-10</t>
        </is>
      </c>
      <c r="B124" t="n">
        <v>1</v>
      </c>
      <c r="C124" t="n">
        <v>9</v>
      </c>
      <c r="D124" t="inlineStr">
        <is>
          <t>BAF20</t>
        </is>
      </c>
      <c r="E124" t="inlineStr">
        <is>
          <t>PP</t>
        </is>
      </c>
      <c r="F124" t="n">
        <v>12.5</v>
      </c>
      <c r="G124" t="n">
        <v>61</v>
      </c>
      <c r="H124" t="n">
        <v>3</v>
      </c>
      <c r="I124" t="inlineStr">
        <is>
          <t>L</t>
        </is>
      </c>
      <c r="J124" t="inlineStr">
        <is>
          <t>S</t>
        </is>
      </c>
      <c r="K124" t="inlineStr">
        <is>
          <t>Y</t>
        </is>
      </c>
      <c r="L124" t="inlineStr"/>
      <c r="M124" s="30">
        <f>0.005454*F124^2</f>
        <v/>
      </c>
      <c r="N124" s="31">
        <f>IF(D124="BAF20",20/M124,100)</f>
        <v/>
      </c>
      <c r="O124" s="31">
        <f>M124*N124</f>
        <v/>
      </c>
      <c r="P124" s="32">
        <f>76.7*N124</f>
        <v/>
      </c>
    </row>
    <row r="125">
      <c r="A125" t="inlineStr">
        <is>
          <t>U1-10</t>
        </is>
      </c>
      <c r="B125" t="n">
        <v>1</v>
      </c>
      <c r="C125" t="n">
        <v>10</v>
      </c>
      <c r="D125" t="inlineStr">
        <is>
          <t>FIX100</t>
        </is>
      </c>
      <c r="E125" t="inlineStr">
        <is>
          <t>IC</t>
        </is>
      </c>
      <c r="F125" t="n">
        <v>1.1</v>
      </c>
      <c r="G125" t="n">
        <v>7</v>
      </c>
      <c r="H125" t="n">
        <v>0</v>
      </c>
      <c r="I125" t="inlineStr">
        <is>
          <t>L</t>
        </is>
      </c>
      <c r="J125" t="inlineStr">
        <is>
          <t>S</t>
        </is>
      </c>
      <c r="K125" t="inlineStr"/>
      <c r="L125" t="inlineStr"/>
      <c r="M125" s="30">
        <f>0.005454*F125^2</f>
        <v/>
      </c>
      <c r="N125" s="31">
        <f>IF(D125="BAF20",20/M125,100)</f>
        <v/>
      </c>
      <c r="O125" s="31">
        <f>M125*N125</f>
        <v/>
      </c>
      <c r="P125" s="32">
        <f>0.0*N125</f>
        <v/>
      </c>
    </row>
    <row r="126">
      <c r="A126" t="inlineStr">
        <is>
          <t>U1-10</t>
        </is>
      </c>
      <c r="B126" t="n">
        <v>1</v>
      </c>
      <c r="C126" t="n">
        <v>11</v>
      </c>
      <c r="D126" t="inlineStr">
        <is>
          <t>FIX100</t>
        </is>
      </c>
      <c r="E126" t="inlineStr">
        <is>
          <t>IC</t>
        </is>
      </c>
      <c r="F126" t="n">
        <v>3.6</v>
      </c>
      <c r="G126" t="n">
        <v>16</v>
      </c>
      <c r="H126" t="n">
        <v>0</v>
      </c>
      <c r="I126" t="inlineStr">
        <is>
          <t>L</t>
        </is>
      </c>
      <c r="J126" t="inlineStr">
        <is>
          <t>S</t>
        </is>
      </c>
      <c r="K126" t="inlineStr"/>
      <c r="L126" t="inlineStr"/>
      <c r="M126" s="30">
        <f>0.005454*F126^2</f>
        <v/>
      </c>
      <c r="N126" s="31">
        <f>IF(D126="BAF20",20/M126,100)</f>
        <v/>
      </c>
      <c r="O126" s="31">
        <f>M126*N126</f>
        <v/>
      </c>
      <c r="P126" s="32">
        <f>0.0*N126</f>
        <v/>
      </c>
    </row>
    <row r="127">
      <c r="A127" t="inlineStr">
        <is>
          <t>U1-10</t>
        </is>
      </c>
      <c r="B127" t="n">
        <v>1</v>
      </c>
      <c r="C127" t="n">
        <v>12</v>
      </c>
      <c r="D127" t="inlineStr">
        <is>
          <t>FIX100</t>
        </is>
      </c>
      <c r="E127" t="inlineStr">
        <is>
          <t>PP</t>
        </is>
      </c>
      <c r="F127" t="n">
        <v>3.9</v>
      </c>
      <c r="G127" t="n">
        <v>27</v>
      </c>
      <c r="H127" t="n">
        <v>0</v>
      </c>
      <c r="I127" t="inlineStr">
        <is>
          <t>L</t>
        </is>
      </c>
      <c r="J127" t="inlineStr">
        <is>
          <t>S</t>
        </is>
      </c>
      <c r="K127" t="inlineStr"/>
      <c r="L127" t="inlineStr"/>
      <c r="M127" s="30">
        <f>0.005454*F127^2</f>
        <v/>
      </c>
      <c r="N127" s="31">
        <f>IF(D127="BAF20",20/M127,100)</f>
        <v/>
      </c>
      <c r="O127" s="31">
        <f>M127*N127</f>
        <v/>
      </c>
      <c r="P127" s="32">
        <f>0.0*N127</f>
        <v/>
      </c>
    </row>
    <row r="128">
      <c r="A128" t="inlineStr">
        <is>
          <t>U1-11</t>
        </is>
      </c>
      <c r="B128" t="n">
        <v>1</v>
      </c>
      <c r="C128" t="n">
        <v>1</v>
      </c>
      <c r="D128" t="inlineStr">
        <is>
          <t>BAF20</t>
        </is>
      </c>
      <c r="E128" t="inlineStr">
        <is>
          <t>BO</t>
        </is>
      </c>
      <c r="F128" t="n">
        <v>18.6</v>
      </c>
      <c r="G128" t="n">
        <v>63</v>
      </c>
      <c r="H128" t="n">
        <v>4</v>
      </c>
      <c r="I128" t="inlineStr">
        <is>
          <t>L</t>
        </is>
      </c>
      <c r="J128" t="inlineStr">
        <is>
          <t>I</t>
        </is>
      </c>
      <c r="K128" t="inlineStr"/>
      <c r="L128" t="inlineStr"/>
      <c r="M128" s="30">
        <f>0.005454*F128^2</f>
        <v/>
      </c>
      <c r="N128" s="31">
        <f>IF(D128="BAF20",20/M128,100)</f>
        <v/>
      </c>
      <c r="O128" s="31">
        <f>M128*N128</f>
        <v/>
      </c>
      <c r="P128" s="32">
        <f>178.5*N128</f>
        <v/>
      </c>
    </row>
    <row r="129">
      <c r="A129" t="inlineStr">
        <is>
          <t>U1-11</t>
        </is>
      </c>
      <c r="B129" t="n">
        <v>1</v>
      </c>
      <c r="C129" t="n">
        <v>2</v>
      </c>
      <c r="D129" t="inlineStr">
        <is>
          <t>BAF20</t>
        </is>
      </c>
      <c r="E129" t="inlineStr">
        <is>
          <t>DF</t>
        </is>
      </c>
      <c r="F129" t="n">
        <v>9</v>
      </c>
      <c r="G129" t="n">
        <v>46</v>
      </c>
      <c r="H129" t="n">
        <v>1</v>
      </c>
      <c r="I129" t="inlineStr">
        <is>
          <t>L</t>
        </is>
      </c>
      <c r="J129" t="inlineStr">
        <is>
          <t>S</t>
        </is>
      </c>
      <c r="K129" t="inlineStr">
        <is>
          <t>Y</t>
        </is>
      </c>
      <c r="L129" t="inlineStr"/>
      <c r="M129" s="30">
        <f>0.005454*F129^2</f>
        <v/>
      </c>
      <c r="N129" s="31">
        <f>IF(D129="BAF20",20/M129,100)</f>
        <v/>
      </c>
      <c r="O129" s="31">
        <f>M129*N129</f>
        <v/>
      </c>
      <c r="P129" s="32">
        <f>0.0*N129</f>
        <v/>
      </c>
    </row>
    <row r="130">
      <c r="A130" t="inlineStr">
        <is>
          <t>U1-11</t>
        </is>
      </c>
      <c r="B130" t="n">
        <v>1</v>
      </c>
      <c r="C130" t="n">
        <v>3</v>
      </c>
      <c r="D130" t="inlineStr">
        <is>
          <t>BAF20</t>
        </is>
      </c>
      <c r="E130" t="inlineStr">
        <is>
          <t>WF</t>
        </is>
      </c>
      <c r="F130" t="n">
        <v>26.2</v>
      </c>
      <c r="G130" t="n">
        <v>111</v>
      </c>
      <c r="H130" t="n">
        <v>15</v>
      </c>
      <c r="I130" t="inlineStr">
        <is>
          <t>L</t>
        </is>
      </c>
      <c r="J130" t="inlineStr">
        <is>
          <t>D</t>
        </is>
      </c>
      <c r="K130" t="inlineStr"/>
      <c r="L130" t="inlineStr"/>
      <c r="M130" s="30">
        <f>0.005454*F130^2</f>
        <v/>
      </c>
      <c r="N130" s="31">
        <f>IF(D130="BAF20",20/M130,100)</f>
        <v/>
      </c>
      <c r="O130" s="31">
        <f>M130*N130</f>
        <v/>
      </c>
      <c r="P130" s="32">
        <f>702.1*N130</f>
        <v/>
      </c>
    </row>
    <row r="131">
      <c r="A131" t="inlineStr">
        <is>
          <t>U1-11</t>
        </is>
      </c>
      <c r="B131" t="n">
        <v>1</v>
      </c>
      <c r="C131" t="n">
        <v>4</v>
      </c>
      <c r="D131" t="inlineStr">
        <is>
          <t>BAF20</t>
        </is>
      </c>
      <c r="E131" t="inlineStr">
        <is>
          <t>IC</t>
        </is>
      </c>
      <c r="F131" t="n">
        <v>19.2</v>
      </c>
      <c r="G131" t="n">
        <v>79</v>
      </c>
      <c r="H131" t="n">
        <v>2</v>
      </c>
      <c r="I131" t="inlineStr">
        <is>
          <t>L</t>
        </is>
      </c>
      <c r="J131" t="inlineStr">
        <is>
          <t>C</t>
        </is>
      </c>
      <c r="K131" t="inlineStr"/>
      <c r="L131" t="inlineStr"/>
      <c r="M131" s="30">
        <f>0.005454*F131^2</f>
        <v/>
      </c>
      <c r="N131" s="31">
        <f>IF(D131="BAF20",20/M131,100)</f>
        <v/>
      </c>
      <c r="O131" s="31">
        <f>M131*N131</f>
        <v/>
      </c>
      <c r="P131" s="32">
        <f>272.3*N131</f>
        <v/>
      </c>
    </row>
    <row r="132">
      <c r="A132" t="inlineStr">
        <is>
          <t>U1-11</t>
        </is>
      </c>
      <c r="B132" t="n">
        <v>1</v>
      </c>
      <c r="C132" t="n">
        <v>5</v>
      </c>
      <c r="D132" t="inlineStr">
        <is>
          <t>BAF20</t>
        </is>
      </c>
      <c r="E132" t="inlineStr">
        <is>
          <t>WF</t>
        </is>
      </c>
      <c r="F132" t="n">
        <v>19.2</v>
      </c>
      <c r="G132" t="n">
        <v>84</v>
      </c>
      <c r="H132" t="n">
        <v>23</v>
      </c>
      <c r="I132" t="inlineStr">
        <is>
          <t>L</t>
        </is>
      </c>
      <c r="J132" t="inlineStr">
        <is>
          <t>C</t>
        </is>
      </c>
      <c r="K132" t="inlineStr"/>
      <c r="L132" t="inlineStr"/>
      <c r="M132" s="30">
        <f>0.005454*F132^2</f>
        <v/>
      </c>
      <c r="N132" s="31">
        <f>IF(D132="BAF20",20/M132,100)</f>
        <v/>
      </c>
      <c r="O132" s="31">
        <f>M132*N132</f>
        <v/>
      </c>
      <c r="P132" s="32">
        <f>227.5*N132</f>
        <v/>
      </c>
    </row>
    <row r="133">
      <c r="A133" t="inlineStr">
        <is>
          <t>U1-11</t>
        </is>
      </c>
      <c r="B133" t="n">
        <v>1</v>
      </c>
      <c r="C133" t="n">
        <v>6</v>
      </c>
      <c r="D133" t="inlineStr">
        <is>
          <t>BAF20</t>
        </is>
      </c>
      <c r="E133" t="inlineStr">
        <is>
          <t>SP</t>
        </is>
      </c>
      <c r="F133" t="n">
        <v>8.4</v>
      </c>
      <c r="G133" t="n">
        <v>41</v>
      </c>
      <c r="H133" t="n">
        <v>11</v>
      </c>
      <c r="I133" t="inlineStr">
        <is>
          <t>L</t>
        </is>
      </c>
      <c r="J133" t="inlineStr">
        <is>
          <t>S</t>
        </is>
      </c>
      <c r="K133" t="inlineStr"/>
      <c r="L133" t="inlineStr"/>
      <c r="M133" s="30">
        <f>0.005454*F133^2</f>
        <v/>
      </c>
      <c r="N133" s="31">
        <f>IF(D133="BAF20",20/M133,100)</f>
        <v/>
      </c>
      <c r="O133" s="31">
        <f>M133*N133</f>
        <v/>
      </c>
      <c r="P133" s="32">
        <f>0.0*N133</f>
        <v/>
      </c>
    </row>
    <row r="134">
      <c r="A134" t="inlineStr">
        <is>
          <t>U1-11</t>
        </is>
      </c>
      <c r="B134" t="n">
        <v>1</v>
      </c>
      <c r="C134" t="n">
        <v>7</v>
      </c>
      <c r="D134" t="inlineStr">
        <is>
          <t>BAF20</t>
        </is>
      </c>
      <c r="E134" t="inlineStr">
        <is>
          <t>DF</t>
        </is>
      </c>
      <c r="F134" t="n">
        <v>16.8</v>
      </c>
      <c r="G134" t="n">
        <v>82</v>
      </c>
      <c r="H134" t="n">
        <v>2</v>
      </c>
      <c r="I134" t="inlineStr">
        <is>
          <t>L</t>
        </is>
      </c>
      <c r="J134" t="inlineStr">
        <is>
          <t>I</t>
        </is>
      </c>
      <c r="K134" t="inlineStr"/>
      <c r="L134" t="inlineStr"/>
      <c r="M134" s="30">
        <f>0.005454*F134^2</f>
        <v/>
      </c>
      <c r="N134" s="31">
        <f>IF(D134="BAF20",20/M134,100)</f>
        <v/>
      </c>
      <c r="O134" s="31">
        <f>M134*N134</f>
        <v/>
      </c>
      <c r="P134" s="32">
        <f>206.3*N134</f>
        <v/>
      </c>
    </row>
    <row r="135">
      <c r="A135" t="inlineStr">
        <is>
          <t>U1-11</t>
        </is>
      </c>
      <c r="B135" t="n">
        <v>1</v>
      </c>
      <c r="C135" t="n">
        <v>8</v>
      </c>
      <c r="D135" t="inlineStr">
        <is>
          <t>BAF20</t>
        </is>
      </c>
      <c r="E135" t="inlineStr">
        <is>
          <t>WF</t>
        </is>
      </c>
      <c r="F135" t="n">
        <v>17</v>
      </c>
      <c r="G135" t="n">
        <v>71</v>
      </c>
      <c r="H135" t="n">
        <v>5</v>
      </c>
      <c r="I135" t="inlineStr">
        <is>
          <t>L</t>
        </is>
      </c>
      <c r="J135" t="inlineStr">
        <is>
          <t>I</t>
        </is>
      </c>
      <c r="K135" t="inlineStr"/>
      <c r="L135" t="inlineStr"/>
      <c r="M135" s="30">
        <f>0.005454*F135^2</f>
        <v/>
      </c>
      <c r="N135" s="31">
        <f>IF(D135="BAF20",20/M135,100)</f>
        <v/>
      </c>
      <c r="O135" s="31">
        <f>M135*N135</f>
        <v/>
      </c>
      <c r="P135" s="32">
        <f>178.0*N135</f>
        <v/>
      </c>
    </row>
    <row r="136">
      <c r="A136" t="inlineStr">
        <is>
          <t>U1-11</t>
        </is>
      </c>
      <c r="B136" t="n">
        <v>1</v>
      </c>
      <c r="C136" t="n">
        <v>9</v>
      </c>
      <c r="D136" t="inlineStr">
        <is>
          <t>BAF20</t>
        </is>
      </c>
      <c r="E136" t="inlineStr">
        <is>
          <t>PP</t>
        </is>
      </c>
      <c r="F136" t="n">
        <v>18.3</v>
      </c>
      <c r="G136" t="n">
        <v>86</v>
      </c>
      <c r="H136" t="n">
        <v>1</v>
      </c>
      <c r="I136" t="inlineStr">
        <is>
          <t>L</t>
        </is>
      </c>
      <c r="J136" t="inlineStr">
        <is>
          <t>I</t>
        </is>
      </c>
      <c r="K136" t="inlineStr"/>
      <c r="L136" t="inlineStr"/>
      <c r="M136" s="30">
        <f>0.005454*F136^2</f>
        <v/>
      </c>
      <c r="N136" s="31">
        <f>IF(D136="BAF20",20/M136,100)</f>
        <v/>
      </c>
      <c r="O136" s="31">
        <f>M136*N136</f>
        <v/>
      </c>
      <c r="P136" s="32">
        <f>267.3*N136</f>
        <v/>
      </c>
    </row>
    <row r="137">
      <c r="A137" t="inlineStr">
        <is>
          <t>U1-11</t>
        </is>
      </c>
      <c r="B137" t="n">
        <v>1</v>
      </c>
      <c r="C137" t="n">
        <v>10</v>
      </c>
      <c r="D137" t="inlineStr">
        <is>
          <t>BAF20</t>
        </is>
      </c>
      <c r="E137" t="inlineStr">
        <is>
          <t>PP</t>
        </is>
      </c>
      <c r="F137" t="n">
        <v>11.6</v>
      </c>
      <c r="G137" t="n">
        <v>55</v>
      </c>
      <c r="H137" t="n">
        <v>4</v>
      </c>
      <c r="I137" t="inlineStr">
        <is>
          <t>L</t>
        </is>
      </c>
      <c r="J137" t="inlineStr">
        <is>
          <t>S</t>
        </is>
      </c>
      <c r="K137" t="inlineStr">
        <is>
          <t>Y</t>
        </is>
      </c>
      <c r="L137" t="inlineStr"/>
      <c r="M137" s="30">
        <f>0.005454*F137^2</f>
        <v/>
      </c>
      <c r="N137" s="31">
        <f>IF(D137="BAF20",20/M137,100)</f>
        <v/>
      </c>
      <c r="O137" s="31">
        <f>M137*N137</f>
        <v/>
      </c>
      <c r="P137" s="32">
        <f>57.8*N137</f>
        <v/>
      </c>
    </row>
    <row r="138">
      <c r="A138" t="inlineStr">
        <is>
          <t>U1-11</t>
        </is>
      </c>
      <c r="B138" t="n">
        <v>1</v>
      </c>
      <c r="C138" t="n">
        <v>11</v>
      </c>
      <c r="D138" t="inlineStr">
        <is>
          <t>BAF20</t>
        </is>
      </c>
      <c r="E138" t="inlineStr">
        <is>
          <t>SP</t>
        </is>
      </c>
      <c r="F138" t="n">
        <v>31.5</v>
      </c>
      <c r="G138" t="n">
        <v>134</v>
      </c>
      <c r="H138" t="n">
        <v>3</v>
      </c>
      <c r="I138" t="inlineStr">
        <is>
          <t>L</t>
        </is>
      </c>
      <c r="J138" t="inlineStr">
        <is>
          <t>D</t>
        </is>
      </c>
      <c r="K138" t="inlineStr"/>
      <c r="L138" t="inlineStr"/>
      <c r="M138" s="30">
        <f>0.005454*F138^2</f>
        <v/>
      </c>
      <c r="N138" s="31">
        <f>IF(D138="BAF20",20/M138,100)</f>
        <v/>
      </c>
      <c r="O138" s="31">
        <f>M138*N138</f>
        <v/>
      </c>
      <c r="P138" s="32">
        <f>1524.9*N138</f>
        <v/>
      </c>
    </row>
    <row r="139">
      <c r="A139" t="inlineStr">
        <is>
          <t>U1-11</t>
        </is>
      </c>
      <c r="B139" t="n">
        <v>1</v>
      </c>
      <c r="C139" t="n">
        <v>12</v>
      </c>
      <c r="D139" t="inlineStr">
        <is>
          <t>BAF20</t>
        </is>
      </c>
      <c r="E139" t="inlineStr">
        <is>
          <t>PP</t>
        </is>
      </c>
      <c r="F139" t="n">
        <v>29.3</v>
      </c>
      <c r="G139" t="n">
        <v>113</v>
      </c>
      <c r="H139" t="n">
        <v>2</v>
      </c>
      <c r="I139" t="inlineStr">
        <is>
          <t>L</t>
        </is>
      </c>
      <c r="J139" t="inlineStr">
        <is>
          <t>D</t>
        </is>
      </c>
      <c r="K139" t="inlineStr"/>
      <c r="L139" t="inlineStr"/>
      <c r="M139" s="30">
        <f>0.005454*F139^2</f>
        <v/>
      </c>
      <c r="N139" s="31">
        <f>IF(D139="BAF20",20/M139,100)</f>
        <v/>
      </c>
      <c r="O139" s="31">
        <f>M139*N139</f>
        <v/>
      </c>
      <c r="P139" s="32">
        <f>1085.2*N139</f>
        <v/>
      </c>
    </row>
    <row r="140">
      <c r="A140" t="inlineStr">
        <is>
          <t>U1-11</t>
        </is>
      </c>
      <c r="B140" t="n">
        <v>1</v>
      </c>
      <c r="C140" t="n">
        <v>13</v>
      </c>
      <c r="D140" t="inlineStr">
        <is>
          <t>BAF20</t>
        </is>
      </c>
      <c r="E140" t="inlineStr">
        <is>
          <t>WF</t>
        </is>
      </c>
      <c r="F140" t="n">
        <v>22.8</v>
      </c>
      <c r="G140" t="n">
        <v>102</v>
      </c>
      <c r="H140" t="n">
        <v>3</v>
      </c>
      <c r="I140" t="inlineStr">
        <is>
          <t>L</t>
        </is>
      </c>
      <c r="J140" t="inlineStr">
        <is>
          <t>C</t>
        </is>
      </c>
      <c r="K140" t="inlineStr"/>
      <c r="L140" t="inlineStr"/>
      <c r="M140" s="30">
        <f>0.005454*F140^2</f>
        <v/>
      </c>
      <c r="N140" s="31">
        <f>IF(D140="BAF20",20/M140,100)</f>
        <v/>
      </c>
      <c r="O140" s="31">
        <f>M140*N140</f>
        <v/>
      </c>
      <c r="P140" s="32">
        <f>525.1*N140</f>
        <v/>
      </c>
    </row>
    <row r="141">
      <c r="A141" t="inlineStr">
        <is>
          <t>U1-11</t>
        </is>
      </c>
      <c r="B141" t="n">
        <v>1</v>
      </c>
      <c r="C141" t="n">
        <v>14</v>
      </c>
      <c r="D141" t="inlineStr">
        <is>
          <t>BAF20</t>
        </is>
      </c>
      <c r="E141" t="inlineStr">
        <is>
          <t>PP</t>
        </is>
      </c>
      <c r="F141" t="n">
        <v>11.3</v>
      </c>
      <c r="G141" t="n">
        <v>54</v>
      </c>
      <c r="H141" t="n">
        <v>6</v>
      </c>
      <c r="I141" t="inlineStr">
        <is>
          <t>L</t>
        </is>
      </c>
      <c r="J141" t="inlineStr">
        <is>
          <t>S</t>
        </is>
      </c>
      <c r="K141" t="inlineStr">
        <is>
          <t>Y</t>
        </is>
      </c>
      <c r="L141" t="inlineStr"/>
      <c r="M141" s="30">
        <f>0.005454*F141^2</f>
        <v/>
      </c>
      <c r="N141" s="31">
        <f>IF(D141="BAF20",20/M141,100)</f>
        <v/>
      </c>
      <c r="O141" s="31">
        <f>M141*N141</f>
        <v/>
      </c>
      <c r="P141" s="32">
        <f>52.3*N141</f>
        <v/>
      </c>
    </row>
    <row r="142">
      <c r="A142" t="inlineStr">
        <is>
          <t>U1-11</t>
        </is>
      </c>
      <c r="B142" t="n">
        <v>1</v>
      </c>
      <c r="C142" t="n">
        <v>15</v>
      </c>
      <c r="D142" t="inlineStr">
        <is>
          <t>BAF20</t>
        </is>
      </c>
      <c r="E142" t="inlineStr">
        <is>
          <t>PP</t>
        </is>
      </c>
      <c r="F142" t="n">
        <v>11.4</v>
      </c>
      <c r="G142" t="n">
        <v>60</v>
      </c>
      <c r="H142" t="n">
        <v>7</v>
      </c>
      <c r="I142" t="inlineStr">
        <is>
          <t>L</t>
        </is>
      </c>
      <c r="J142" t="inlineStr">
        <is>
          <t>S</t>
        </is>
      </c>
      <c r="K142" t="inlineStr">
        <is>
          <t>Y</t>
        </is>
      </c>
      <c r="L142" t="inlineStr"/>
      <c r="M142" s="30">
        <f>0.005454*F142^2</f>
        <v/>
      </c>
      <c r="N142" s="31">
        <f>IF(D142="BAF20",20/M142,100)</f>
        <v/>
      </c>
      <c r="O142" s="31">
        <f>M142*N142</f>
        <v/>
      </c>
      <c r="P142" s="32">
        <f>58.7*N142</f>
        <v/>
      </c>
    </row>
    <row r="143">
      <c r="A143" t="inlineStr">
        <is>
          <t>U1-11</t>
        </is>
      </c>
      <c r="B143" t="n">
        <v>1</v>
      </c>
      <c r="C143" t="n">
        <v>16</v>
      </c>
      <c r="D143" t="inlineStr">
        <is>
          <t>FIX100</t>
        </is>
      </c>
      <c r="E143" t="inlineStr">
        <is>
          <t>IC</t>
        </is>
      </c>
      <c r="F143" t="n">
        <v>1.4</v>
      </c>
      <c r="G143" t="n">
        <v>7</v>
      </c>
      <c r="H143" t="n">
        <v>0</v>
      </c>
      <c r="I143" t="inlineStr">
        <is>
          <t>L</t>
        </is>
      </c>
      <c r="J143" t="inlineStr">
        <is>
          <t>S</t>
        </is>
      </c>
      <c r="K143" t="inlineStr"/>
      <c r="L143" t="inlineStr"/>
      <c r="M143" s="30">
        <f>0.005454*F143^2</f>
        <v/>
      </c>
      <c r="N143" s="31">
        <f>IF(D143="BAF20",20/M143,100)</f>
        <v/>
      </c>
      <c r="O143" s="31">
        <f>M143*N143</f>
        <v/>
      </c>
      <c r="P143" s="32">
        <f>0.0*N143</f>
        <v/>
      </c>
    </row>
    <row r="144">
      <c r="A144" t="inlineStr">
        <is>
          <t>U1-12</t>
        </is>
      </c>
      <c r="B144" t="n">
        <v>1</v>
      </c>
      <c r="C144" t="n">
        <v>1</v>
      </c>
      <c r="D144" t="inlineStr">
        <is>
          <t>BAF20</t>
        </is>
      </c>
      <c r="E144" t="inlineStr">
        <is>
          <t>SP</t>
        </is>
      </c>
      <c r="F144" t="n">
        <v>20.9</v>
      </c>
      <c r="G144" t="n">
        <v>83</v>
      </c>
      <c r="H144" t="n">
        <v>3</v>
      </c>
      <c r="I144" t="inlineStr">
        <is>
          <t>L</t>
        </is>
      </c>
      <c r="J144" t="inlineStr">
        <is>
          <t>C</t>
        </is>
      </c>
      <c r="K144" t="inlineStr"/>
      <c r="L144" t="inlineStr"/>
      <c r="M144" s="30">
        <f>0.005454*F144^2</f>
        <v/>
      </c>
      <c r="N144" s="31">
        <f>IF(D144="BAF20",20/M144,100)</f>
        <v/>
      </c>
      <c r="O144" s="31">
        <f>M144*N144</f>
        <v/>
      </c>
      <c r="P144" s="32">
        <f>346.6*N144</f>
        <v/>
      </c>
    </row>
    <row r="145">
      <c r="A145" t="inlineStr">
        <is>
          <t>U1-12</t>
        </is>
      </c>
      <c r="B145" t="n">
        <v>1</v>
      </c>
      <c r="C145" t="n">
        <v>2</v>
      </c>
      <c r="D145" t="inlineStr">
        <is>
          <t>BAF20</t>
        </is>
      </c>
      <c r="E145" t="inlineStr">
        <is>
          <t>SP</t>
        </is>
      </c>
      <c r="F145" t="n">
        <v>13.9</v>
      </c>
      <c r="G145" t="n">
        <v>70</v>
      </c>
      <c r="H145" t="n">
        <v>5</v>
      </c>
      <c r="I145" t="inlineStr">
        <is>
          <t>L</t>
        </is>
      </c>
      <c r="J145" t="inlineStr">
        <is>
          <t>I</t>
        </is>
      </c>
      <c r="K145" t="inlineStr"/>
      <c r="L145" t="inlineStr"/>
      <c r="M145" s="30">
        <f>0.005454*F145^2</f>
        <v/>
      </c>
      <c r="N145" s="31">
        <f>IF(D145="BAF20",20/M145,100)</f>
        <v/>
      </c>
      <c r="O145" s="31">
        <f>M145*N145</f>
        <v/>
      </c>
      <c r="P145" s="32">
        <f>110.0*N145</f>
        <v/>
      </c>
    </row>
    <row r="146">
      <c r="A146" t="inlineStr">
        <is>
          <t>U1-12</t>
        </is>
      </c>
      <c r="B146" t="n">
        <v>1</v>
      </c>
      <c r="C146" t="n">
        <v>3</v>
      </c>
      <c r="D146" t="inlineStr">
        <is>
          <t>BAF20</t>
        </is>
      </c>
      <c r="E146" t="inlineStr">
        <is>
          <t>BO</t>
        </is>
      </c>
      <c r="F146" t="n">
        <v>15.7</v>
      </c>
      <c r="G146" t="n">
        <v>51</v>
      </c>
      <c r="H146" t="n">
        <v>13</v>
      </c>
      <c r="I146" t="inlineStr">
        <is>
          <t>L</t>
        </is>
      </c>
      <c r="J146" t="inlineStr">
        <is>
          <t>I</t>
        </is>
      </c>
      <c r="K146" t="inlineStr"/>
      <c r="L146" t="inlineStr"/>
      <c r="M146" s="30">
        <f>0.005454*F146^2</f>
        <v/>
      </c>
      <c r="N146" s="31">
        <f>IF(D146="BAF20",20/M146,100)</f>
        <v/>
      </c>
      <c r="O146" s="31">
        <f>M146*N146</f>
        <v/>
      </c>
      <c r="P146" s="32">
        <f>88.0*N146</f>
        <v/>
      </c>
    </row>
    <row r="147">
      <c r="A147" t="inlineStr">
        <is>
          <t>U1-12</t>
        </is>
      </c>
      <c r="B147" t="n">
        <v>1</v>
      </c>
      <c r="C147" t="n">
        <v>4</v>
      </c>
      <c r="D147" t="inlineStr">
        <is>
          <t>BAF20</t>
        </is>
      </c>
      <c r="E147" t="inlineStr">
        <is>
          <t>PP</t>
        </is>
      </c>
      <c r="F147" t="n">
        <v>28.4</v>
      </c>
      <c r="G147" t="n">
        <v>113</v>
      </c>
      <c r="H147" t="n">
        <v>15</v>
      </c>
      <c r="I147" t="inlineStr">
        <is>
          <t>L</t>
        </is>
      </c>
      <c r="J147" t="inlineStr">
        <is>
          <t>D</t>
        </is>
      </c>
      <c r="K147" t="inlineStr"/>
      <c r="L147" t="inlineStr"/>
      <c r="M147" s="30">
        <f>0.005454*F147^2</f>
        <v/>
      </c>
      <c r="N147" s="31">
        <f>IF(D147="BAF20",20/M147,100)</f>
        <v/>
      </c>
      <c r="O147" s="31">
        <f>M147*N147</f>
        <v/>
      </c>
      <c r="P147" s="32">
        <f>871.4*N147</f>
        <v/>
      </c>
    </row>
    <row r="148">
      <c r="A148" t="inlineStr">
        <is>
          <t>U1-12</t>
        </is>
      </c>
      <c r="B148" t="n">
        <v>1</v>
      </c>
      <c r="C148" t="n">
        <v>5</v>
      </c>
      <c r="D148" t="inlineStr">
        <is>
          <t>BAF20</t>
        </is>
      </c>
      <c r="E148" t="inlineStr">
        <is>
          <t>BO</t>
        </is>
      </c>
      <c r="F148" t="n">
        <v>25.7</v>
      </c>
      <c r="G148" t="n">
        <v>75</v>
      </c>
      <c r="H148" t="n">
        <v>1</v>
      </c>
      <c r="I148" t="inlineStr">
        <is>
          <t>L</t>
        </is>
      </c>
      <c r="J148" t="inlineStr">
        <is>
          <t>D</t>
        </is>
      </c>
      <c r="K148" t="inlineStr"/>
      <c r="L148" t="inlineStr"/>
      <c r="M148" s="30">
        <f>0.005454*F148^2</f>
        <v/>
      </c>
      <c r="N148" s="31">
        <f>IF(D148="BAF20",20/M148,100)</f>
        <v/>
      </c>
      <c r="O148" s="31">
        <f>M148*N148</f>
        <v/>
      </c>
      <c r="P148" s="32">
        <f>476.9*N148</f>
        <v/>
      </c>
    </row>
    <row r="149">
      <c r="A149" t="inlineStr">
        <is>
          <t>U1-12</t>
        </is>
      </c>
      <c r="B149" t="n">
        <v>1</v>
      </c>
      <c r="C149" t="n">
        <v>6</v>
      </c>
      <c r="D149" t="inlineStr">
        <is>
          <t>BAF20</t>
        </is>
      </c>
      <c r="E149" t="inlineStr">
        <is>
          <t>IC</t>
        </is>
      </c>
      <c r="F149" t="n">
        <v>14.5</v>
      </c>
      <c r="G149" t="n">
        <v>58</v>
      </c>
      <c r="H149" t="n">
        <v>7</v>
      </c>
      <c r="I149" t="inlineStr">
        <is>
          <t>L</t>
        </is>
      </c>
      <c r="J149" t="inlineStr">
        <is>
          <t>I</t>
        </is>
      </c>
      <c r="K149" t="inlineStr"/>
      <c r="L149" t="inlineStr"/>
      <c r="M149" s="30">
        <f>0.005454*F149^2</f>
        <v/>
      </c>
      <c r="N149" s="31">
        <f>IF(D149="BAF20",20/M149,100)</f>
        <v/>
      </c>
      <c r="O149" s="31">
        <f>M149*N149</f>
        <v/>
      </c>
      <c r="P149" s="32">
        <f>98.3*N149</f>
        <v/>
      </c>
    </row>
    <row r="150">
      <c r="A150" t="inlineStr">
        <is>
          <t>U1-12</t>
        </is>
      </c>
      <c r="B150" t="n">
        <v>1</v>
      </c>
      <c r="C150" t="n">
        <v>7</v>
      </c>
      <c r="D150" t="inlineStr">
        <is>
          <t>BAF20</t>
        </is>
      </c>
      <c r="E150" t="inlineStr">
        <is>
          <t>DF</t>
        </is>
      </c>
      <c r="F150" t="n">
        <v>9.199999999999999</v>
      </c>
      <c r="G150" t="n">
        <v>52</v>
      </c>
      <c r="H150" t="n">
        <v>0</v>
      </c>
      <c r="I150" t="inlineStr">
        <is>
          <t>L</t>
        </is>
      </c>
      <c r="J150" t="inlineStr">
        <is>
          <t>S</t>
        </is>
      </c>
      <c r="K150" t="inlineStr">
        <is>
          <t>Y</t>
        </is>
      </c>
      <c r="L150" t="inlineStr"/>
      <c r="M150" s="30">
        <f>0.005454*F150^2</f>
        <v/>
      </c>
      <c r="N150" s="31">
        <f>IF(D150="BAF20",20/M150,100)</f>
        <v/>
      </c>
      <c r="O150" s="31">
        <f>M150*N150</f>
        <v/>
      </c>
      <c r="P150" s="32">
        <f>0.0*N150</f>
        <v/>
      </c>
    </row>
    <row r="151">
      <c r="A151" t="inlineStr">
        <is>
          <t>U1-12</t>
        </is>
      </c>
      <c r="B151" t="n">
        <v>1</v>
      </c>
      <c r="C151" t="n">
        <v>8</v>
      </c>
      <c r="D151" t="inlineStr">
        <is>
          <t>BAF20</t>
        </is>
      </c>
      <c r="E151" t="inlineStr">
        <is>
          <t>PP</t>
        </is>
      </c>
      <c r="F151" t="n">
        <v>23.6</v>
      </c>
      <c r="G151" t="n">
        <v>99</v>
      </c>
      <c r="H151" t="n">
        <v>3</v>
      </c>
      <c r="I151" t="inlineStr">
        <is>
          <t>L</t>
        </is>
      </c>
      <c r="J151" t="inlineStr">
        <is>
          <t>C</t>
        </is>
      </c>
      <c r="K151" t="inlineStr"/>
      <c r="L151" t="inlineStr"/>
      <c r="M151" s="30">
        <f>0.005454*F151^2</f>
        <v/>
      </c>
      <c r="N151" s="31">
        <f>IF(D151="BAF20",20/M151,100)</f>
        <v/>
      </c>
      <c r="O151" s="31">
        <f>M151*N151</f>
        <v/>
      </c>
      <c r="P151" s="32">
        <f>554.0*N151</f>
        <v/>
      </c>
    </row>
    <row r="152">
      <c r="A152" t="inlineStr">
        <is>
          <t>U1-12</t>
        </is>
      </c>
      <c r="B152" t="n">
        <v>1</v>
      </c>
      <c r="C152" t="n">
        <v>9</v>
      </c>
      <c r="D152" t="inlineStr">
        <is>
          <t>BAF20</t>
        </is>
      </c>
      <c r="E152" t="inlineStr">
        <is>
          <t>PP</t>
        </is>
      </c>
      <c r="F152" t="n">
        <v>31.2</v>
      </c>
      <c r="G152" t="n">
        <v>124</v>
      </c>
      <c r="H152" t="n">
        <v>5</v>
      </c>
      <c r="I152" t="inlineStr">
        <is>
          <t>L</t>
        </is>
      </c>
      <c r="J152" t="inlineStr">
        <is>
          <t>D</t>
        </is>
      </c>
      <c r="K152" t="inlineStr"/>
      <c r="L152" t="inlineStr"/>
      <c r="M152" s="30">
        <f>0.005454*F152^2</f>
        <v/>
      </c>
      <c r="N152" s="31">
        <f>IF(D152="BAF20",20/M152,100)</f>
        <v/>
      </c>
      <c r="O152" s="31">
        <f>M152*N152</f>
        <v/>
      </c>
      <c r="P152" s="32">
        <f>1349.4*N152</f>
        <v/>
      </c>
    </row>
    <row r="153">
      <c r="A153" t="inlineStr">
        <is>
          <t>U1-12</t>
        </is>
      </c>
      <c r="B153" t="n">
        <v>1</v>
      </c>
      <c r="C153" t="n">
        <v>10</v>
      </c>
      <c r="D153" t="inlineStr">
        <is>
          <t>BAF20</t>
        </is>
      </c>
      <c r="E153" t="inlineStr">
        <is>
          <t>PP</t>
        </is>
      </c>
      <c r="F153" t="n">
        <v>22.5</v>
      </c>
      <c r="G153" t="n">
        <v>112</v>
      </c>
      <c r="H153" t="n">
        <v>5</v>
      </c>
      <c r="I153" t="inlineStr">
        <is>
          <t>L</t>
        </is>
      </c>
      <c r="J153" t="inlineStr">
        <is>
          <t>C</t>
        </is>
      </c>
      <c r="K153" t="inlineStr"/>
      <c r="L153" t="inlineStr"/>
      <c r="M153" s="30">
        <f>0.005454*F153^2</f>
        <v/>
      </c>
      <c r="N153" s="31">
        <f>IF(D153="BAF20",20/M153,100)</f>
        <v/>
      </c>
      <c r="O153" s="31">
        <f>M153*N153</f>
        <v/>
      </c>
      <c r="P153" s="32">
        <f>546.9*N153</f>
        <v/>
      </c>
    </row>
    <row r="154">
      <c r="A154" t="inlineStr">
        <is>
          <t>U1-12</t>
        </is>
      </c>
      <c r="B154" t="n">
        <v>1</v>
      </c>
      <c r="C154" t="n">
        <v>11</v>
      </c>
      <c r="D154" t="inlineStr">
        <is>
          <t>BAF20</t>
        </is>
      </c>
      <c r="E154" t="inlineStr">
        <is>
          <t>PP</t>
        </is>
      </c>
      <c r="F154" t="n">
        <v>5</v>
      </c>
      <c r="G154" t="n">
        <v>25</v>
      </c>
      <c r="H154" t="n">
        <v>1</v>
      </c>
      <c r="I154" t="inlineStr">
        <is>
          <t>L</t>
        </is>
      </c>
      <c r="J154" t="inlineStr">
        <is>
          <t>S</t>
        </is>
      </c>
      <c r="K154" t="inlineStr">
        <is>
          <t>Y</t>
        </is>
      </c>
      <c r="L154" t="inlineStr"/>
      <c r="M154" s="30">
        <f>0.005454*F154^2</f>
        <v/>
      </c>
      <c r="N154" s="31">
        <f>IF(D154="BAF20",20/M154,100)</f>
        <v/>
      </c>
      <c r="O154" s="31">
        <f>M154*N154</f>
        <v/>
      </c>
      <c r="P154" s="32">
        <f>0.0*N154</f>
        <v/>
      </c>
    </row>
    <row r="155">
      <c r="A155" t="inlineStr">
        <is>
          <t>U1-12</t>
        </is>
      </c>
      <c r="B155" t="n">
        <v>1</v>
      </c>
      <c r="C155" t="n">
        <v>12</v>
      </c>
      <c r="D155" t="inlineStr">
        <is>
          <t>BAF20</t>
        </is>
      </c>
      <c r="E155" t="inlineStr">
        <is>
          <t>PP</t>
        </is>
      </c>
      <c r="F155" t="n">
        <v>7.7</v>
      </c>
      <c r="G155" t="n">
        <v>44</v>
      </c>
      <c r="H155" t="n">
        <v>2</v>
      </c>
      <c r="I155" t="inlineStr">
        <is>
          <t>L</t>
        </is>
      </c>
      <c r="J155" t="inlineStr">
        <is>
          <t>S</t>
        </is>
      </c>
      <c r="K155" t="inlineStr">
        <is>
          <t>Y</t>
        </is>
      </c>
      <c r="L155" t="inlineStr"/>
      <c r="M155" s="30">
        <f>0.005454*F155^2</f>
        <v/>
      </c>
      <c r="N155" s="31">
        <f>IF(D155="BAF20",20/M155,100)</f>
        <v/>
      </c>
      <c r="O155" s="31">
        <f>M155*N155</f>
        <v/>
      </c>
      <c r="P155" s="32">
        <f>0.0*N155</f>
        <v/>
      </c>
    </row>
    <row r="156">
      <c r="A156" t="inlineStr">
        <is>
          <t>U1-12</t>
        </is>
      </c>
      <c r="B156" t="n">
        <v>1</v>
      </c>
      <c r="C156" t="n">
        <v>13</v>
      </c>
      <c r="D156" t="inlineStr">
        <is>
          <t>BAF20</t>
        </is>
      </c>
      <c r="E156" t="inlineStr">
        <is>
          <t>IC</t>
        </is>
      </c>
      <c r="F156" t="n">
        <v>14.9</v>
      </c>
      <c r="G156" t="n">
        <v>61</v>
      </c>
      <c r="H156" t="n">
        <v>8</v>
      </c>
      <c r="I156" t="inlineStr">
        <is>
          <t>L</t>
        </is>
      </c>
      <c r="J156" t="inlineStr">
        <is>
          <t>I</t>
        </is>
      </c>
      <c r="K156" t="inlineStr"/>
      <c r="L156" t="inlineStr"/>
      <c r="M156" s="30">
        <f>0.005454*F156^2</f>
        <v/>
      </c>
      <c r="N156" s="31">
        <f>IF(D156="BAF20",20/M156,100)</f>
        <v/>
      </c>
      <c r="O156" s="31">
        <f>M156*N156</f>
        <v/>
      </c>
      <c r="P156" s="32">
        <f>108.9*N156</f>
        <v/>
      </c>
    </row>
    <row r="157">
      <c r="A157" t="inlineStr">
        <is>
          <t>U1-13</t>
        </is>
      </c>
      <c r="B157" t="n">
        <v>1</v>
      </c>
      <c r="C157" t="n">
        <v>1</v>
      </c>
      <c r="D157" t="inlineStr">
        <is>
          <t>BAF20</t>
        </is>
      </c>
      <c r="E157" t="inlineStr">
        <is>
          <t>IC</t>
        </is>
      </c>
      <c r="F157" t="n">
        <v>18</v>
      </c>
      <c r="G157" t="n">
        <v>66</v>
      </c>
      <c r="H157" t="n">
        <v>100</v>
      </c>
      <c r="I157" t="inlineStr">
        <is>
          <t>D</t>
        </is>
      </c>
      <c r="J157" t="inlineStr">
        <is>
          <t>I</t>
        </is>
      </c>
      <c r="K157" t="inlineStr"/>
      <c r="L157" t="inlineStr"/>
      <c r="M157" s="30">
        <f>0.005454*F157^2</f>
        <v/>
      </c>
      <c r="N157" s="31">
        <f>IF(D157="BAF20",20/M157,100)</f>
        <v/>
      </c>
      <c r="O157" s="31">
        <f>M157*N157</f>
        <v/>
      </c>
      <c r="P157" s="32">
        <f>0.0*N157</f>
        <v/>
      </c>
    </row>
    <row r="158">
      <c r="A158" t="inlineStr">
        <is>
          <t>U1-13</t>
        </is>
      </c>
      <c r="B158" t="n">
        <v>1</v>
      </c>
      <c r="C158" t="n">
        <v>2</v>
      </c>
      <c r="D158" t="inlineStr">
        <is>
          <t>BAF20</t>
        </is>
      </c>
      <c r="E158" t="inlineStr">
        <is>
          <t>BO</t>
        </is>
      </c>
      <c r="F158" t="n">
        <v>10.1</v>
      </c>
      <c r="G158" t="n">
        <v>38</v>
      </c>
      <c r="H158" t="n">
        <v>8</v>
      </c>
      <c r="I158" t="inlineStr">
        <is>
          <t>L</t>
        </is>
      </c>
      <c r="J158" t="inlineStr">
        <is>
          <t>S</t>
        </is>
      </c>
      <c r="K158" t="inlineStr">
        <is>
          <t>Y</t>
        </is>
      </c>
      <c r="L158" t="inlineStr"/>
      <c r="M158" s="30">
        <f>0.005454*F158^2</f>
        <v/>
      </c>
      <c r="N158" s="31">
        <f>IF(D158="BAF20",20/M158,100)</f>
        <v/>
      </c>
      <c r="O158" s="31">
        <f>M158*N158</f>
        <v/>
      </c>
      <c r="P158" s="32">
        <f>25.3*N158</f>
        <v/>
      </c>
    </row>
    <row r="159">
      <c r="A159" t="inlineStr">
        <is>
          <t>U1-13</t>
        </is>
      </c>
      <c r="B159" t="n">
        <v>1</v>
      </c>
      <c r="C159" t="n">
        <v>3</v>
      </c>
      <c r="D159" t="inlineStr">
        <is>
          <t>BAF20</t>
        </is>
      </c>
      <c r="E159" t="inlineStr">
        <is>
          <t>IC</t>
        </is>
      </c>
      <c r="F159" t="n">
        <v>5</v>
      </c>
      <c r="G159" t="n">
        <v>21</v>
      </c>
      <c r="H159" t="n">
        <v>6</v>
      </c>
      <c r="I159" t="inlineStr">
        <is>
          <t>L</t>
        </is>
      </c>
      <c r="J159" t="inlineStr">
        <is>
          <t>S</t>
        </is>
      </c>
      <c r="K159" t="inlineStr">
        <is>
          <t>Y</t>
        </is>
      </c>
      <c r="L159" t="inlineStr"/>
      <c r="M159" s="30">
        <f>0.005454*F159^2</f>
        <v/>
      </c>
      <c r="N159" s="31">
        <f>IF(D159="BAF20",20/M159,100)</f>
        <v/>
      </c>
      <c r="O159" s="31">
        <f>M159*N159</f>
        <v/>
      </c>
      <c r="P159" s="32">
        <f>0.0*N159</f>
        <v/>
      </c>
    </row>
    <row r="160">
      <c r="A160" t="inlineStr">
        <is>
          <t>U1-13</t>
        </is>
      </c>
      <c r="B160" t="n">
        <v>1</v>
      </c>
      <c r="C160" t="n">
        <v>4</v>
      </c>
      <c r="D160" t="inlineStr">
        <is>
          <t>BAF20</t>
        </is>
      </c>
      <c r="E160" t="inlineStr">
        <is>
          <t>PP</t>
        </is>
      </c>
      <c r="F160" t="n">
        <v>17</v>
      </c>
      <c r="G160" t="n">
        <v>72</v>
      </c>
      <c r="H160" t="n">
        <v>6</v>
      </c>
      <c r="I160" t="inlineStr">
        <is>
          <t>L</t>
        </is>
      </c>
      <c r="J160" t="inlineStr">
        <is>
          <t>I</t>
        </is>
      </c>
      <c r="K160" t="inlineStr"/>
      <c r="L160" t="inlineStr"/>
      <c r="M160" s="30">
        <f>0.005454*F160^2</f>
        <v/>
      </c>
      <c r="N160" s="31">
        <f>IF(D160="BAF20",20/M160,100)</f>
        <v/>
      </c>
      <c r="O160" s="31">
        <f>M160*N160</f>
        <v/>
      </c>
      <c r="P160" s="32">
        <f>178.6*N160</f>
        <v/>
      </c>
    </row>
    <row r="161">
      <c r="A161" t="inlineStr">
        <is>
          <t>U1-13</t>
        </is>
      </c>
      <c r="B161" t="n">
        <v>1</v>
      </c>
      <c r="C161" t="n">
        <v>5</v>
      </c>
      <c r="D161" t="inlineStr">
        <is>
          <t>BAF20</t>
        </is>
      </c>
      <c r="E161" t="inlineStr">
        <is>
          <t>PP</t>
        </is>
      </c>
      <c r="F161" t="n">
        <v>12.4</v>
      </c>
      <c r="G161" t="n">
        <v>57</v>
      </c>
      <c r="H161" t="n">
        <v>5</v>
      </c>
      <c r="I161" t="inlineStr">
        <is>
          <t>L</t>
        </is>
      </c>
      <c r="J161" t="inlineStr">
        <is>
          <t>S</t>
        </is>
      </c>
      <c r="K161" t="inlineStr">
        <is>
          <t>Y</t>
        </is>
      </c>
      <c r="L161" t="inlineStr"/>
      <c r="M161" s="30">
        <f>0.005454*F161^2</f>
        <v/>
      </c>
      <c r="N161" s="31">
        <f>IF(D161="BAF20",20/M161,100)</f>
        <v/>
      </c>
      <c r="O161" s="31">
        <f>M161*N161</f>
        <v/>
      </c>
      <c r="P161" s="32">
        <f>68.9*N161</f>
        <v/>
      </c>
    </row>
    <row r="162">
      <c r="A162" t="inlineStr">
        <is>
          <t>U1-13</t>
        </is>
      </c>
      <c r="B162" t="n">
        <v>1</v>
      </c>
      <c r="C162" t="n">
        <v>6</v>
      </c>
      <c r="D162" t="inlineStr">
        <is>
          <t>BAF20</t>
        </is>
      </c>
      <c r="E162" t="inlineStr">
        <is>
          <t>PP</t>
        </is>
      </c>
      <c r="F162" t="n">
        <v>10.7</v>
      </c>
      <c r="G162" t="n">
        <v>53</v>
      </c>
      <c r="H162" t="n">
        <v>6</v>
      </c>
      <c r="I162" t="inlineStr">
        <is>
          <t>L</t>
        </is>
      </c>
      <c r="J162" t="inlineStr">
        <is>
          <t>S</t>
        </is>
      </c>
      <c r="K162" t="inlineStr">
        <is>
          <t>Y</t>
        </is>
      </c>
      <c r="L162" t="inlineStr"/>
      <c r="M162" s="30">
        <f>0.005454*F162^2</f>
        <v/>
      </c>
      <c r="N162" s="31">
        <f>IF(D162="BAF20",20/M162,100)</f>
        <v/>
      </c>
      <c r="O162" s="31">
        <f>M162*N162</f>
        <v/>
      </c>
      <c r="P162" s="32">
        <f>45.4*N162</f>
        <v/>
      </c>
    </row>
    <row r="163">
      <c r="A163" t="inlineStr">
        <is>
          <t>U1-13</t>
        </is>
      </c>
      <c r="B163" t="n">
        <v>1</v>
      </c>
      <c r="C163" t="n">
        <v>7</v>
      </c>
      <c r="D163" t="inlineStr">
        <is>
          <t>BAF20</t>
        </is>
      </c>
      <c r="E163" t="inlineStr">
        <is>
          <t>BO</t>
        </is>
      </c>
      <c r="F163" t="n">
        <v>6.7</v>
      </c>
      <c r="G163" t="n">
        <v>30</v>
      </c>
      <c r="H163" t="n">
        <v>14</v>
      </c>
      <c r="I163" t="inlineStr">
        <is>
          <t>L</t>
        </is>
      </c>
      <c r="J163" t="inlineStr">
        <is>
          <t>S</t>
        </is>
      </c>
      <c r="K163" t="inlineStr">
        <is>
          <t>Y</t>
        </is>
      </c>
      <c r="L163" t="inlineStr"/>
      <c r="M163" s="30">
        <f>0.005454*F163^2</f>
        <v/>
      </c>
      <c r="N163" s="31">
        <f>IF(D163="BAF20",20/M163,100)</f>
        <v/>
      </c>
      <c r="O163" s="31">
        <f>M163*N163</f>
        <v/>
      </c>
      <c r="P163" s="32">
        <f>0.0*N163</f>
        <v/>
      </c>
    </row>
    <row r="164">
      <c r="A164" t="inlineStr">
        <is>
          <t>U1-13</t>
        </is>
      </c>
      <c r="B164" t="n">
        <v>1</v>
      </c>
      <c r="C164" t="n">
        <v>8</v>
      </c>
      <c r="D164" t="inlineStr">
        <is>
          <t>BAF20</t>
        </is>
      </c>
      <c r="E164" t="inlineStr">
        <is>
          <t>WF</t>
        </is>
      </c>
      <c r="F164" t="n">
        <v>23.2</v>
      </c>
      <c r="G164" t="n">
        <v>112</v>
      </c>
      <c r="H164" t="n">
        <v>4</v>
      </c>
      <c r="I164" t="inlineStr">
        <is>
          <t>L</t>
        </is>
      </c>
      <c r="J164" t="inlineStr">
        <is>
          <t>C</t>
        </is>
      </c>
      <c r="K164" t="inlineStr"/>
      <c r="L164" t="inlineStr"/>
      <c r="M164" s="30">
        <f>0.005454*F164^2</f>
        <v/>
      </c>
      <c r="N164" s="31">
        <f>IF(D164="BAF20",20/M164,100)</f>
        <v/>
      </c>
      <c r="O164" s="31">
        <f>M164*N164</f>
        <v/>
      </c>
      <c r="P164" s="32">
        <f>595.1*N164</f>
        <v/>
      </c>
    </row>
    <row r="165">
      <c r="A165" t="inlineStr">
        <is>
          <t>U1-13</t>
        </is>
      </c>
      <c r="B165" t="n">
        <v>1</v>
      </c>
      <c r="C165" t="n">
        <v>9</v>
      </c>
      <c r="D165" t="inlineStr">
        <is>
          <t>BAF20</t>
        </is>
      </c>
      <c r="E165" t="inlineStr">
        <is>
          <t>IC</t>
        </is>
      </c>
      <c r="F165" t="n">
        <v>24.5</v>
      </c>
      <c r="G165" t="n">
        <v>89</v>
      </c>
      <c r="H165" t="n">
        <v>2</v>
      </c>
      <c r="I165" t="inlineStr">
        <is>
          <t>L</t>
        </is>
      </c>
      <c r="J165" t="inlineStr">
        <is>
          <t>C</t>
        </is>
      </c>
      <c r="K165" t="inlineStr"/>
      <c r="L165" t="inlineStr"/>
      <c r="M165" s="30">
        <f>0.005454*F165^2</f>
        <v/>
      </c>
      <c r="N165" s="31">
        <f>IF(D165="BAF20",20/M165,100)</f>
        <v/>
      </c>
      <c r="O165" s="31">
        <f>M165*N165</f>
        <v/>
      </c>
      <c r="P165" s="32">
        <f>551.0*N165</f>
        <v/>
      </c>
    </row>
    <row r="166">
      <c r="A166" t="inlineStr">
        <is>
          <t>U1-13</t>
        </is>
      </c>
      <c r="B166" t="n">
        <v>1</v>
      </c>
      <c r="C166" t="n">
        <v>10</v>
      </c>
      <c r="D166" t="inlineStr">
        <is>
          <t>BAF20</t>
        </is>
      </c>
      <c r="E166" t="inlineStr">
        <is>
          <t>PP</t>
        </is>
      </c>
      <c r="F166" t="n">
        <v>30.4</v>
      </c>
      <c r="G166" t="n">
        <v>106</v>
      </c>
      <c r="H166" t="n">
        <v>9</v>
      </c>
      <c r="I166" t="inlineStr">
        <is>
          <t>L</t>
        </is>
      </c>
      <c r="J166" t="inlineStr">
        <is>
          <t>D</t>
        </is>
      </c>
      <c r="K166" t="inlineStr"/>
      <c r="L166" t="inlineStr"/>
      <c r="M166" s="30">
        <f>0.005454*F166^2</f>
        <v/>
      </c>
      <c r="N166" s="31">
        <f>IF(D166="BAF20",20/M166,100)</f>
        <v/>
      </c>
      <c r="O166" s="31">
        <f>M166*N166</f>
        <v/>
      </c>
      <c r="P166" s="32">
        <f>1035.8*N166</f>
        <v/>
      </c>
    </row>
    <row r="167">
      <c r="A167" t="inlineStr">
        <is>
          <t>U1-13</t>
        </is>
      </c>
      <c r="B167" t="n">
        <v>1</v>
      </c>
      <c r="C167" t="n">
        <v>11</v>
      </c>
      <c r="D167" t="inlineStr">
        <is>
          <t>BAF20</t>
        </is>
      </c>
      <c r="E167" t="inlineStr">
        <is>
          <t>BO</t>
        </is>
      </c>
      <c r="F167" t="n">
        <v>9.4</v>
      </c>
      <c r="G167" t="n">
        <v>40</v>
      </c>
      <c r="H167" t="n">
        <v>100</v>
      </c>
      <c r="I167" t="inlineStr">
        <is>
          <t>D</t>
        </is>
      </c>
      <c r="J167" t="inlineStr">
        <is>
          <t>S</t>
        </is>
      </c>
      <c r="K167" t="inlineStr"/>
      <c r="L167" t="inlineStr"/>
      <c r="M167" s="30">
        <f>0.005454*F167^2</f>
        <v/>
      </c>
      <c r="N167" s="31">
        <f>IF(D167="BAF20",20/M167,100)</f>
        <v/>
      </c>
      <c r="O167" s="31">
        <f>M167*N167</f>
        <v/>
      </c>
      <c r="P167" s="32">
        <f>0.0*N167</f>
        <v/>
      </c>
    </row>
    <row r="168">
      <c r="A168" t="inlineStr">
        <is>
          <t>U1-13</t>
        </is>
      </c>
      <c r="B168" t="n">
        <v>1</v>
      </c>
      <c r="C168" t="n">
        <v>12</v>
      </c>
      <c r="D168" t="inlineStr">
        <is>
          <t>BAF20</t>
        </is>
      </c>
      <c r="E168" t="inlineStr">
        <is>
          <t>BO</t>
        </is>
      </c>
      <c r="F168" t="n">
        <v>16.2</v>
      </c>
      <c r="G168" t="n">
        <v>54</v>
      </c>
      <c r="H168" t="n">
        <v>100</v>
      </c>
      <c r="I168" t="inlineStr">
        <is>
          <t>D</t>
        </is>
      </c>
      <c r="J168" t="inlineStr">
        <is>
          <t>I</t>
        </is>
      </c>
      <c r="K168" t="inlineStr"/>
      <c r="L168" t="inlineStr"/>
      <c r="M168" s="30">
        <f>0.005454*F168^2</f>
        <v/>
      </c>
      <c r="N168" s="31">
        <f>IF(D168="BAF20",20/M168,100)</f>
        <v/>
      </c>
      <c r="O168" s="31">
        <f>M168*N168</f>
        <v/>
      </c>
      <c r="P168" s="32">
        <f>0.0*N168</f>
        <v/>
      </c>
    </row>
    <row r="169">
      <c r="A169" t="inlineStr">
        <is>
          <t>U1-13</t>
        </is>
      </c>
      <c r="B169" t="n">
        <v>1</v>
      </c>
      <c r="C169" t="n">
        <v>13</v>
      </c>
      <c r="D169" t="inlineStr">
        <is>
          <t>BAF20</t>
        </is>
      </c>
      <c r="E169" t="inlineStr">
        <is>
          <t>BO</t>
        </is>
      </c>
      <c r="F169" t="n">
        <v>13.5</v>
      </c>
      <c r="G169" t="n">
        <v>51</v>
      </c>
      <c r="H169" t="n">
        <v>6</v>
      </c>
      <c r="I169" t="inlineStr">
        <is>
          <t>L</t>
        </is>
      </c>
      <c r="J169" t="inlineStr">
        <is>
          <t>I</t>
        </is>
      </c>
      <c r="K169" t="inlineStr">
        <is>
          <t>Y</t>
        </is>
      </c>
      <c r="L169" t="inlineStr"/>
      <c r="M169" s="30">
        <f>0.005454*F169^2</f>
        <v/>
      </c>
      <c r="N169" s="31">
        <f>IF(D169="BAF20",20/M169,100)</f>
        <v/>
      </c>
      <c r="O169" s="31">
        <f>M169*N169</f>
        <v/>
      </c>
      <c r="P169" s="32">
        <f>67.1*N169</f>
        <v/>
      </c>
    </row>
    <row r="170">
      <c r="A170" t="inlineStr">
        <is>
          <t>U1-13</t>
        </is>
      </c>
      <c r="B170" t="n">
        <v>1</v>
      </c>
      <c r="C170" t="n">
        <v>14</v>
      </c>
      <c r="D170" t="inlineStr">
        <is>
          <t>BAF20</t>
        </is>
      </c>
      <c r="E170" t="inlineStr">
        <is>
          <t>DF</t>
        </is>
      </c>
      <c r="F170" t="n">
        <v>22.1</v>
      </c>
      <c r="G170" t="n">
        <v>94</v>
      </c>
      <c r="H170" t="n">
        <v>5</v>
      </c>
      <c r="I170" t="inlineStr">
        <is>
          <t>L</t>
        </is>
      </c>
      <c r="J170" t="inlineStr">
        <is>
          <t>C</t>
        </is>
      </c>
      <c r="K170" t="inlineStr"/>
      <c r="L170" t="inlineStr"/>
      <c r="M170" s="30">
        <f>0.005454*F170^2</f>
        <v/>
      </c>
      <c r="N170" s="31">
        <f>IF(D170="BAF20",20/M170,100)</f>
        <v/>
      </c>
      <c r="O170" s="31">
        <f>M170*N170</f>
        <v/>
      </c>
      <c r="P170" s="32">
        <f>439.6*N170</f>
        <v/>
      </c>
    </row>
    <row r="171">
      <c r="A171" t="inlineStr">
        <is>
          <t>U1-13</t>
        </is>
      </c>
      <c r="B171" t="n">
        <v>1</v>
      </c>
      <c r="C171" t="n">
        <v>15</v>
      </c>
      <c r="D171" t="inlineStr">
        <is>
          <t>BAF20</t>
        </is>
      </c>
      <c r="E171" t="inlineStr">
        <is>
          <t>PP</t>
        </is>
      </c>
      <c r="F171" t="n">
        <v>19.5</v>
      </c>
      <c r="G171" t="n">
        <v>79</v>
      </c>
      <c r="H171" t="n">
        <v>4</v>
      </c>
      <c r="I171" t="inlineStr">
        <is>
          <t>L</t>
        </is>
      </c>
      <c r="J171" t="inlineStr">
        <is>
          <t>C</t>
        </is>
      </c>
      <c r="K171" t="inlineStr"/>
      <c r="L171" t="inlineStr"/>
      <c r="M171" s="30">
        <f>0.005454*F171^2</f>
        <v/>
      </c>
      <c r="N171" s="31">
        <f>IF(D171="BAF20",20/M171,100)</f>
        <v/>
      </c>
      <c r="O171" s="31">
        <f>M171*N171</f>
        <v/>
      </c>
      <c r="P171" s="32">
        <f>276.8*N171</f>
        <v/>
      </c>
    </row>
    <row r="172">
      <c r="A172" t="inlineStr">
        <is>
          <t>U1-13</t>
        </is>
      </c>
      <c r="B172" t="n">
        <v>1</v>
      </c>
      <c r="C172" t="n">
        <v>16</v>
      </c>
      <c r="D172" t="inlineStr">
        <is>
          <t>BAF20</t>
        </is>
      </c>
      <c r="E172" t="inlineStr">
        <is>
          <t>PP</t>
        </is>
      </c>
      <c r="F172" t="n">
        <v>11.5</v>
      </c>
      <c r="G172" t="n">
        <v>56</v>
      </c>
      <c r="H172" t="n">
        <v>3</v>
      </c>
      <c r="I172" t="inlineStr">
        <is>
          <t>L</t>
        </is>
      </c>
      <c r="J172" t="inlineStr">
        <is>
          <t>S</t>
        </is>
      </c>
      <c r="K172" t="inlineStr">
        <is>
          <t>Y</t>
        </is>
      </c>
      <c r="L172" t="inlineStr"/>
      <c r="M172" s="30">
        <f>0.005454*F172^2</f>
        <v/>
      </c>
      <c r="N172" s="31">
        <f>IF(D172="BAF20",20/M172,100)</f>
        <v/>
      </c>
      <c r="O172" s="31">
        <f>M172*N172</f>
        <v/>
      </c>
      <c r="P172" s="32">
        <f>58.3*N172</f>
        <v/>
      </c>
    </row>
    <row r="173">
      <c r="A173" t="inlineStr">
        <is>
          <t>U1-13</t>
        </is>
      </c>
      <c r="B173" t="n">
        <v>1</v>
      </c>
      <c r="C173" t="n">
        <v>17</v>
      </c>
      <c r="D173" t="inlineStr">
        <is>
          <t>BAF20</t>
        </is>
      </c>
      <c r="E173" t="inlineStr">
        <is>
          <t>DF</t>
        </is>
      </c>
      <c r="F173" t="n">
        <v>17.5</v>
      </c>
      <c r="G173" t="n">
        <v>78</v>
      </c>
      <c r="H173" t="n">
        <v>0</v>
      </c>
      <c r="I173" t="inlineStr">
        <is>
          <t>L</t>
        </is>
      </c>
      <c r="J173" t="inlineStr">
        <is>
          <t>I</t>
        </is>
      </c>
      <c r="K173" t="inlineStr"/>
      <c r="L173" t="inlineStr"/>
      <c r="M173" s="30">
        <f>0.005454*F173^2</f>
        <v/>
      </c>
      <c r="N173" s="31">
        <f>IF(D173="BAF20",20/M173,100)</f>
        <v/>
      </c>
      <c r="O173" s="31">
        <f>M173*N173</f>
        <v/>
      </c>
      <c r="P173" s="32">
        <f>220.4*N173</f>
        <v/>
      </c>
    </row>
    <row r="174">
      <c r="A174" t="inlineStr">
        <is>
          <t>U1-13</t>
        </is>
      </c>
      <c r="B174" t="n">
        <v>1</v>
      </c>
      <c r="C174" t="n">
        <v>18</v>
      </c>
      <c r="D174" t="inlineStr">
        <is>
          <t>FIX100</t>
        </is>
      </c>
      <c r="E174" t="inlineStr">
        <is>
          <t>PP</t>
        </is>
      </c>
      <c r="F174" t="n">
        <v>4.8</v>
      </c>
      <c r="G174" t="n">
        <v>27</v>
      </c>
      <c r="H174" t="n">
        <v>0</v>
      </c>
      <c r="I174" t="inlineStr">
        <is>
          <t>L</t>
        </is>
      </c>
      <c r="J174" t="inlineStr">
        <is>
          <t>S</t>
        </is>
      </c>
      <c r="K174" t="inlineStr"/>
      <c r="L174" t="inlineStr"/>
      <c r="M174" s="30">
        <f>0.005454*F174^2</f>
        <v/>
      </c>
      <c r="N174" s="31">
        <f>IF(D174="BAF20",20/M174,100)</f>
        <v/>
      </c>
      <c r="O174" s="31">
        <f>M174*N174</f>
        <v/>
      </c>
      <c r="P174" s="32">
        <f>0.0*N174</f>
        <v/>
      </c>
    </row>
    <row r="175">
      <c r="A175" t="inlineStr">
        <is>
          <t>U1-13</t>
        </is>
      </c>
      <c r="B175" t="n">
        <v>1</v>
      </c>
      <c r="C175" t="n">
        <v>19</v>
      </c>
      <c r="D175" t="inlineStr">
        <is>
          <t>FIX100</t>
        </is>
      </c>
      <c r="E175" t="inlineStr">
        <is>
          <t>BO</t>
        </is>
      </c>
      <c r="F175" t="n">
        <v>4.3</v>
      </c>
      <c r="G175" t="n">
        <v>18</v>
      </c>
      <c r="H175" t="n">
        <v>0</v>
      </c>
      <c r="I175" t="inlineStr">
        <is>
          <t>L</t>
        </is>
      </c>
      <c r="J175" t="inlineStr">
        <is>
          <t>S</t>
        </is>
      </c>
      <c r="K175" t="inlineStr"/>
      <c r="L175" t="inlineStr"/>
      <c r="M175" s="30">
        <f>0.005454*F175^2</f>
        <v/>
      </c>
      <c r="N175" s="31">
        <f>IF(D175="BAF20",20/M175,100)</f>
        <v/>
      </c>
      <c r="O175" s="31">
        <f>M175*N175</f>
        <v/>
      </c>
      <c r="P175" s="32">
        <f>0.0*N175</f>
        <v/>
      </c>
    </row>
    <row r="176">
      <c r="A176" t="inlineStr">
        <is>
          <t>U1-13</t>
        </is>
      </c>
      <c r="B176" t="n">
        <v>1</v>
      </c>
      <c r="C176" t="n">
        <v>20</v>
      </c>
      <c r="D176" t="inlineStr">
        <is>
          <t>FIX100</t>
        </is>
      </c>
      <c r="E176" t="inlineStr">
        <is>
          <t>BO</t>
        </is>
      </c>
      <c r="F176" t="n">
        <v>1.3</v>
      </c>
      <c r="G176" t="n">
        <v>8</v>
      </c>
      <c r="H176" t="n">
        <v>0</v>
      </c>
      <c r="I176" t="inlineStr">
        <is>
          <t>L</t>
        </is>
      </c>
      <c r="J176" t="inlineStr">
        <is>
          <t>S</t>
        </is>
      </c>
      <c r="K176" t="inlineStr"/>
      <c r="L176" t="inlineStr"/>
      <c r="M176" s="30">
        <f>0.005454*F176^2</f>
        <v/>
      </c>
      <c r="N176" s="31">
        <f>IF(D176="BAF20",20/M176,100)</f>
        <v/>
      </c>
      <c r="O176" s="31">
        <f>M176*N176</f>
        <v/>
      </c>
      <c r="P176" s="32">
        <f>0.0*N176</f>
        <v/>
      </c>
    </row>
    <row r="177">
      <c r="A177" t="inlineStr">
        <is>
          <t>U1-14</t>
        </is>
      </c>
      <c r="B177" t="n">
        <v>1</v>
      </c>
      <c r="C177" t="n">
        <v>1</v>
      </c>
      <c r="D177" t="inlineStr">
        <is>
          <t>BAF20</t>
        </is>
      </c>
      <c r="E177" t="inlineStr">
        <is>
          <t>DF</t>
        </is>
      </c>
      <c r="F177" t="n">
        <v>21</v>
      </c>
      <c r="G177" t="n">
        <v>104</v>
      </c>
      <c r="H177" t="n">
        <v>100</v>
      </c>
      <c r="I177" t="inlineStr">
        <is>
          <t>D</t>
        </is>
      </c>
      <c r="J177" t="inlineStr">
        <is>
          <t>C</t>
        </is>
      </c>
      <c r="K177" t="inlineStr"/>
      <c r="L177" t="inlineStr"/>
      <c r="M177" s="30">
        <f>0.005454*F177^2</f>
        <v/>
      </c>
      <c r="N177" s="31">
        <f>IF(D177="BAF20",20/M177,100)</f>
        <v/>
      </c>
      <c r="O177" s="31">
        <f>M177*N177</f>
        <v/>
      </c>
      <c r="P177" s="32">
        <f>0.0*N177</f>
        <v/>
      </c>
    </row>
    <row r="178">
      <c r="A178" t="inlineStr">
        <is>
          <t>U1-14</t>
        </is>
      </c>
      <c r="B178" t="n">
        <v>1</v>
      </c>
      <c r="C178" t="n">
        <v>2</v>
      </c>
      <c r="D178" t="inlineStr">
        <is>
          <t>BAF20</t>
        </is>
      </c>
      <c r="E178" t="inlineStr">
        <is>
          <t>WF</t>
        </is>
      </c>
      <c r="F178" t="n">
        <v>7.6</v>
      </c>
      <c r="G178" t="n">
        <v>37</v>
      </c>
      <c r="H178" t="n">
        <v>100</v>
      </c>
      <c r="I178" t="inlineStr">
        <is>
          <t>D</t>
        </is>
      </c>
      <c r="J178" t="inlineStr">
        <is>
          <t>S</t>
        </is>
      </c>
      <c r="K178" t="inlineStr"/>
      <c r="L178" t="inlineStr"/>
      <c r="M178" s="30">
        <f>0.005454*F178^2</f>
        <v/>
      </c>
      <c r="N178" s="31">
        <f>IF(D178="BAF20",20/M178,100)</f>
        <v/>
      </c>
      <c r="O178" s="31">
        <f>M178*N178</f>
        <v/>
      </c>
      <c r="P178" s="32">
        <f>0.0*N178</f>
        <v/>
      </c>
    </row>
    <row r="179">
      <c r="A179" t="inlineStr">
        <is>
          <t>U1-14</t>
        </is>
      </c>
      <c r="B179" t="n">
        <v>1</v>
      </c>
      <c r="C179" t="n">
        <v>3</v>
      </c>
      <c r="D179" t="inlineStr">
        <is>
          <t>BAF20</t>
        </is>
      </c>
      <c r="E179" t="inlineStr">
        <is>
          <t>WF</t>
        </is>
      </c>
      <c r="F179" t="n">
        <v>25</v>
      </c>
      <c r="G179" t="n">
        <v>96</v>
      </c>
      <c r="H179" t="n">
        <v>15</v>
      </c>
      <c r="I179" t="inlineStr">
        <is>
          <t>L</t>
        </is>
      </c>
      <c r="J179" t="inlineStr">
        <is>
          <t>D</t>
        </is>
      </c>
      <c r="K179" t="inlineStr"/>
      <c r="L179" t="inlineStr"/>
      <c r="M179" s="30">
        <f>0.005454*F179^2</f>
        <v/>
      </c>
      <c r="N179" s="31">
        <f>IF(D179="BAF20",20/M179,100)</f>
        <v/>
      </c>
      <c r="O179" s="31">
        <f>M179*N179</f>
        <v/>
      </c>
      <c r="P179" s="32">
        <f>541.5*N179</f>
        <v/>
      </c>
    </row>
    <row r="180">
      <c r="A180" t="inlineStr">
        <is>
          <t>U1-14</t>
        </is>
      </c>
      <c r="B180" t="n">
        <v>1</v>
      </c>
      <c r="C180" t="n">
        <v>4</v>
      </c>
      <c r="D180" t="inlineStr">
        <is>
          <t>BAF20</t>
        </is>
      </c>
      <c r="E180" t="inlineStr">
        <is>
          <t>WF</t>
        </is>
      </c>
      <c r="F180" t="n">
        <v>28.4</v>
      </c>
      <c r="G180" t="n">
        <v>116</v>
      </c>
      <c r="H180" t="n">
        <v>6</v>
      </c>
      <c r="I180" t="inlineStr">
        <is>
          <t>L</t>
        </is>
      </c>
      <c r="J180" t="inlineStr">
        <is>
          <t>D</t>
        </is>
      </c>
      <c r="K180" t="inlineStr"/>
      <c r="L180" t="inlineStr"/>
      <c r="M180" s="30">
        <f>0.005454*F180^2</f>
        <v/>
      </c>
      <c r="N180" s="31">
        <f>IF(D180="BAF20",20/M180,100)</f>
        <v/>
      </c>
      <c r="O180" s="31">
        <f>M180*N180</f>
        <v/>
      </c>
      <c r="P180" s="32">
        <f>989.2*N180</f>
        <v/>
      </c>
    </row>
    <row r="181">
      <c r="A181" t="inlineStr">
        <is>
          <t>U1-14</t>
        </is>
      </c>
      <c r="B181" t="n">
        <v>1</v>
      </c>
      <c r="C181" t="n">
        <v>5</v>
      </c>
      <c r="D181" t="inlineStr">
        <is>
          <t>BAF20</t>
        </is>
      </c>
      <c r="E181" t="inlineStr">
        <is>
          <t>IC</t>
        </is>
      </c>
      <c r="F181" t="n">
        <v>23.8</v>
      </c>
      <c r="G181" t="n">
        <v>73</v>
      </c>
      <c r="H181" t="n">
        <v>2</v>
      </c>
      <c r="I181" t="inlineStr">
        <is>
          <t>L</t>
        </is>
      </c>
      <c r="J181" t="inlineStr">
        <is>
          <t>C</t>
        </is>
      </c>
      <c r="K181" t="inlineStr"/>
      <c r="L181" t="inlineStr"/>
      <c r="M181" s="30">
        <f>0.005454*F181^2</f>
        <v/>
      </c>
      <c r="N181" s="31">
        <f>IF(D181="BAF20",20/M181,100)</f>
        <v/>
      </c>
      <c r="O181" s="31">
        <f>M181*N181</f>
        <v/>
      </c>
      <c r="P181" s="32">
        <f>421.2*N181</f>
        <v/>
      </c>
    </row>
    <row r="182">
      <c r="A182" t="inlineStr">
        <is>
          <t>U1-14</t>
        </is>
      </c>
      <c r="B182" t="n">
        <v>1</v>
      </c>
      <c r="C182" t="n">
        <v>6</v>
      </c>
      <c r="D182" t="inlineStr">
        <is>
          <t>BAF20</t>
        </is>
      </c>
      <c r="E182" t="inlineStr">
        <is>
          <t>WF</t>
        </is>
      </c>
      <c r="F182" t="n">
        <v>10.9</v>
      </c>
      <c r="G182" t="n">
        <v>53</v>
      </c>
      <c r="H182" t="n">
        <v>4</v>
      </c>
      <c r="I182" t="inlineStr">
        <is>
          <t>L</t>
        </is>
      </c>
      <c r="J182" t="inlineStr">
        <is>
          <t>S</t>
        </is>
      </c>
      <c r="K182" t="inlineStr">
        <is>
          <t>Y</t>
        </is>
      </c>
      <c r="L182" t="inlineStr"/>
      <c r="M182" s="30">
        <f>0.005454*F182^2</f>
        <v/>
      </c>
      <c r="N182" s="31">
        <f>IF(D182="BAF20",20/M182,100)</f>
        <v/>
      </c>
      <c r="O182" s="31">
        <f>M182*N182</f>
        <v/>
      </c>
      <c r="P182" s="32">
        <f>48.4*N182</f>
        <v/>
      </c>
    </row>
    <row r="183">
      <c r="A183" t="inlineStr">
        <is>
          <t>U1-14</t>
        </is>
      </c>
      <c r="B183" t="n">
        <v>1</v>
      </c>
      <c r="C183" t="n">
        <v>7</v>
      </c>
      <c r="D183" t="inlineStr">
        <is>
          <t>BAF20</t>
        </is>
      </c>
      <c r="E183" t="inlineStr">
        <is>
          <t>BO</t>
        </is>
      </c>
      <c r="F183" t="n">
        <v>10.5</v>
      </c>
      <c r="G183" t="n">
        <v>44</v>
      </c>
      <c r="H183" t="n">
        <v>32</v>
      </c>
      <c r="I183" t="inlineStr">
        <is>
          <t>L</t>
        </is>
      </c>
      <c r="J183" t="inlineStr">
        <is>
          <t>S</t>
        </is>
      </c>
      <c r="K183" t="inlineStr">
        <is>
          <t>Y</t>
        </is>
      </c>
      <c r="L183" t="inlineStr"/>
      <c r="M183" s="30">
        <f>0.005454*F183^2</f>
        <v/>
      </c>
      <c r="N183" s="31">
        <f>IF(D183="BAF20",20/M183,100)</f>
        <v/>
      </c>
      <c r="O183" s="31">
        <f>M183*N183</f>
        <v/>
      </c>
      <c r="P183" s="32">
        <f>23.7*N183</f>
        <v/>
      </c>
    </row>
    <row r="184">
      <c r="A184" t="inlineStr">
        <is>
          <t>U1-14</t>
        </is>
      </c>
      <c r="B184" t="n">
        <v>1</v>
      </c>
      <c r="C184" t="n">
        <v>8</v>
      </c>
      <c r="D184" t="inlineStr">
        <is>
          <t>BAF20</t>
        </is>
      </c>
      <c r="E184" t="inlineStr">
        <is>
          <t>WF</t>
        </is>
      </c>
      <c r="F184" t="n">
        <v>25.2</v>
      </c>
      <c r="G184" t="n">
        <v>109</v>
      </c>
      <c r="H184" t="n">
        <v>8</v>
      </c>
      <c r="I184" t="inlineStr">
        <is>
          <t>L</t>
        </is>
      </c>
      <c r="J184" t="inlineStr">
        <is>
          <t>D</t>
        </is>
      </c>
      <c r="K184" t="inlineStr"/>
      <c r="L184" t="inlineStr"/>
      <c r="M184" s="30">
        <f>0.005454*F184^2</f>
        <v/>
      </c>
      <c r="N184" s="31">
        <f>IF(D184="BAF20",20/M184,100)</f>
        <v/>
      </c>
      <c r="O184" s="31">
        <f>M184*N184</f>
        <v/>
      </c>
      <c r="P184" s="32">
        <f>678.5*N184</f>
        <v/>
      </c>
    </row>
    <row r="185">
      <c r="A185" t="inlineStr">
        <is>
          <t>U1-14</t>
        </is>
      </c>
      <c r="B185" t="n">
        <v>1</v>
      </c>
      <c r="C185" t="n">
        <v>9</v>
      </c>
      <c r="D185" t="inlineStr">
        <is>
          <t>BAF20</t>
        </is>
      </c>
      <c r="E185" t="inlineStr">
        <is>
          <t>DF</t>
        </is>
      </c>
      <c r="F185" t="n">
        <v>15</v>
      </c>
      <c r="G185" t="n">
        <v>71</v>
      </c>
      <c r="H185" t="n">
        <v>100</v>
      </c>
      <c r="I185" t="inlineStr">
        <is>
          <t>D</t>
        </is>
      </c>
      <c r="J185" t="inlineStr">
        <is>
          <t>I</t>
        </is>
      </c>
      <c r="K185" t="inlineStr"/>
      <c r="L185" t="inlineStr"/>
      <c r="M185" s="30">
        <f>0.005454*F185^2</f>
        <v/>
      </c>
      <c r="N185" s="31">
        <f>IF(D185="BAF20",20/M185,100)</f>
        <v/>
      </c>
      <c r="O185" s="31">
        <f>M185*N185</f>
        <v/>
      </c>
      <c r="P185" s="32">
        <f>0.0*N185</f>
        <v/>
      </c>
    </row>
    <row r="186">
      <c r="A186" t="inlineStr">
        <is>
          <t>U1-14</t>
        </is>
      </c>
      <c r="B186" t="n">
        <v>1</v>
      </c>
      <c r="C186" t="n">
        <v>10</v>
      </c>
      <c r="D186" t="inlineStr">
        <is>
          <t>BAF20</t>
        </is>
      </c>
      <c r="E186" t="inlineStr">
        <is>
          <t>DF</t>
        </is>
      </c>
      <c r="F186" t="n">
        <v>26.4</v>
      </c>
      <c r="G186" t="n">
        <v>108</v>
      </c>
      <c r="H186" t="n">
        <v>16</v>
      </c>
      <c r="I186" t="inlineStr">
        <is>
          <t>L</t>
        </is>
      </c>
      <c r="J186" t="inlineStr">
        <is>
          <t>D</t>
        </is>
      </c>
      <c r="K186" t="inlineStr"/>
      <c r="L186" t="inlineStr"/>
      <c r="M186" s="30">
        <f>0.005454*F186^2</f>
        <v/>
      </c>
      <c r="N186" s="31">
        <f>IF(D186="BAF20",20/M186,100)</f>
        <v/>
      </c>
      <c r="O186" s="31">
        <f>M186*N186</f>
        <v/>
      </c>
      <c r="P186" s="32">
        <f>687.7*N186</f>
        <v/>
      </c>
    </row>
    <row r="187">
      <c r="A187" t="inlineStr">
        <is>
          <t>U1-14</t>
        </is>
      </c>
      <c r="B187" t="n">
        <v>1</v>
      </c>
      <c r="C187" t="n">
        <v>11</v>
      </c>
      <c r="D187" t="inlineStr">
        <is>
          <t>BAF20</t>
        </is>
      </c>
      <c r="E187" t="inlineStr">
        <is>
          <t>DF</t>
        </is>
      </c>
      <c r="F187" t="n">
        <v>18.1</v>
      </c>
      <c r="G187" t="n">
        <v>81</v>
      </c>
      <c r="H187" t="n">
        <v>5</v>
      </c>
      <c r="I187" t="inlineStr">
        <is>
          <t>L</t>
        </is>
      </c>
      <c r="J187" t="inlineStr">
        <is>
          <t>I</t>
        </is>
      </c>
      <c r="K187" t="inlineStr"/>
      <c r="L187" t="inlineStr"/>
      <c r="M187" s="30">
        <f>0.005454*F187^2</f>
        <v/>
      </c>
      <c r="N187" s="31">
        <f>IF(D187="BAF20",20/M187,100)</f>
        <v/>
      </c>
      <c r="O187" s="31">
        <f>M187*N187</f>
        <v/>
      </c>
      <c r="P187" s="32">
        <f>235.4*N187</f>
        <v/>
      </c>
    </row>
    <row r="188">
      <c r="A188" t="inlineStr">
        <is>
          <t>U1-14</t>
        </is>
      </c>
      <c r="B188" t="n">
        <v>1</v>
      </c>
      <c r="C188" t="n">
        <v>12</v>
      </c>
      <c r="D188" t="inlineStr">
        <is>
          <t>BAF20</t>
        </is>
      </c>
      <c r="E188" t="inlineStr">
        <is>
          <t>SP</t>
        </is>
      </c>
      <c r="F188" t="n">
        <v>30.1</v>
      </c>
      <c r="G188" t="n">
        <v>125</v>
      </c>
      <c r="H188" t="n">
        <v>2</v>
      </c>
      <c r="I188" t="inlineStr">
        <is>
          <t>L</t>
        </is>
      </c>
      <c r="J188" t="inlineStr">
        <is>
          <t>D</t>
        </is>
      </c>
      <c r="K188" t="inlineStr"/>
      <c r="L188" t="inlineStr"/>
      <c r="M188" s="30">
        <f>0.005454*F188^2</f>
        <v/>
      </c>
      <c r="N188" s="31">
        <f>IF(D188="BAF20",20/M188,100)</f>
        <v/>
      </c>
      <c r="O188" s="31">
        <f>M188*N188</f>
        <v/>
      </c>
      <c r="P188" s="32">
        <f>1283.4*N188</f>
        <v/>
      </c>
    </row>
    <row r="189">
      <c r="A189" t="inlineStr">
        <is>
          <t>U1-14</t>
        </is>
      </c>
      <c r="B189" t="n">
        <v>1</v>
      </c>
      <c r="C189" t="n">
        <v>13</v>
      </c>
      <c r="D189" t="inlineStr">
        <is>
          <t>BAF20</t>
        </is>
      </c>
      <c r="E189" t="inlineStr">
        <is>
          <t>DF</t>
        </is>
      </c>
      <c r="F189" t="n">
        <v>22.2</v>
      </c>
      <c r="G189" t="n">
        <v>94</v>
      </c>
      <c r="H189" t="n">
        <v>9</v>
      </c>
      <c r="I189" t="inlineStr">
        <is>
          <t>L</t>
        </is>
      </c>
      <c r="J189" t="inlineStr">
        <is>
          <t>C</t>
        </is>
      </c>
      <c r="K189" t="inlineStr"/>
      <c r="L189" t="inlineStr"/>
      <c r="M189" s="30">
        <f>0.005454*F189^2</f>
        <v/>
      </c>
      <c r="N189" s="31">
        <f>IF(D189="BAF20",20/M189,100)</f>
        <v/>
      </c>
      <c r="O189" s="31">
        <f>M189*N189</f>
        <v/>
      </c>
      <c r="P189" s="32">
        <f>425.7*N189</f>
        <v/>
      </c>
    </row>
    <row r="190">
      <c r="A190" t="inlineStr">
        <is>
          <t>U1-14</t>
        </is>
      </c>
      <c r="B190" t="n">
        <v>1</v>
      </c>
      <c r="C190" t="n">
        <v>14</v>
      </c>
      <c r="D190" t="inlineStr">
        <is>
          <t>BAF20</t>
        </is>
      </c>
      <c r="E190" t="inlineStr">
        <is>
          <t>WF</t>
        </is>
      </c>
      <c r="F190" t="n">
        <v>24.9</v>
      </c>
      <c r="G190" t="n">
        <v>91</v>
      </c>
      <c r="H190" t="n">
        <v>13</v>
      </c>
      <c r="I190" t="inlineStr">
        <is>
          <t>L</t>
        </is>
      </c>
      <c r="J190" t="inlineStr">
        <is>
          <t>D</t>
        </is>
      </c>
      <c r="K190" t="inlineStr"/>
      <c r="L190" t="inlineStr"/>
      <c r="M190" s="30">
        <f>0.005454*F190^2</f>
        <v/>
      </c>
      <c r="N190" s="31">
        <f>IF(D190="BAF20",20/M190,100)</f>
        <v/>
      </c>
      <c r="O190" s="31">
        <f>M190*N190</f>
        <v/>
      </c>
      <c r="P190" s="32">
        <f>520.3*N190</f>
        <v/>
      </c>
    </row>
    <row r="191">
      <c r="A191" t="inlineStr">
        <is>
          <t>U1-14</t>
        </is>
      </c>
      <c r="B191" t="n">
        <v>1</v>
      </c>
      <c r="C191" t="n">
        <v>15</v>
      </c>
      <c r="D191" t="inlineStr">
        <is>
          <t>BAF20</t>
        </is>
      </c>
      <c r="E191" t="inlineStr">
        <is>
          <t>WF</t>
        </is>
      </c>
      <c r="F191" t="n">
        <v>9.699999999999999</v>
      </c>
      <c r="G191" t="n">
        <v>52</v>
      </c>
      <c r="H191" t="n">
        <v>11</v>
      </c>
      <c r="I191" t="inlineStr">
        <is>
          <t>L</t>
        </is>
      </c>
      <c r="J191" t="inlineStr">
        <is>
          <t>S</t>
        </is>
      </c>
      <c r="K191" t="inlineStr">
        <is>
          <t>Y</t>
        </is>
      </c>
      <c r="L191" t="inlineStr"/>
      <c r="M191" s="30">
        <f>0.005454*F191^2</f>
        <v/>
      </c>
      <c r="N191" s="31">
        <f>IF(D191="BAF20",20/M191,100)</f>
        <v/>
      </c>
      <c r="O191" s="31">
        <f>M191*N191</f>
        <v/>
      </c>
      <c r="P191" s="32">
        <f>0.0*N191</f>
        <v/>
      </c>
    </row>
    <row r="192">
      <c r="A192" t="inlineStr">
        <is>
          <t>U1-14</t>
        </is>
      </c>
      <c r="B192" t="n">
        <v>1</v>
      </c>
      <c r="C192" t="n">
        <v>16</v>
      </c>
      <c r="D192" t="inlineStr">
        <is>
          <t>BAF20</t>
        </is>
      </c>
      <c r="E192" t="inlineStr">
        <is>
          <t>WF</t>
        </is>
      </c>
      <c r="F192" t="n">
        <v>13.2</v>
      </c>
      <c r="G192" t="n">
        <v>66</v>
      </c>
      <c r="H192" t="n">
        <v>100</v>
      </c>
      <c r="I192" t="inlineStr">
        <is>
          <t>D</t>
        </is>
      </c>
      <c r="J192" t="inlineStr">
        <is>
          <t>S</t>
        </is>
      </c>
      <c r="K192" t="inlineStr"/>
      <c r="L192" t="inlineStr"/>
      <c r="M192" s="30">
        <f>0.005454*F192^2</f>
        <v/>
      </c>
      <c r="N192" s="31">
        <f>IF(D192="BAF20",20/M192,100)</f>
        <v/>
      </c>
      <c r="O192" s="31">
        <f>M192*N192</f>
        <v/>
      </c>
      <c r="P192" s="32">
        <f>0.0*N192</f>
        <v/>
      </c>
    </row>
    <row r="193">
      <c r="A193" t="inlineStr">
        <is>
          <t>U1-14</t>
        </is>
      </c>
      <c r="B193" t="n">
        <v>1</v>
      </c>
      <c r="C193" t="n">
        <v>17</v>
      </c>
      <c r="D193" t="inlineStr">
        <is>
          <t>BAF20</t>
        </is>
      </c>
      <c r="E193" t="inlineStr">
        <is>
          <t>SP</t>
        </is>
      </c>
      <c r="F193" t="n">
        <v>7.2</v>
      </c>
      <c r="G193" t="n">
        <v>50</v>
      </c>
      <c r="H193" t="n">
        <v>9</v>
      </c>
      <c r="I193" t="inlineStr">
        <is>
          <t>L</t>
        </is>
      </c>
      <c r="J193" t="inlineStr">
        <is>
          <t>S</t>
        </is>
      </c>
      <c r="K193" t="inlineStr"/>
      <c r="L193" t="inlineStr"/>
      <c r="M193" s="30">
        <f>0.005454*F193^2</f>
        <v/>
      </c>
      <c r="N193" s="31">
        <f>IF(D193="BAF20",20/M193,100)</f>
        <v/>
      </c>
      <c r="O193" s="31">
        <f>M193*N193</f>
        <v/>
      </c>
      <c r="P193" s="32">
        <f>0.0*N193</f>
        <v/>
      </c>
    </row>
    <row r="194">
      <c r="A194" t="inlineStr">
        <is>
          <t>U1-14</t>
        </is>
      </c>
      <c r="B194" t="n">
        <v>1</v>
      </c>
      <c r="C194" t="n">
        <v>18</v>
      </c>
      <c r="D194" t="inlineStr">
        <is>
          <t>FIX100</t>
        </is>
      </c>
      <c r="E194" t="inlineStr">
        <is>
          <t>BO</t>
        </is>
      </c>
      <c r="F194" t="n">
        <v>2.5</v>
      </c>
      <c r="G194" t="n">
        <v>15</v>
      </c>
      <c r="H194" t="n">
        <v>0</v>
      </c>
      <c r="I194" t="inlineStr">
        <is>
          <t>L</t>
        </is>
      </c>
      <c r="J194" t="inlineStr">
        <is>
          <t>S</t>
        </is>
      </c>
      <c r="K194" t="inlineStr"/>
      <c r="L194" t="inlineStr"/>
      <c r="M194" s="30">
        <f>0.005454*F194^2</f>
        <v/>
      </c>
      <c r="N194" s="31">
        <f>IF(D194="BAF20",20/M194,100)</f>
        <v/>
      </c>
      <c r="O194" s="31">
        <f>M194*N194</f>
        <v/>
      </c>
      <c r="P194" s="32">
        <f>0.0*N194</f>
        <v/>
      </c>
    </row>
    <row r="195">
      <c r="A195" t="inlineStr">
        <is>
          <t>U1-14</t>
        </is>
      </c>
      <c r="B195" t="n">
        <v>1</v>
      </c>
      <c r="C195" t="n">
        <v>19</v>
      </c>
      <c r="D195" t="inlineStr">
        <is>
          <t>FIX100</t>
        </is>
      </c>
      <c r="E195" t="inlineStr">
        <is>
          <t>WF</t>
        </is>
      </c>
      <c r="F195" t="n">
        <v>1.7</v>
      </c>
      <c r="G195" t="n">
        <v>10</v>
      </c>
      <c r="H195" t="n">
        <v>0</v>
      </c>
      <c r="I195" t="inlineStr">
        <is>
          <t>L</t>
        </is>
      </c>
      <c r="J195" t="inlineStr">
        <is>
          <t>S</t>
        </is>
      </c>
      <c r="K195" t="inlineStr"/>
      <c r="L195" t="inlineStr"/>
      <c r="M195" s="30">
        <f>0.005454*F195^2</f>
        <v/>
      </c>
      <c r="N195" s="31">
        <f>IF(D195="BAF20",20/M195,100)</f>
        <v/>
      </c>
      <c r="O195" s="31">
        <f>M195*N195</f>
        <v/>
      </c>
      <c r="P195" s="32">
        <f>0.0*N195</f>
        <v/>
      </c>
    </row>
    <row r="196">
      <c r="A196" t="inlineStr">
        <is>
          <t>U1-14</t>
        </is>
      </c>
      <c r="B196" t="n">
        <v>1</v>
      </c>
      <c r="C196" t="n">
        <v>20</v>
      </c>
      <c r="D196" t="inlineStr">
        <is>
          <t>FIX100</t>
        </is>
      </c>
      <c r="E196" t="inlineStr">
        <is>
          <t>DF</t>
        </is>
      </c>
      <c r="F196" t="n">
        <v>1.7</v>
      </c>
      <c r="G196" t="n">
        <v>12</v>
      </c>
      <c r="H196" t="n">
        <v>0</v>
      </c>
      <c r="I196" t="inlineStr">
        <is>
          <t>L</t>
        </is>
      </c>
      <c r="J196" t="inlineStr">
        <is>
          <t>S</t>
        </is>
      </c>
      <c r="K196" t="inlineStr"/>
      <c r="L196" t="inlineStr"/>
      <c r="M196" s="30">
        <f>0.005454*F196^2</f>
        <v/>
      </c>
      <c r="N196" s="31">
        <f>IF(D196="BAF20",20/M196,100)</f>
        <v/>
      </c>
      <c r="O196" s="31">
        <f>M196*N196</f>
        <v/>
      </c>
      <c r="P196" s="32">
        <f>0.0*N196</f>
        <v/>
      </c>
    </row>
    <row r="197">
      <c r="A197" t="inlineStr">
        <is>
          <t>U1-14</t>
        </is>
      </c>
      <c r="B197" t="n">
        <v>1</v>
      </c>
      <c r="C197" t="n">
        <v>21</v>
      </c>
      <c r="D197" t="inlineStr">
        <is>
          <t>FIX100</t>
        </is>
      </c>
      <c r="E197" t="inlineStr">
        <is>
          <t>DF</t>
        </is>
      </c>
      <c r="F197" t="n">
        <v>3.5</v>
      </c>
      <c r="G197" t="n">
        <v>23</v>
      </c>
      <c r="H197" t="n">
        <v>0</v>
      </c>
      <c r="I197" t="inlineStr">
        <is>
          <t>L</t>
        </is>
      </c>
      <c r="J197" t="inlineStr">
        <is>
          <t>S</t>
        </is>
      </c>
      <c r="K197" t="inlineStr"/>
      <c r="L197" t="inlineStr"/>
      <c r="M197" s="30">
        <f>0.005454*F197^2</f>
        <v/>
      </c>
      <c r="N197" s="31">
        <f>IF(D197="BAF20",20/M197,100)</f>
        <v/>
      </c>
      <c r="O197" s="31">
        <f>M197*N197</f>
        <v/>
      </c>
      <c r="P197" s="32">
        <f>0.0*N197</f>
        <v/>
      </c>
    </row>
    <row r="198">
      <c r="A198" t="inlineStr">
        <is>
          <t>U1-15</t>
        </is>
      </c>
      <c r="B198" t="n">
        <v>1</v>
      </c>
      <c r="C198" t="n">
        <v>1</v>
      </c>
      <c r="D198" t="inlineStr">
        <is>
          <t>BAF20</t>
        </is>
      </c>
      <c r="E198" t="inlineStr">
        <is>
          <t>DF</t>
        </is>
      </c>
      <c r="F198" t="n">
        <v>14.8</v>
      </c>
      <c r="G198" t="n">
        <v>72</v>
      </c>
      <c r="H198" t="n">
        <v>7</v>
      </c>
      <c r="I198" t="inlineStr">
        <is>
          <t>L</t>
        </is>
      </c>
      <c r="J198" t="inlineStr">
        <is>
          <t>I</t>
        </is>
      </c>
      <c r="K198" t="inlineStr"/>
      <c r="L198" t="inlineStr"/>
      <c r="M198" s="30">
        <f>0.005454*F198^2</f>
        <v/>
      </c>
      <c r="N198" s="31">
        <f>IF(D198="BAF20",20/M198,100)</f>
        <v/>
      </c>
      <c r="O198" s="31">
        <f>M198*N198</f>
        <v/>
      </c>
      <c r="P198" s="32">
        <f>128.0*N198</f>
        <v/>
      </c>
    </row>
    <row r="199">
      <c r="A199" t="inlineStr">
        <is>
          <t>U1-15</t>
        </is>
      </c>
      <c r="B199" t="n">
        <v>1</v>
      </c>
      <c r="C199" t="n">
        <v>2</v>
      </c>
      <c r="D199" t="inlineStr">
        <is>
          <t>BAF20</t>
        </is>
      </c>
      <c r="E199" t="inlineStr">
        <is>
          <t>SP</t>
        </is>
      </c>
      <c r="F199" t="n">
        <v>14</v>
      </c>
      <c r="G199" t="n">
        <v>74</v>
      </c>
      <c r="H199" t="n">
        <v>1</v>
      </c>
      <c r="I199" t="inlineStr">
        <is>
          <t>L</t>
        </is>
      </c>
      <c r="J199" t="inlineStr">
        <is>
          <t>I</t>
        </is>
      </c>
      <c r="K199" t="inlineStr"/>
      <c r="L199" t="inlineStr"/>
      <c r="M199" s="30">
        <f>0.005454*F199^2</f>
        <v/>
      </c>
      <c r="N199" s="31">
        <f>IF(D199="BAF20",20/M199,100)</f>
        <v/>
      </c>
      <c r="O199" s="31">
        <f>M199*N199</f>
        <v/>
      </c>
      <c r="P199" s="32">
        <f>123.1*N199</f>
        <v/>
      </c>
    </row>
    <row r="200">
      <c r="A200" t="inlineStr">
        <is>
          <t>U1-15</t>
        </is>
      </c>
      <c r="B200" t="n">
        <v>1</v>
      </c>
      <c r="C200" t="n">
        <v>3</v>
      </c>
      <c r="D200" t="inlineStr">
        <is>
          <t>BAF20</t>
        </is>
      </c>
      <c r="E200" t="inlineStr">
        <is>
          <t>IC</t>
        </is>
      </c>
      <c r="F200" t="n">
        <v>10.5</v>
      </c>
      <c r="G200" t="n">
        <v>42</v>
      </c>
      <c r="H200" t="n">
        <v>11</v>
      </c>
      <c r="I200" t="inlineStr">
        <is>
          <t>L</t>
        </is>
      </c>
      <c r="J200" t="inlineStr">
        <is>
          <t>S</t>
        </is>
      </c>
      <c r="K200" t="inlineStr">
        <is>
          <t>Y</t>
        </is>
      </c>
      <c r="L200" t="inlineStr"/>
      <c r="M200" s="30">
        <f>0.005454*F200^2</f>
        <v/>
      </c>
      <c r="N200" s="31">
        <f>IF(D200="BAF20",20/M200,100)</f>
        <v/>
      </c>
      <c r="O200" s="31">
        <f>M200*N200</f>
        <v/>
      </c>
      <c r="P200" s="32">
        <f>32.7*N200</f>
        <v/>
      </c>
    </row>
    <row r="201">
      <c r="A201" t="inlineStr">
        <is>
          <t>U1-15</t>
        </is>
      </c>
      <c r="B201" t="n">
        <v>1</v>
      </c>
      <c r="C201" t="n">
        <v>4</v>
      </c>
      <c r="D201" t="inlineStr">
        <is>
          <t>BAF20</t>
        </is>
      </c>
      <c r="E201" t="inlineStr">
        <is>
          <t>BO</t>
        </is>
      </c>
      <c r="F201" t="n">
        <v>27.6</v>
      </c>
      <c r="G201" t="n">
        <v>61</v>
      </c>
      <c r="H201" t="n">
        <v>100</v>
      </c>
      <c r="I201" t="inlineStr">
        <is>
          <t>D</t>
        </is>
      </c>
      <c r="J201" t="inlineStr">
        <is>
          <t>D</t>
        </is>
      </c>
      <c r="K201" t="inlineStr"/>
      <c r="L201" t="inlineStr"/>
      <c r="M201" s="30">
        <f>0.005454*F201^2</f>
        <v/>
      </c>
      <c r="N201" s="31">
        <f>IF(D201="BAF20",20/M201,100)</f>
        <v/>
      </c>
      <c r="O201" s="31">
        <f>M201*N201</f>
        <v/>
      </c>
      <c r="P201" s="32">
        <f>0.0*N201</f>
        <v/>
      </c>
    </row>
    <row r="202">
      <c r="A202" t="inlineStr">
        <is>
          <t>U1-15</t>
        </is>
      </c>
      <c r="B202" t="n">
        <v>1</v>
      </c>
      <c r="C202" t="n">
        <v>5</v>
      </c>
      <c r="D202" t="inlineStr">
        <is>
          <t>BAF20</t>
        </is>
      </c>
      <c r="E202" t="inlineStr">
        <is>
          <t>IC</t>
        </is>
      </c>
      <c r="F202" t="n">
        <v>22.2</v>
      </c>
      <c r="G202" t="n">
        <v>88</v>
      </c>
      <c r="H202" t="n">
        <v>5</v>
      </c>
      <c r="I202" t="inlineStr">
        <is>
          <t>L</t>
        </is>
      </c>
      <c r="J202" t="inlineStr">
        <is>
          <t>C</t>
        </is>
      </c>
      <c r="K202" t="inlineStr"/>
      <c r="L202" t="inlineStr"/>
      <c r="M202" s="30">
        <f>0.005454*F202^2</f>
        <v/>
      </c>
      <c r="N202" s="31">
        <f>IF(D202="BAF20",20/M202,100)</f>
        <v/>
      </c>
      <c r="O202" s="31">
        <f>M202*N202</f>
        <v/>
      </c>
      <c r="P202" s="32">
        <f>416.0*N202</f>
        <v/>
      </c>
    </row>
    <row r="203">
      <c r="A203" t="inlineStr">
        <is>
          <t>U1-15</t>
        </is>
      </c>
      <c r="B203" t="n">
        <v>1</v>
      </c>
      <c r="C203" t="n">
        <v>6</v>
      </c>
      <c r="D203" t="inlineStr">
        <is>
          <t>BAF20</t>
        </is>
      </c>
      <c r="E203" t="inlineStr">
        <is>
          <t>PP</t>
        </is>
      </c>
      <c r="F203" t="n">
        <v>5</v>
      </c>
      <c r="G203" t="n">
        <v>25</v>
      </c>
      <c r="H203" t="n">
        <v>9</v>
      </c>
      <c r="I203" t="inlineStr">
        <is>
          <t>L</t>
        </is>
      </c>
      <c r="J203" t="inlineStr">
        <is>
          <t>S</t>
        </is>
      </c>
      <c r="K203" t="inlineStr">
        <is>
          <t>Y</t>
        </is>
      </c>
      <c r="L203" t="inlineStr"/>
      <c r="M203" s="30">
        <f>0.005454*F203^2</f>
        <v/>
      </c>
      <c r="N203" s="31">
        <f>IF(D203="BAF20",20/M203,100)</f>
        <v/>
      </c>
      <c r="O203" s="31">
        <f>M203*N203</f>
        <v/>
      </c>
      <c r="P203" s="32">
        <f>0.0*N203</f>
        <v/>
      </c>
    </row>
    <row r="204">
      <c r="A204" t="inlineStr">
        <is>
          <t>U1-15</t>
        </is>
      </c>
      <c r="B204" t="n">
        <v>1</v>
      </c>
      <c r="C204" t="n">
        <v>7</v>
      </c>
      <c r="D204" t="inlineStr">
        <is>
          <t>BAF20</t>
        </is>
      </c>
      <c r="E204" t="inlineStr">
        <is>
          <t>PP</t>
        </is>
      </c>
      <c r="F204" t="n">
        <v>33.1</v>
      </c>
      <c r="G204" t="n">
        <v>108</v>
      </c>
      <c r="H204" t="n">
        <v>100</v>
      </c>
      <c r="I204" t="inlineStr">
        <is>
          <t>D</t>
        </is>
      </c>
      <c r="J204" t="inlineStr">
        <is>
          <t>D</t>
        </is>
      </c>
      <c r="K204" t="inlineStr"/>
      <c r="L204" t="inlineStr"/>
      <c r="M204" s="30">
        <f>0.005454*F204^2</f>
        <v/>
      </c>
      <c r="N204" s="31">
        <f>IF(D204="BAF20",20/M204,100)</f>
        <v/>
      </c>
      <c r="O204" s="31">
        <f>M204*N204</f>
        <v/>
      </c>
      <c r="P204" s="32">
        <f>0.0*N204</f>
        <v/>
      </c>
    </row>
    <row r="205">
      <c r="A205" t="inlineStr">
        <is>
          <t>U1-15</t>
        </is>
      </c>
      <c r="B205" t="n">
        <v>1</v>
      </c>
      <c r="C205" t="n">
        <v>8</v>
      </c>
      <c r="D205" t="inlineStr">
        <is>
          <t>BAF20</t>
        </is>
      </c>
      <c r="E205" t="inlineStr">
        <is>
          <t>PP</t>
        </is>
      </c>
      <c r="F205" t="n">
        <v>44.4</v>
      </c>
      <c r="G205" t="n">
        <v>152</v>
      </c>
      <c r="H205" t="n">
        <v>5</v>
      </c>
      <c r="I205" t="inlineStr">
        <is>
          <t>L</t>
        </is>
      </c>
      <c r="J205" t="inlineStr">
        <is>
          <t>D</t>
        </is>
      </c>
      <c r="K205" t="inlineStr"/>
      <c r="L205" t="inlineStr"/>
      <c r="M205" s="30">
        <f>0.005454*F205^2</f>
        <v/>
      </c>
      <c r="N205" s="31">
        <f>IF(D205="BAF20",20/M205,100)</f>
        <v/>
      </c>
      <c r="O205" s="31">
        <f>M205*N205</f>
        <v/>
      </c>
      <c r="P205" s="32">
        <f>3638.6*N205</f>
        <v/>
      </c>
    </row>
    <row r="206">
      <c r="A206" t="inlineStr">
        <is>
          <t>U1-15</t>
        </is>
      </c>
      <c r="B206" t="n">
        <v>1</v>
      </c>
      <c r="C206" t="n">
        <v>9</v>
      </c>
      <c r="D206" t="inlineStr">
        <is>
          <t>BAF20</t>
        </is>
      </c>
      <c r="E206" t="inlineStr">
        <is>
          <t>PP</t>
        </is>
      </c>
      <c r="F206" t="n">
        <v>34.1</v>
      </c>
      <c r="G206" t="n">
        <v>123</v>
      </c>
      <c r="H206" t="n">
        <v>0</v>
      </c>
      <c r="I206" t="inlineStr">
        <is>
          <t>L</t>
        </is>
      </c>
      <c r="J206" t="inlineStr">
        <is>
          <t>D</t>
        </is>
      </c>
      <c r="K206" t="inlineStr"/>
      <c r="L206" t="inlineStr"/>
      <c r="M206" s="30">
        <f>0.005454*F206^2</f>
        <v/>
      </c>
      <c r="N206" s="31">
        <f>IF(D206="BAF20",20/M206,100)</f>
        <v/>
      </c>
      <c r="O206" s="31">
        <f>M206*N206</f>
        <v/>
      </c>
      <c r="P206" s="32">
        <f>1760.0*N206</f>
        <v/>
      </c>
    </row>
    <row r="207">
      <c r="A207" t="inlineStr">
        <is>
          <t>U1-15</t>
        </is>
      </c>
      <c r="B207" t="n">
        <v>1</v>
      </c>
      <c r="C207" t="n">
        <v>10</v>
      </c>
      <c r="D207" t="inlineStr">
        <is>
          <t>BAF20</t>
        </is>
      </c>
      <c r="E207" t="inlineStr">
        <is>
          <t>DF</t>
        </is>
      </c>
      <c r="F207" t="n">
        <v>9.300000000000001</v>
      </c>
      <c r="G207" t="n">
        <v>50</v>
      </c>
      <c r="H207" t="n">
        <v>11</v>
      </c>
      <c r="I207" t="inlineStr">
        <is>
          <t>L</t>
        </is>
      </c>
      <c r="J207" t="inlineStr">
        <is>
          <t>S</t>
        </is>
      </c>
      <c r="K207" t="inlineStr">
        <is>
          <t>Y</t>
        </is>
      </c>
      <c r="L207" t="inlineStr"/>
      <c r="M207" s="30">
        <f>0.005454*F207^2</f>
        <v/>
      </c>
      <c r="N207" s="31">
        <f>IF(D207="BAF20",20/M207,100)</f>
        <v/>
      </c>
      <c r="O207" s="31">
        <f>M207*N207</f>
        <v/>
      </c>
      <c r="P207" s="32">
        <f>0.0*N207</f>
        <v/>
      </c>
    </row>
    <row r="208">
      <c r="A208" t="inlineStr">
        <is>
          <t>U1-15</t>
        </is>
      </c>
      <c r="B208" t="n">
        <v>1</v>
      </c>
      <c r="C208" t="n">
        <v>11</v>
      </c>
      <c r="D208" t="inlineStr">
        <is>
          <t>BAF20</t>
        </is>
      </c>
      <c r="E208" t="inlineStr">
        <is>
          <t>PP</t>
        </is>
      </c>
      <c r="F208" t="n">
        <v>12.5</v>
      </c>
      <c r="G208" t="n">
        <v>64</v>
      </c>
      <c r="H208" t="n">
        <v>2</v>
      </c>
      <c r="I208" t="inlineStr">
        <is>
          <t>L</t>
        </is>
      </c>
      <c r="J208" t="inlineStr">
        <is>
          <t>S</t>
        </is>
      </c>
      <c r="K208" t="inlineStr">
        <is>
          <t>Y</t>
        </is>
      </c>
      <c r="L208" t="inlineStr"/>
      <c r="M208" s="30">
        <f>0.005454*F208^2</f>
        <v/>
      </c>
      <c r="N208" s="31">
        <f>IF(D208="BAF20",20/M208,100)</f>
        <v/>
      </c>
      <c r="O208" s="31">
        <f>M208*N208</f>
        <v/>
      </c>
      <c r="P208" s="32">
        <f>81.3*N208</f>
        <v/>
      </c>
    </row>
    <row r="209">
      <c r="A209" t="inlineStr">
        <is>
          <t>U1-15</t>
        </is>
      </c>
      <c r="B209" t="n">
        <v>1</v>
      </c>
      <c r="C209" t="n">
        <v>12</v>
      </c>
      <c r="D209" t="inlineStr">
        <is>
          <t>BAF20</t>
        </is>
      </c>
      <c r="E209" t="inlineStr">
        <is>
          <t>IC</t>
        </is>
      </c>
      <c r="F209" t="n">
        <v>28.7</v>
      </c>
      <c r="G209" t="n">
        <v>89</v>
      </c>
      <c r="H209" t="n">
        <v>1</v>
      </c>
      <c r="I209" t="inlineStr">
        <is>
          <t>L</t>
        </is>
      </c>
      <c r="J209" t="inlineStr">
        <is>
          <t>D</t>
        </is>
      </c>
      <c r="K209" t="inlineStr"/>
      <c r="L209" t="inlineStr"/>
      <c r="M209" s="30">
        <f>0.005454*F209^2</f>
        <v/>
      </c>
      <c r="N209" s="31">
        <f>IF(D209="BAF20",20/M209,100)</f>
        <v/>
      </c>
      <c r="O209" s="31">
        <f>M209*N209</f>
        <v/>
      </c>
      <c r="P209" s="32">
        <f>820.4*N209</f>
        <v/>
      </c>
    </row>
    <row r="210">
      <c r="A210" t="inlineStr">
        <is>
          <t>U1-16</t>
        </is>
      </c>
      <c r="B210" t="n">
        <v>1</v>
      </c>
      <c r="C210" t="n">
        <v>1</v>
      </c>
      <c r="D210" t="inlineStr">
        <is>
          <t>BAF20</t>
        </is>
      </c>
      <c r="E210" t="inlineStr">
        <is>
          <t>BO</t>
        </is>
      </c>
      <c r="F210" t="n">
        <v>15.1</v>
      </c>
      <c r="G210" t="n">
        <v>52</v>
      </c>
      <c r="H210" t="n">
        <v>19</v>
      </c>
      <c r="I210" t="inlineStr">
        <is>
          <t>L</t>
        </is>
      </c>
      <c r="J210" t="inlineStr">
        <is>
          <t>I</t>
        </is>
      </c>
      <c r="K210" t="inlineStr"/>
      <c r="L210" t="inlineStr"/>
      <c r="M210" s="30">
        <f>0.005454*F210^2</f>
        <v/>
      </c>
      <c r="N210" s="31">
        <f>IF(D210="BAF20",20/M210,100)</f>
        <v/>
      </c>
      <c r="O210" s="31">
        <f>M210*N210</f>
        <v/>
      </c>
      <c r="P210" s="32">
        <f>76.3*N210</f>
        <v/>
      </c>
    </row>
    <row r="211">
      <c r="A211" t="inlineStr">
        <is>
          <t>U1-16</t>
        </is>
      </c>
      <c r="B211" t="n">
        <v>1</v>
      </c>
      <c r="C211" t="n">
        <v>2</v>
      </c>
      <c r="D211" t="inlineStr">
        <is>
          <t>BAF20</t>
        </is>
      </c>
      <c r="E211" t="inlineStr">
        <is>
          <t>IC</t>
        </is>
      </c>
      <c r="F211" t="n">
        <v>30.2</v>
      </c>
      <c r="G211" t="n">
        <v>101</v>
      </c>
      <c r="H211" t="n">
        <v>3</v>
      </c>
      <c r="I211" t="inlineStr">
        <is>
          <t>L</t>
        </is>
      </c>
      <c r="J211" t="inlineStr">
        <is>
          <t>D</t>
        </is>
      </c>
      <c r="K211" t="inlineStr"/>
      <c r="L211" t="inlineStr"/>
      <c r="M211" s="30">
        <f>0.005454*F211^2</f>
        <v/>
      </c>
      <c r="N211" s="31">
        <f>IF(D211="BAF20",20/M211,100)</f>
        <v/>
      </c>
      <c r="O211" s="31">
        <f>M211*N211</f>
        <v/>
      </c>
      <c r="P211" s="32">
        <f>1034.9*N211</f>
        <v/>
      </c>
    </row>
    <row r="212">
      <c r="A212" t="inlineStr">
        <is>
          <t>U1-16</t>
        </is>
      </c>
      <c r="B212" t="n">
        <v>1</v>
      </c>
      <c r="C212" t="n">
        <v>3</v>
      </c>
      <c r="D212" t="inlineStr">
        <is>
          <t>BAF20</t>
        </is>
      </c>
      <c r="E212" t="inlineStr">
        <is>
          <t>PP</t>
        </is>
      </c>
      <c r="F212" t="n">
        <v>30.1</v>
      </c>
      <c r="G212" t="n">
        <v>115</v>
      </c>
      <c r="H212" t="n">
        <v>3</v>
      </c>
      <c r="I212" t="inlineStr">
        <is>
          <t>L</t>
        </is>
      </c>
      <c r="J212" t="inlineStr">
        <is>
          <t>D</t>
        </is>
      </c>
      <c r="K212" t="inlineStr"/>
      <c r="L212" t="inlineStr"/>
      <c r="M212" s="30">
        <f>0.005454*F212^2</f>
        <v/>
      </c>
      <c r="N212" s="31">
        <f>IF(D212="BAF20",20/M212,100)</f>
        <v/>
      </c>
      <c r="O212" s="31">
        <f>M212*N212</f>
        <v/>
      </c>
      <c r="P212" s="32">
        <f>1168.7*N212</f>
        <v/>
      </c>
    </row>
    <row r="213">
      <c r="A213" t="inlineStr">
        <is>
          <t>U1-16</t>
        </is>
      </c>
      <c r="B213" t="n">
        <v>1</v>
      </c>
      <c r="C213" t="n">
        <v>4</v>
      </c>
      <c r="D213" t="inlineStr">
        <is>
          <t>BAF20</t>
        </is>
      </c>
      <c r="E213" t="inlineStr">
        <is>
          <t>SP</t>
        </is>
      </c>
      <c r="F213" t="n">
        <v>11.4</v>
      </c>
      <c r="G213" t="n">
        <v>62</v>
      </c>
      <c r="H213" t="n">
        <v>2</v>
      </c>
      <c r="I213" t="inlineStr">
        <is>
          <t>L</t>
        </is>
      </c>
      <c r="J213" t="inlineStr">
        <is>
          <t>S</t>
        </is>
      </c>
      <c r="K213" t="inlineStr"/>
      <c r="L213" t="inlineStr"/>
      <c r="M213" s="30">
        <f>0.005454*F213^2</f>
        <v/>
      </c>
      <c r="N213" s="31">
        <f>IF(D213="BAF20",20/M213,100)</f>
        <v/>
      </c>
      <c r="O213" s="31">
        <f>M213*N213</f>
        <v/>
      </c>
      <c r="P213" s="32">
        <f>63.9*N213</f>
        <v/>
      </c>
    </row>
    <row r="214">
      <c r="A214" t="inlineStr">
        <is>
          <t>U1-16</t>
        </is>
      </c>
      <c r="B214" t="n">
        <v>1</v>
      </c>
      <c r="C214" t="n">
        <v>5</v>
      </c>
      <c r="D214" t="inlineStr">
        <is>
          <t>BAF20</t>
        </is>
      </c>
      <c r="E214" t="inlineStr">
        <is>
          <t>PP</t>
        </is>
      </c>
      <c r="F214" t="n">
        <v>5.3</v>
      </c>
      <c r="G214" t="n">
        <v>30</v>
      </c>
      <c r="H214" t="n">
        <v>6</v>
      </c>
      <c r="I214" t="inlineStr">
        <is>
          <t>L</t>
        </is>
      </c>
      <c r="J214" t="inlineStr">
        <is>
          <t>S</t>
        </is>
      </c>
      <c r="K214" t="inlineStr">
        <is>
          <t>Y</t>
        </is>
      </c>
      <c r="L214" t="inlineStr"/>
      <c r="M214" s="30">
        <f>0.005454*F214^2</f>
        <v/>
      </c>
      <c r="N214" s="31">
        <f>IF(D214="BAF20",20/M214,100)</f>
        <v/>
      </c>
      <c r="O214" s="31">
        <f>M214*N214</f>
        <v/>
      </c>
      <c r="P214" s="32">
        <f>0.0*N214</f>
        <v/>
      </c>
    </row>
    <row r="215">
      <c r="A215" t="inlineStr">
        <is>
          <t>U1-16</t>
        </is>
      </c>
      <c r="B215" t="n">
        <v>1</v>
      </c>
      <c r="C215" t="n">
        <v>6</v>
      </c>
      <c r="D215" t="inlineStr">
        <is>
          <t>BAF20</t>
        </is>
      </c>
      <c r="E215" t="inlineStr">
        <is>
          <t>DF</t>
        </is>
      </c>
      <c r="F215" t="n">
        <v>19.4</v>
      </c>
      <c r="G215" t="n">
        <v>91</v>
      </c>
      <c r="H215" t="n">
        <v>2</v>
      </c>
      <c r="I215" t="inlineStr">
        <is>
          <t>L</t>
        </is>
      </c>
      <c r="J215" t="inlineStr">
        <is>
          <t>C</t>
        </is>
      </c>
      <c r="K215" t="inlineStr"/>
      <c r="L215" t="inlineStr"/>
      <c r="M215" s="30">
        <f>0.005454*F215^2</f>
        <v/>
      </c>
      <c r="N215" s="31">
        <f>IF(D215="BAF20",20/M215,100)</f>
        <v/>
      </c>
      <c r="O215" s="31">
        <f>M215*N215</f>
        <v/>
      </c>
      <c r="P215" s="32">
        <f>321.5*N215</f>
        <v/>
      </c>
    </row>
    <row r="216">
      <c r="A216" t="inlineStr">
        <is>
          <t>U1-16</t>
        </is>
      </c>
      <c r="B216" t="n">
        <v>1</v>
      </c>
      <c r="C216" t="n">
        <v>7</v>
      </c>
      <c r="D216" t="inlineStr">
        <is>
          <t>BAF20</t>
        </is>
      </c>
      <c r="E216" t="inlineStr">
        <is>
          <t>WF</t>
        </is>
      </c>
      <c r="F216" t="n">
        <v>12.7</v>
      </c>
      <c r="G216" t="n">
        <v>65</v>
      </c>
      <c r="H216" t="n">
        <v>3</v>
      </c>
      <c r="I216" t="inlineStr">
        <is>
          <t>L</t>
        </is>
      </c>
      <c r="J216" t="inlineStr">
        <is>
          <t>S</t>
        </is>
      </c>
      <c r="K216" t="inlineStr">
        <is>
          <t>Y</t>
        </is>
      </c>
      <c r="L216" t="inlineStr"/>
      <c r="M216" s="30">
        <f>0.005454*F216^2</f>
        <v/>
      </c>
      <c r="N216" s="31">
        <f>IF(D216="BAF20",20/M216,100)</f>
        <v/>
      </c>
      <c r="O216" s="31">
        <f>M216*N216</f>
        <v/>
      </c>
      <c r="P216" s="32">
        <f>84.8*N216</f>
        <v/>
      </c>
    </row>
    <row r="217">
      <c r="A217" t="inlineStr">
        <is>
          <t>U1-16</t>
        </is>
      </c>
      <c r="B217" t="n">
        <v>1</v>
      </c>
      <c r="C217" t="n">
        <v>8</v>
      </c>
      <c r="D217" t="inlineStr">
        <is>
          <t>BAF20</t>
        </is>
      </c>
      <c r="E217" t="inlineStr">
        <is>
          <t>WF</t>
        </is>
      </c>
      <c r="F217" t="n">
        <v>12.2</v>
      </c>
      <c r="G217" t="n">
        <v>53</v>
      </c>
      <c r="H217" t="n">
        <v>4</v>
      </c>
      <c r="I217" t="inlineStr">
        <is>
          <t>L</t>
        </is>
      </c>
      <c r="J217" t="inlineStr">
        <is>
          <t>S</t>
        </is>
      </c>
      <c r="K217" t="inlineStr">
        <is>
          <t>Y</t>
        </is>
      </c>
      <c r="L217" t="inlineStr"/>
      <c r="M217" s="30">
        <f>0.005454*F217^2</f>
        <v/>
      </c>
      <c r="N217" s="31">
        <f>IF(D217="BAF20",20/M217,100)</f>
        <v/>
      </c>
      <c r="O217" s="31">
        <f>M217*N217</f>
        <v/>
      </c>
      <c r="P217" s="32">
        <f>62.4*N217</f>
        <v/>
      </c>
    </row>
    <row r="218">
      <c r="A218" t="inlineStr">
        <is>
          <t>U1-16</t>
        </is>
      </c>
      <c r="B218" t="n">
        <v>1</v>
      </c>
      <c r="C218" t="n">
        <v>9</v>
      </c>
      <c r="D218" t="inlineStr">
        <is>
          <t>BAF20</t>
        </is>
      </c>
      <c r="E218" t="inlineStr">
        <is>
          <t>PP</t>
        </is>
      </c>
      <c r="F218" t="n">
        <v>13.4</v>
      </c>
      <c r="G218" t="n">
        <v>70</v>
      </c>
      <c r="H218" t="n">
        <v>1</v>
      </c>
      <c r="I218" t="inlineStr">
        <is>
          <t>L</t>
        </is>
      </c>
      <c r="J218" t="inlineStr">
        <is>
          <t>I</t>
        </is>
      </c>
      <c r="K218" t="inlineStr">
        <is>
          <t>Y</t>
        </is>
      </c>
      <c r="L218" t="inlineStr"/>
      <c r="M218" s="30">
        <f>0.005454*F218^2</f>
        <v/>
      </c>
      <c r="N218" s="31">
        <f>IF(D218="BAF20",20/M218,100)</f>
        <v/>
      </c>
      <c r="O218" s="31">
        <f>M218*N218</f>
        <v/>
      </c>
      <c r="P218" s="32">
        <f>105.3*N218</f>
        <v/>
      </c>
    </row>
    <row r="219">
      <c r="A219" t="inlineStr">
        <is>
          <t>U1-16</t>
        </is>
      </c>
      <c r="B219" t="n">
        <v>1</v>
      </c>
      <c r="C219" t="n">
        <v>10</v>
      </c>
      <c r="D219" t="inlineStr">
        <is>
          <t>BAF20</t>
        </is>
      </c>
      <c r="E219" t="inlineStr">
        <is>
          <t>BO</t>
        </is>
      </c>
      <c r="F219" t="n">
        <v>5</v>
      </c>
      <c r="G219" t="n">
        <v>23</v>
      </c>
      <c r="H219" t="n">
        <v>17</v>
      </c>
      <c r="I219" t="inlineStr">
        <is>
          <t>L</t>
        </is>
      </c>
      <c r="J219" t="inlineStr">
        <is>
          <t>S</t>
        </is>
      </c>
      <c r="K219" t="inlineStr">
        <is>
          <t>Y</t>
        </is>
      </c>
      <c r="L219" t="inlineStr"/>
      <c r="M219" s="30">
        <f>0.005454*F219^2</f>
        <v/>
      </c>
      <c r="N219" s="31">
        <f>IF(D219="BAF20",20/M219,100)</f>
        <v/>
      </c>
      <c r="O219" s="31">
        <f>M219*N219</f>
        <v/>
      </c>
      <c r="P219" s="32">
        <f>0.0*N219</f>
        <v/>
      </c>
    </row>
    <row r="220">
      <c r="A220" t="inlineStr">
        <is>
          <t>U1-16</t>
        </is>
      </c>
      <c r="B220" t="n">
        <v>1</v>
      </c>
      <c r="C220" t="n">
        <v>11</v>
      </c>
      <c r="D220" t="inlineStr">
        <is>
          <t>FIX100</t>
        </is>
      </c>
      <c r="E220" t="inlineStr">
        <is>
          <t>PP</t>
        </is>
      </c>
      <c r="F220" t="n">
        <v>4.4</v>
      </c>
      <c r="G220" t="n">
        <v>25</v>
      </c>
      <c r="H220" t="n">
        <v>0</v>
      </c>
      <c r="I220" t="inlineStr">
        <is>
          <t>L</t>
        </is>
      </c>
      <c r="J220" t="inlineStr">
        <is>
          <t>S</t>
        </is>
      </c>
      <c r="K220" t="inlineStr"/>
      <c r="L220" t="inlineStr"/>
      <c r="M220" s="30">
        <f>0.005454*F220^2</f>
        <v/>
      </c>
      <c r="N220" s="31">
        <f>IF(D220="BAF20",20/M220,100)</f>
        <v/>
      </c>
      <c r="O220" s="31">
        <f>M220*N220</f>
        <v/>
      </c>
      <c r="P220" s="32">
        <f>0.0*N220</f>
        <v/>
      </c>
    </row>
    <row r="221">
      <c r="A221" t="inlineStr">
        <is>
          <t>U1-16</t>
        </is>
      </c>
      <c r="B221" t="n">
        <v>1</v>
      </c>
      <c r="C221" t="n">
        <v>12</v>
      </c>
      <c r="D221" t="inlineStr">
        <is>
          <t>FIX100</t>
        </is>
      </c>
      <c r="E221" t="inlineStr">
        <is>
          <t>WF</t>
        </is>
      </c>
      <c r="F221" t="n">
        <v>2.6</v>
      </c>
      <c r="G221" t="n">
        <v>14</v>
      </c>
      <c r="H221" t="n">
        <v>0</v>
      </c>
      <c r="I221" t="inlineStr">
        <is>
          <t>L</t>
        </is>
      </c>
      <c r="J221" t="inlineStr">
        <is>
          <t>S</t>
        </is>
      </c>
      <c r="K221" t="inlineStr"/>
      <c r="L221" t="inlineStr"/>
      <c r="M221" s="30">
        <f>0.005454*F221^2</f>
        <v/>
      </c>
      <c r="N221" s="31">
        <f>IF(D221="BAF20",20/M221,100)</f>
        <v/>
      </c>
      <c r="O221" s="31">
        <f>M221*N221</f>
        <v/>
      </c>
      <c r="P221" s="32">
        <f>0.0*N221</f>
        <v/>
      </c>
    </row>
    <row r="222">
      <c r="A222" t="inlineStr">
        <is>
          <t>U1-17</t>
        </is>
      </c>
      <c r="B222" t="n">
        <v>1</v>
      </c>
      <c r="C222" t="n">
        <v>1</v>
      </c>
      <c r="D222" t="inlineStr">
        <is>
          <t>BAF20</t>
        </is>
      </c>
      <c r="E222" t="inlineStr">
        <is>
          <t>WF</t>
        </is>
      </c>
      <c r="F222" t="n">
        <v>14.2</v>
      </c>
      <c r="G222" t="n">
        <v>67</v>
      </c>
      <c r="H222" t="n">
        <v>6</v>
      </c>
      <c r="I222" t="inlineStr">
        <is>
          <t>L</t>
        </is>
      </c>
      <c r="J222" t="inlineStr">
        <is>
          <t>I</t>
        </is>
      </c>
      <c r="K222" t="inlineStr">
        <is>
          <t>Y</t>
        </is>
      </c>
      <c r="L222" t="inlineStr"/>
      <c r="M222" s="30">
        <f>0.005454*F222^2</f>
        <v/>
      </c>
      <c r="N222" s="31">
        <f>IF(D222="BAF20",20/M222,100)</f>
        <v/>
      </c>
      <c r="O222" s="31">
        <f>M222*N222</f>
        <v/>
      </c>
      <c r="P222" s="32">
        <f>109.4*N222</f>
        <v/>
      </c>
    </row>
    <row r="223">
      <c r="A223" t="inlineStr">
        <is>
          <t>U1-17</t>
        </is>
      </c>
      <c r="B223" t="n">
        <v>1</v>
      </c>
      <c r="C223" t="n">
        <v>2</v>
      </c>
      <c r="D223" t="inlineStr">
        <is>
          <t>BAF20</t>
        </is>
      </c>
      <c r="E223" t="inlineStr">
        <is>
          <t>PP</t>
        </is>
      </c>
      <c r="F223" t="n">
        <v>6.5</v>
      </c>
      <c r="G223" t="n">
        <v>37</v>
      </c>
      <c r="H223" t="n">
        <v>0</v>
      </c>
      <c r="I223" t="inlineStr">
        <is>
          <t>L</t>
        </is>
      </c>
      <c r="J223" t="inlineStr">
        <is>
          <t>S</t>
        </is>
      </c>
      <c r="K223" t="inlineStr">
        <is>
          <t>Y</t>
        </is>
      </c>
      <c r="L223" t="inlineStr"/>
      <c r="M223" s="30">
        <f>0.005454*F223^2</f>
        <v/>
      </c>
      <c r="N223" s="31">
        <f>IF(D223="BAF20",20/M223,100)</f>
        <v/>
      </c>
      <c r="O223" s="31">
        <f>M223*N223</f>
        <v/>
      </c>
      <c r="P223" s="32">
        <f>0.0*N223</f>
        <v/>
      </c>
    </row>
    <row r="224">
      <c r="A224" t="inlineStr">
        <is>
          <t>U1-17</t>
        </is>
      </c>
      <c r="B224" t="n">
        <v>1</v>
      </c>
      <c r="C224" t="n">
        <v>3</v>
      </c>
      <c r="D224" t="inlineStr">
        <is>
          <t>BAF20</t>
        </is>
      </c>
      <c r="E224" t="inlineStr">
        <is>
          <t>DF</t>
        </is>
      </c>
      <c r="F224" t="n">
        <v>6.5</v>
      </c>
      <c r="G224" t="n">
        <v>39</v>
      </c>
      <c r="H224" t="n">
        <v>8</v>
      </c>
      <c r="I224" t="inlineStr">
        <is>
          <t>L</t>
        </is>
      </c>
      <c r="J224" t="inlineStr">
        <is>
          <t>S</t>
        </is>
      </c>
      <c r="K224" t="inlineStr">
        <is>
          <t>Y</t>
        </is>
      </c>
      <c r="L224" t="inlineStr"/>
      <c r="M224" s="30">
        <f>0.005454*F224^2</f>
        <v/>
      </c>
      <c r="N224" s="31">
        <f>IF(D224="BAF20",20/M224,100)</f>
        <v/>
      </c>
      <c r="O224" s="31">
        <f>M224*N224</f>
        <v/>
      </c>
      <c r="P224" s="32">
        <f>0.0*N224</f>
        <v/>
      </c>
    </row>
    <row r="225">
      <c r="A225" t="inlineStr">
        <is>
          <t>U1-17</t>
        </is>
      </c>
      <c r="B225" t="n">
        <v>1</v>
      </c>
      <c r="C225" t="n">
        <v>4</v>
      </c>
      <c r="D225" t="inlineStr">
        <is>
          <t>BAF20</t>
        </is>
      </c>
      <c r="E225" t="inlineStr">
        <is>
          <t>WF</t>
        </is>
      </c>
      <c r="F225" t="n">
        <v>10.2</v>
      </c>
      <c r="G225" t="n">
        <v>54</v>
      </c>
      <c r="H225" t="n">
        <v>9</v>
      </c>
      <c r="I225" t="inlineStr">
        <is>
          <t>L</t>
        </is>
      </c>
      <c r="J225" t="inlineStr">
        <is>
          <t>S</t>
        </is>
      </c>
      <c r="K225" t="inlineStr">
        <is>
          <t>Y</t>
        </is>
      </c>
      <c r="L225" t="inlineStr"/>
      <c r="M225" s="30">
        <f>0.005454*F225^2</f>
        <v/>
      </c>
      <c r="N225" s="31">
        <f>IF(D225="BAF20",20/M225,100)</f>
        <v/>
      </c>
      <c r="O225" s="31">
        <f>M225*N225</f>
        <v/>
      </c>
      <c r="P225" s="32">
        <f>40.2*N225</f>
        <v/>
      </c>
    </row>
    <row r="226">
      <c r="A226" t="inlineStr">
        <is>
          <t>U1-17</t>
        </is>
      </c>
      <c r="B226" t="n">
        <v>1</v>
      </c>
      <c r="C226" t="n">
        <v>5</v>
      </c>
      <c r="D226" t="inlineStr">
        <is>
          <t>BAF20</t>
        </is>
      </c>
      <c r="E226" t="inlineStr">
        <is>
          <t>IC</t>
        </is>
      </c>
      <c r="F226" t="n">
        <v>18.5</v>
      </c>
      <c r="G226" t="n">
        <v>79</v>
      </c>
      <c r="H226" t="n">
        <v>100</v>
      </c>
      <c r="I226" t="inlineStr">
        <is>
          <t>D</t>
        </is>
      </c>
      <c r="J226" t="inlineStr">
        <is>
          <t>I</t>
        </is>
      </c>
      <c r="K226" t="inlineStr"/>
      <c r="L226" t="inlineStr"/>
      <c r="M226" s="30">
        <f>0.005454*F226^2</f>
        <v/>
      </c>
      <c r="N226" s="31">
        <f>IF(D226="BAF20",20/M226,100)</f>
        <v/>
      </c>
      <c r="O226" s="31">
        <f>M226*N226</f>
        <v/>
      </c>
      <c r="P226" s="32">
        <f>0.0*N226</f>
        <v/>
      </c>
    </row>
    <row r="227">
      <c r="A227" t="inlineStr">
        <is>
          <t>U1-17</t>
        </is>
      </c>
      <c r="B227" t="n">
        <v>1</v>
      </c>
      <c r="C227" t="n">
        <v>6</v>
      </c>
      <c r="D227" t="inlineStr">
        <is>
          <t>BAF20</t>
        </is>
      </c>
      <c r="E227" t="inlineStr">
        <is>
          <t>PP</t>
        </is>
      </c>
      <c r="F227" t="n">
        <v>5.8</v>
      </c>
      <c r="G227" t="n">
        <v>33</v>
      </c>
      <c r="H227" t="n">
        <v>0</v>
      </c>
      <c r="I227" t="inlineStr">
        <is>
          <t>L</t>
        </is>
      </c>
      <c r="J227" t="inlineStr">
        <is>
          <t>S</t>
        </is>
      </c>
      <c r="K227" t="inlineStr">
        <is>
          <t>Y</t>
        </is>
      </c>
      <c r="L227" t="inlineStr"/>
      <c r="M227" s="30">
        <f>0.005454*F227^2</f>
        <v/>
      </c>
      <c r="N227" s="31">
        <f>IF(D227="BAF20",20/M227,100)</f>
        <v/>
      </c>
      <c r="O227" s="31">
        <f>M227*N227</f>
        <v/>
      </c>
      <c r="P227" s="32">
        <f>0.0*N227</f>
        <v/>
      </c>
    </row>
    <row r="228">
      <c r="A228" t="inlineStr">
        <is>
          <t>U1-17</t>
        </is>
      </c>
      <c r="B228" t="n">
        <v>1</v>
      </c>
      <c r="C228" t="n">
        <v>7</v>
      </c>
      <c r="D228" t="inlineStr">
        <is>
          <t>BAF20</t>
        </is>
      </c>
      <c r="E228" t="inlineStr">
        <is>
          <t>IC</t>
        </is>
      </c>
      <c r="F228" t="n">
        <v>7.6</v>
      </c>
      <c r="G228" t="n">
        <v>28</v>
      </c>
      <c r="H228" t="n">
        <v>12</v>
      </c>
      <c r="I228" t="inlineStr">
        <is>
          <t>L</t>
        </is>
      </c>
      <c r="J228" t="inlineStr">
        <is>
          <t>S</t>
        </is>
      </c>
      <c r="K228" t="inlineStr">
        <is>
          <t>Y</t>
        </is>
      </c>
      <c r="L228" t="inlineStr"/>
      <c r="M228" s="30">
        <f>0.005454*F228^2</f>
        <v/>
      </c>
      <c r="N228" s="31">
        <f>IF(D228="BAF20",20/M228,100)</f>
        <v/>
      </c>
      <c r="O228" s="31">
        <f>M228*N228</f>
        <v/>
      </c>
      <c r="P228" s="32">
        <f>0.0*N228</f>
        <v/>
      </c>
    </row>
    <row r="229">
      <c r="A229" t="inlineStr">
        <is>
          <t>U1-17</t>
        </is>
      </c>
      <c r="B229" t="n">
        <v>1</v>
      </c>
      <c r="C229" t="n">
        <v>8</v>
      </c>
      <c r="D229" t="inlineStr">
        <is>
          <t>BAF20</t>
        </is>
      </c>
      <c r="E229" t="inlineStr">
        <is>
          <t>WF</t>
        </is>
      </c>
      <c r="F229" t="n">
        <v>15.9</v>
      </c>
      <c r="G229" t="n">
        <v>81</v>
      </c>
      <c r="H229" t="n">
        <v>26</v>
      </c>
      <c r="I229" t="inlineStr">
        <is>
          <t>L</t>
        </is>
      </c>
      <c r="J229" t="inlineStr">
        <is>
          <t>I</t>
        </is>
      </c>
      <c r="K229" t="inlineStr"/>
      <c r="L229" t="inlineStr"/>
      <c r="M229" s="30">
        <f>0.005454*F229^2</f>
        <v/>
      </c>
      <c r="N229" s="31">
        <f>IF(D229="BAF20",20/M229,100)</f>
        <v/>
      </c>
      <c r="O229" s="31">
        <f>M229*N229</f>
        <v/>
      </c>
      <c r="P229" s="32">
        <f>135.3*N229</f>
        <v/>
      </c>
    </row>
    <row r="230">
      <c r="A230" t="inlineStr">
        <is>
          <t>U1-17</t>
        </is>
      </c>
      <c r="B230" t="n">
        <v>1</v>
      </c>
      <c r="C230" t="n">
        <v>9</v>
      </c>
      <c r="D230" t="inlineStr">
        <is>
          <t>BAF20</t>
        </is>
      </c>
      <c r="E230" t="inlineStr">
        <is>
          <t>IC</t>
        </is>
      </c>
      <c r="F230" t="n">
        <v>9.300000000000001</v>
      </c>
      <c r="G230" t="n">
        <v>40</v>
      </c>
      <c r="H230" t="n">
        <v>1</v>
      </c>
      <c r="I230" t="inlineStr">
        <is>
          <t>L</t>
        </is>
      </c>
      <c r="J230" t="inlineStr">
        <is>
          <t>S</t>
        </is>
      </c>
      <c r="K230" t="inlineStr">
        <is>
          <t>Y</t>
        </is>
      </c>
      <c r="L230" t="inlineStr"/>
      <c r="M230" s="30">
        <f>0.005454*F230^2</f>
        <v/>
      </c>
      <c r="N230" s="31">
        <f>IF(D230="BAF20",20/M230,100)</f>
        <v/>
      </c>
      <c r="O230" s="31">
        <f>M230*N230</f>
        <v/>
      </c>
      <c r="P230" s="32">
        <f>0.0*N230</f>
        <v/>
      </c>
    </row>
    <row r="231">
      <c r="A231" t="inlineStr">
        <is>
          <t>U1-17</t>
        </is>
      </c>
      <c r="B231" t="n">
        <v>1</v>
      </c>
      <c r="C231" t="n">
        <v>10</v>
      </c>
      <c r="D231" t="inlineStr">
        <is>
          <t>BAF20</t>
        </is>
      </c>
      <c r="E231" t="inlineStr">
        <is>
          <t>PP</t>
        </is>
      </c>
      <c r="F231" t="n">
        <v>18.8</v>
      </c>
      <c r="G231" t="n">
        <v>82</v>
      </c>
      <c r="H231" t="n">
        <v>1</v>
      </c>
      <c r="I231" t="inlineStr">
        <is>
          <t>L</t>
        </is>
      </c>
      <c r="J231" t="inlineStr">
        <is>
          <t>I</t>
        </is>
      </c>
      <c r="K231" t="inlineStr"/>
      <c r="L231" t="inlineStr"/>
      <c r="M231" s="30">
        <f>0.005454*F231^2</f>
        <v/>
      </c>
      <c r="N231" s="31">
        <f>IF(D231="BAF20",20/M231,100)</f>
        <v/>
      </c>
      <c r="O231" s="31">
        <f>M231*N231</f>
        <v/>
      </c>
      <c r="P231" s="32">
        <f>271.6*N231</f>
        <v/>
      </c>
    </row>
    <row r="232">
      <c r="A232" t="inlineStr">
        <is>
          <t>U1-17</t>
        </is>
      </c>
      <c r="B232" t="n">
        <v>1</v>
      </c>
      <c r="C232" t="n">
        <v>11</v>
      </c>
      <c r="D232" t="inlineStr">
        <is>
          <t>BAF20</t>
        </is>
      </c>
      <c r="E232" t="inlineStr">
        <is>
          <t>PP</t>
        </is>
      </c>
      <c r="F232" t="n">
        <v>20.1</v>
      </c>
      <c r="G232" t="n">
        <v>93</v>
      </c>
      <c r="H232" t="n">
        <v>3</v>
      </c>
      <c r="I232" t="inlineStr">
        <is>
          <t>L</t>
        </is>
      </c>
      <c r="J232" t="inlineStr">
        <is>
          <t>C</t>
        </is>
      </c>
      <c r="K232" t="inlineStr"/>
      <c r="L232" t="inlineStr"/>
      <c r="M232" s="30">
        <f>0.005454*F232^2</f>
        <v/>
      </c>
      <c r="N232" s="31">
        <f>IF(D232="BAF20",20/M232,100)</f>
        <v/>
      </c>
      <c r="O232" s="31">
        <f>M232*N232</f>
        <v/>
      </c>
      <c r="P232" s="32">
        <f>353.8*N232</f>
        <v/>
      </c>
    </row>
    <row r="233">
      <c r="A233" t="inlineStr">
        <is>
          <t>U1-17</t>
        </is>
      </c>
      <c r="B233" t="n">
        <v>1</v>
      </c>
      <c r="C233" t="n">
        <v>12</v>
      </c>
      <c r="D233" t="inlineStr">
        <is>
          <t>BAF20</t>
        </is>
      </c>
      <c r="E233" t="inlineStr">
        <is>
          <t>PP</t>
        </is>
      </c>
      <c r="F233" t="n">
        <v>30.6</v>
      </c>
      <c r="G233" t="n">
        <v>114</v>
      </c>
      <c r="H233" t="n">
        <v>2</v>
      </c>
      <c r="I233" t="inlineStr">
        <is>
          <t>L</t>
        </is>
      </c>
      <c r="J233" t="inlineStr">
        <is>
          <t>D</t>
        </is>
      </c>
      <c r="K233" t="inlineStr"/>
      <c r="L233" t="inlineStr"/>
      <c r="M233" s="30">
        <f>0.005454*F233^2</f>
        <v/>
      </c>
      <c r="N233" s="31">
        <f>IF(D233="BAF20",20/M233,100)</f>
        <v/>
      </c>
      <c r="O233" s="31">
        <f>M233*N233</f>
        <v/>
      </c>
      <c r="P233" s="32">
        <f>1219.4*N233</f>
        <v/>
      </c>
    </row>
    <row r="234">
      <c r="A234" t="inlineStr">
        <is>
          <t>U1-17</t>
        </is>
      </c>
      <c r="B234" t="n">
        <v>1</v>
      </c>
      <c r="C234" t="n">
        <v>13</v>
      </c>
      <c r="D234" t="inlineStr">
        <is>
          <t>BAF20</t>
        </is>
      </c>
      <c r="E234" t="inlineStr">
        <is>
          <t>DF</t>
        </is>
      </c>
      <c r="F234" t="n">
        <v>38.4</v>
      </c>
      <c r="G234" t="n">
        <v>136</v>
      </c>
      <c r="H234" t="n">
        <v>3</v>
      </c>
      <c r="I234" t="inlineStr">
        <is>
          <t>L</t>
        </is>
      </c>
      <c r="J234" t="inlineStr">
        <is>
          <t>D</t>
        </is>
      </c>
      <c r="K234" t="inlineStr"/>
      <c r="L234" t="inlineStr"/>
      <c r="M234" s="30">
        <f>0.005454*F234^2</f>
        <v/>
      </c>
      <c r="N234" s="31">
        <f>IF(D234="BAF20",20/M234,100)</f>
        <v/>
      </c>
      <c r="O234" s="31">
        <f>M234*N234</f>
        <v/>
      </c>
      <c r="P234" s="32">
        <f>2486.4*N234</f>
        <v/>
      </c>
    </row>
    <row r="235">
      <c r="A235" t="inlineStr">
        <is>
          <t>U1-17</t>
        </is>
      </c>
      <c r="B235" t="n">
        <v>1</v>
      </c>
      <c r="C235" t="n">
        <v>14</v>
      </c>
      <c r="D235" t="inlineStr">
        <is>
          <t>BAF20</t>
        </is>
      </c>
      <c r="E235" t="inlineStr">
        <is>
          <t>DF</t>
        </is>
      </c>
      <c r="F235" t="n">
        <v>13.8</v>
      </c>
      <c r="G235" t="n">
        <v>71</v>
      </c>
      <c r="H235" t="n">
        <v>2</v>
      </c>
      <c r="I235" t="inlineStr">
        <is>
          <t>L</t>
        </is>
      </c>
      <c r="J235" t="inlineStr">
        <is>
          <t>I</t>
        </is>
      </c>
      <c r="K235" t="inlineStr">
        <is>
          <t>Y</t>
        </is>
      </c>
      <c r="L235" t="inlineStr"/>
      <c r="M235" s="30">
        <f>0.005454*F235^2</f>
        <v/>
      </c>
      <c r="N235" s="31">
        <f>IF(D235="BAF20",20/M235,100)</f>
        <v/>
      </c>
      <c r="O235" s="31">
        <f>M235*N235</f>
        <v/>
      </c>
      <c r="P235" s="32">
        <f>113.2*N235</f>
        <v/>
      </c>
    </row>
    <row r="236">
      <c r="A236" t="inlineStr">
        <is>
          <t>U1-17</t>
        </is>
      </c>
      <c r="B236" t="n">
        <v>1</v>
      </c>
      <c r="C236" t="n">
        <v>15</v>
      </c>
      <c r="D236" t="inlineStr">
        <is>
          <t>BAF20</t>
        </is>
      </c>
      <c r="E236" t="inlineStr">
        <is>
          <t>PP</t>
        </is>
      </c>
      <c r="F236" t="n">
        <v>8.6</v>
      </c>
      <c r="G236" t="n">
        <v>45</v>
      </c>
      <c r="H236" t="n">
        <v>1</v>
      </c>
      <c r="I236" t="inlineStr">
        <is>
          <t>L</t>
        </is>
      </c>
      <c r="J236" t="inlineStr">
        <is>
          <t>S</t>
        </is>
      </c>
      <c r="K236" t="inlineStr">
        <is>
          <t>Y</t>
        </is>
      </c>
      <c r="L236" t="inlineStr"/>
      <c r="M236" s="30">
        <f>0.005454*F236^2</f>
        <v/>
      </c>
      <c r="N236" s="31">
        <f>IF(D236="BAF20",20/M236,100)</f>
        <v/>
      </c>
      <c r="O236" s="31">
        <f>M236*N236</f>
        <v/>
      </c>
      <c r="P236" s="32">
        <f>0.0*N236</f>
        <v/>
      </c>
    </row>
    <row r="237">
      <c r="A237" t="inlineStr">
        <is>
          <t>U1-17</t>
        </is>
      </c>
      <c r="B237" t="n">
        <v>1</v>
      </c>
      <c r="C237" t="n">
        <v>16</v>
      </c>
      <c r="D237" t="inlineStr">
        <is>
          <t>BAF20</t>
        </is>
      </c>
      <c r="E237" t="inlineStr">
        <is>
          <t>IC</t>
        </is>
      </c>
      <c r="F237" t="n">
        <v>20.4</v>
      </c>
      <c r="G237" t="n">
        <v>73</v>
      </c>
      <c r="H237" t="n">
        <v>1</v>
      </c>
      <c r="I237" t="inlineStr">
        <is>
          <t>L</t>
        </is>
      </c>
      <c r="J237" t="inlineStr">
        <is>
          <t>C</t>
        </is>
      </c>
      <c r="K237" t="inlineStr"/>
      <c r="L237" t="inlineStr"/>
      <c r="M237" s="30">
        <f>0.005454*F237^2</f>
        <v/>
      </c>
      <c r="N237" s="31">
        <f>IF(D237="BAF20",20/M237,100)</f>
        <v/>
      </c>
      <c r="O237" s="31">
        <f>M237*N237</f>
        <v/>
      </c>
      <c r="P237" s="32">
        <f>293.7*N237</f>
        <v/>
      </c>
    </row>
    <row r="238">
      <c r="A238" t="inlineStr">
        <is>
          <t>U1-17</t>
        </is>
      </c>
      <c r="B238" t="n">
        <v>1</v>
      </c>
      <c r="C238" t="n">
        <v>17</v>
      </c>
      <c r="D238" t="inlineStr">
        <is>
          <t>BAF20</t>
        </is>
      </c>
      <c r="E238" t="inlineStr">
        <is>
          <t>PP</t>
        </is>
      </c>
      <c r="F238" t="n">
        <v>35.7</v>
      </c>
      <c r="G238" t="n">
        <v>113</v>
      </c>
      <c r="H238" t="n">
        <v>3</v>
      </c>
      <c r="I238" t="inlineStr">
        <is>
          <t>L</t>
        </is>
      </c>
      <c r="J238" t="inlineStr">
        <is>
          <t>D</t>
        </is>
      </c>
      <c r="K238" t="inlineStr"/>
      <c r="L238" t="inlineStr"/>
      <c r="M238" s="30">
        <f>0.005454*F238^2</f>
        <v/>
      </c>
      <c r="N238" s="31">
        <f>IF(D238="BAF20",20/M238,100)</f>
        <v/>
      </c>
      <c r="O238" s="31">
        <f>M238*N238</f>
        <v/>
      </c>
      <c r="P238" s="32">
        <f>1760.5*N238</f>
        <v/>
      </c>
    </row>
    <row r="239">
      <c r="A239" t="inlineStr">
        <is>
          <t>U1-17</t>
        </is>
      </c>
      <c r="B239" t="n">
        <v>1</v>
      </c>
      <c r="C239" t="n">
        <v>18</v>
      </c>
      <c r="D239" t="inlineStr">
        <is>
          <t>FIX100</t>
        </is>
      </c>
      <c r="E239" t="inlineStr">
        <is>
          <t>IC</t>
        </is>
      </c>
      <c r="F239" t="n">
        <v>1.2</v>
      </c>
      <c r="G239" t="n">
        <v>7</v>
      </c>
      <c r="H239" t="n">
        <v>0</v>
      </c>
      <c r="I239" t="inlineStr">
        <is>
          <t>L</t>
        </is>
      </c>
      <c r="J239" t="inlineStr">
        <is>
          <t>S</t>
        </is>
      </c>
      <c r="K239" t="inlineStr"/>
      <c r="L239" t="inlineStr"/>
      <c r="M239" s="30">
        <f>0.005454*F239^2</f>
        <v/>
      </c>
      <c r="N239" s="31">
        <f>IF(D239="BAF20",20/M239,100)</f>
        <v/>
      </c>
      <c r="O239" s="31">
        <f>M239*N239</f>
        <v/>
      </c>
      <c r="P239" s="32">
        <f>0.0*N239</f>
        <v/>
      </c>
    </row>
    <row r="240">
      <c r="A240" t="inlineStr">
        <is>
          <t>U1-18</t>
        </is>
      </c>
      <c r="B240" t="n">
        <v>1</v>
      </c>
      <c r="C240" t="n">
        <v>1</v>
      </c>
      <c r="D240" t="inlineStr">
        <is>
          <t>BAF20</t>
        </is>
      </c>
      <c r="E240" t="inlineStr">
        <is>
          <t>DF</t>
        </is>
      </c>
      <c r="F240" t="n">
        <v>13.5</v>
      </c>
      <c r="G240" t="n">
        <v>77</v>
      </c>
      <c r="H240" t="n">
        <v>8</v>
      </c>
      <c r="I240" t="inlineStr">
        <is>
          <t>L</t>
        </is>
      </c>
      <c r="J240" t="inlineStr">
        <is>
          <t>I</t>
        </is>
      </c>
      <c r="K240" t="inlineStr">
        <is>
          <t>Y</t>
        </is>
      </c>
      <c r="L240" t="inlineStr"/>
      <c r="M240" s="30">
        <f>0.005454*F240^2</f>
        <v/>
      </c>
      <c r="N240" s="31">
        <f>IF(D240="BAF20",20/M240,100)</f>
        <v/>
      </c>
      <c r="O240" s="31">
        <f>M240*N240</f>
        <v/>
      </c>
      <c r="P240" s="32">
        <f>109.5*N240</f>
        <v/>
      </c>
    </row>
    <row r="241">
      <c r="A241" t="inlineStr">
        <is>
          <t>U1-18</t>
        </is>
      </c>
      <c r="B241" t="n">
        <v>1</v>
      </c>
      <c r="C241" t="n">
        <v>2</v>
      </c>
      <c r="D241" t="inlineStr">
        <is>
          <t>BAF20</t>
        </is>
      </c>
      <c r="E241" t="inlineStr">
        <is>
          <t>PP</t>
        </is>
      </c>
      <c r="F241" t="n">
        <v>6.4</v>
      </c>
      <c r="G241" t="n">
        <v>37</v>
      </c>
      <c r="H241" t="n">
        <v>5</v>
      </c>
      <c r="I241" t="inlineStr">
        <is>
          <t>L</t>
        </is>
      </c>
      <c r="J241" t="inlineStr">
        <is>
          <t>S</t>
        </is>
      </c>
      <c r="K241" t="inlineStr">
        <is>
          <t>Y</t>
        </is>
      </c>
      <c r="L241" t="inlineStr"/>
      <c r="M241" s="30">
        <f>0.005454*F241^2</f>
        <v/>
      </c>
      <c r="N241" s="31">
        <f>IF(D241="BAF20",20/M241,100)</f>
        <v/>
      </c>
      <c r="O241" s="31">
        <f>M241*N241</f>
        <v/>
      </c>
      <c r="P241" s="32">
        <f>0.0*N241</f>
        <v/>
      </c>
    </row>
    <row r="242">
      <c r="A242" t="inlineStr">
        <is>
          <t>U1-18</t>
        </is>
      </c>
      <c r="B242" t="n">
        <v>1</v>
      </c>
      <c r="C242" t="n">
        <v>3</v>
      </c>
      <c r="D242" t="inlineStr">
        <is>
          <t>BAF20</t>
        </is>
      </c>
      <c r="E242" t="inlineStr">
        <is>
          <t>BO</t>
        </is>
      </c>
      <c r="F242" t="n">
        <v>6.8</v>
      </c>
      <c r="G242" t="n">
        <v>27</v>
      </c>
      <c r="H242" t="n">
        <v>100</v>
      </c>
      <c r="I242" t="inlineStr">
        <is>
          <t>D</t>
        </is>
      </c>
      <c r="J242" t="inlineStr">
        <is>
          <t>S</t>
        </is>
      </c>
      <c r="K242" t="inlineStr"/>
      <c r="L242" t="inlineStr"/>
      <c r="M242" s="30">
        <f>0.005454*F242^2</f>
        <v/>
      </c>
      <c r="N242" s="31">
        <f>IF(D242="BAF20",20/M242,100)</f>
        <v/>
      </c>
      <c r="O242" s="31">
        <f>M242*N242</f>
        <v/>
      </c>
      <c r="P242" s="32">
        <f>0.0*N242</f>
        <v/>
      </c>
    </row>
    <row r="243">
      <c r="A243" t="inlineStr">
        <is>
          <t>U1-18</t>
        </is>
      </c>
      <c r="B243" t="n">
        <v>1</v>
      </c>
      <c r="C243" t="n">
        <v>4</v>
      </c>
      <c r="D243" t="inlineStr">
        <is>
          <t>BAF20</t>
        </is>
      </c>
      <c r="E243" t="inlineStr">
        <is>
          <t>BO</t>
        </is>
      </c>
      <c r="F243" t="n">
        <v>5</v>
      </c>
      <c r="G243" t="n">
        <v>22</v>
      </c>
      <c r="H243" t="n">
        <v>8</v>
      </c>
      <c r="I243" t="inlineStr">
        <is>
          <t>L</t>
        </is>
      </c>
      <c r="J243" t="inlineStr">
        <is>
          <t>S</t>
        </is>
      </c>
      <c r="K243" t="inlineStr">
        <is>
          <t>Y</t>
        </is>
      </c>
      <c r="L243" t="inlineStr"/>
      <c r="M243" s="30">
        <f>0.005454*F243^2</f>
        <v/>
      </c>
      <c r="N243" s="31">
        <f>IF(D243="BAF20",20/M243,100)</f>
        <v/>
      </c>
      <c r="O243" s="31">
        <f>M243*N243</f>
        <v/>
      </c>
      <c r="P243" s="32">
        <f>0.0*N243</f>
        <v/>
      </c>
    </row>
    <row r="244">
      <c r="A244" t="inlineStr">
        <is>
          <t>U1-18</t>
        </is>
      </c>
      <c r="B244" t="n">
        <v>1</v>
      </c>
      <c r="C244" t="n">
        <v>5</v>
      </c>
      <c r="D244" t="inlineStr">
        <is>
          <t>BAF20</t>
        </is>
      </c>
      <c r="E244" t="inlineStr">
        <is>
          <t>WF</t>
        </is>
      </c>
      <c r="F244" t="n">
        <v>5</v>
      </c>
      <c r="G244" t="n">
        <v>28</v>
      </c>
      <c r="H244" t="n">
        <v>6</v>
      </c>
      <c r="I244" t="inlineStr">
        <is>
          <t>L</t>
        </is>
      </c>
      <c r="J244" t="inlineStr">
        <is>
          <t>S</t>
        </is>
      </c>
      <c r="K244" t="inlineStr">
        <is>
          <t>Y</t>
        </is>
      </c>
      <c r="L244" t="inlineStr"/>
      <c r="M244" s="30">
        <f>0.005454*F244^2</f>
        <v/>
      </c>
      <c r="N244" s="31">
        <f>IF(D244="BAF20",20/M244,100)</f>
        <v/>
      </c>
      <c r="O244" s="31">
        <f>M244*N244</f>
        <v/>
      </c>
      <c r="P244" s="32">
        <f>0.0*N244</f>
        <v/>
      </c>
    </row>
    <row r="245">
      <c r="A245" t="inlineStr">
        <is>
          <t>U1-18</t>
        </is>
      </c>
      <c r="B245" t="n">
        <v>1</v>
      </c>
      <c r="C245" t="n">
        <v>6</v>
      </c>
      <c r="D245" t="inlineStr">
        <is>
          <t>BAF20</t>
        </is>
      </c>
      <c r="E245" t="inlineStr">
        <is>
          <t>PP</t>
        </is>
      </c>
      <c r="F245" t="n">
        <v>30.6</v>
      </c>
      <c r="G245" t="n">
        <v>118</v>
      </c>
      <c r="H245" t="n">
        <v>4</v>
      </c>
      <c r="I245" t="inlineStr">
        <is>
          <t>L</t>
        </is>
      </c>
      <c r="J245" t="inlineStr">
        <is>
          <t>D</t>
        </is>
      </c>
      <c r="K245" t="inlineStr"/>
      <c r="L245" t="inlineStr"/>
      <c r="M245" s="30">
        <f>0.005454*F245^2</f>
        <v/>
      </c>
      <c r="N245" s="31">
        <f>IF(D245="BAF20",20/M245,100)</f>
        <v/>
      </c>
      <c r="O245" s="31">
        <f>M245*N245</f>
        <v/>
      </c>
      <c r="P245" s="32">
        <f>1236.4*N245</f>
        <v/>
      </c>
    </row>
    <row r="246">
      <c r="A246" t="inlineStr">
        <is>
          <t>U1-18</t>
        </is>
      </c>
      <c r="B246" t="n">
        <v>1</v>
      </c>
      <c r="C246" t="n">
        <v>7</v>
      </c>
      <c r="D246" t="inlineStr">
        <is>
          <t>BAF20</t>
        </is>
      </c>
      <c r="E246" t="inlineStr">
        <is>
          <t>PP</t>
        </is>
      </c>
      <c r="F246" t="n">
        <v>8.300000000000001</v>
      </c>
      <c r="G246" t="n">
        <v>41</v>
      </c>
      <c r="H246" t="n">
        <v>9</v>
      </c>
      <c r="I246" t="inlineStr">
        <is>
          <t>L</t>
        </is>
      </c>
      <c r="J246" t="inlineStr">
        <is>
          <t>S</t>
        </is>
      </c>
      <c r="K246" t="inlineStr">
        <is>
          <t>Y</t>
        </is>
      </c>
      <c r="L246" t="inlineStr"/>
      <c r="M246" s="30">
        <f>0.005454*F246^2</f>
        <v/>
      </c>
      <c r="N246" s="31">
        <f>IF(D246="BAF20",20/M246,100)</f>
        <v/>
      </c>
      <c r="O246" s="31">
        <f>M246*N246</f>
        <v/>
      </c>
      <c r="P246" s="32">
        <f>0.0*N246</f>
        <v/>
      </c>
    </row>
    <row r="247">
      <c r="A247" t="inlineStr">
        <is>
          <t>U1-18</t>
        </is>
      </c>
      <c r="B247" t="n">
        <v>1</v>
      </c>
      <c r="C247" t="n">
        <v>8</v>
      </c>
      <c r="D247" t="inlineStr">
        <is>
          <t>BAF20</t>
        </is>
      </c>
      <c r="E247" t="inlineStr">
        <is>
          <t>DF</t>
        </is>
      </c>
      <c r="F247" t="n">
        <v>14.5</v>
      </c>
      <c r="G247" t="n">
        <v>65</v>
      </c>
      <c r="H247" t="n">
        <v>2</v>
      </c>
      <c r="I247" t="inlineStr">
        <is>
          <t>L</t>
        </is>
      </c>
      <c r="J247" t="inlineStr">
        <is>
          <t>I</t>
        </is>
      </c>
      <c r="K247" t="inlineStr">
        <is>
          <t>Y</t>
        </is>
      </c>
      <c r="L247" t="inlineStr"/>
      <c r="M247" s="30">
        <f>0.005454*F247^2</f>
        <v/>
      </c>
      <c r="N247" s="31">
        <f>IF(D247="BAF20",20/M247,100)</f>
        <v/>
      </c>
      <c r="O247" s="31">
        <f>M247*N247</f>
        <v/>
      </c>
      <c r="P247" s="32">
        <f>116.1*N247</f>
        <v/>
      </c>
    </row>
    <row r="248">
      <c r="A248" t="inlineStr">
        <is>
          <t>U1-18</t>
        </is>
      </c>
      <c r="B248" t="n">
        <v>1</v>
      </c>
      <c r="C248" t="n">
        <v>9</v>
      </c>
      <c r="D248" t="inlineStr">
        <is>
          <t>BAF20</t>
        </is>
      </c>
      <c r="E248" t="inlineStr">
        <is>
          <t>PP</t>
        </is>
      </c>
      <c r="F248" t="n">
        <v>5</v>
      </c>
      <c r="G248" t="n">
        <v>27</v>
      </c>
      <c r="H248" t="n">
        <v>4</v>
      </c>
      <c r="I248" t="inlineStr">
        <is>
          <t>L</t>
        </is>
      </c>
      <c r="J248" t="inlineStr">
        <is>
          <t>S</t>
        </is>
      </c>
      <c r="K248" t="inlineStr">
        <is>
          <t>Y</t>
        </is>
      </c>
      <c r="L248" t="inlineStr"/>
      <c r="M248" s="30">
        <f>0.005454*F248^2</f>
        <v/>
      </c>
      <c r="N248" s="31">
        <f>IF(D248="BAF20",20/M248,100)</f>
        <v/>
      </c>
      <c r="O248" s="31">
        <f>M248*N248</f>
        <v/>
      </c>
      <c r="P248" s="32">
        <f>0.0*N248</f>
        <v/>
      </c>
    </row>
    <row r="249">
      <c r="A249" t="inlineStr">
        <is>
          <t>U1-18</t>
        </is>
      </c>
      <c r="B249" t="n">
        <v>1</v>
      </c>
      <c r="C249" t="n">
        <v>10</v>
      </c>
      <c r="D249" t="inlineStr">
        <is>
          <t>BAF20</t>
        </is>
      </c>
      <c r="E249" t="inlineStr">
        <is>
          <t>PP</t>
        </is>
      </c>
      <c r="F249" t="n">
        <v>18.6</v>
      </c>
      <c r="G249" t="n">
        <v>85</v>
      </c>
      <c r="H249" t="n">
        <v>3</v>
      </c>
      <c r="I249" t="inlineStr">
        <is>
          <t>L</t>
        </is>
      </c>
      <c r="J249" t="inlineStr">
        <is>
          <t>I</t>
        </is>
      </c>
      <c r="K249" t="inlineStr"/>
      <c r="L249" t="inlineStr"/>
      <c r="M249" s="30">
        <f>0.005454*F249^2</f>
        <v/>
      </c>
      <c r="N249" s="31">
        <f>IF(D249="BAF20",20/M249,100)</f>
        <v/>
      </c>
      <c r="O249" s="31">
        <f>M249*N249</f>
        <v/>
      </c>
      <c r="P249" s="32">
        <f>269.0*N249</f>
        <v/>
      </c>
    </row>
    <row r="250">
      <c r="A250" t="inlineStr">
        <is>
          <t>U1-18</t>
        </is>
      </c>
      <c r="B250" t="n">
        <v>1</v>
      </c>
      <c r="C250" t="n">
        <v>11</v>
      </c>
      <c r="D250" t="inlineStr">
        <is>
          <t>BAF20</t>
        </is>
      </c>
      <c r="E250" t="inlineStr">
        <is>
          <t>IC</t>
        </is>
      </c>
      <c r="F250" t="n">
        <v>29.2</v>
      </c>
      <c r="G250" t="n">
        <v>94</v>
      </c>
      <c r="H250" t="n">
        <v>9</v>
      </c>
      <c r="I250" t="inlineStr">
        <is>
          <t>L</t>
        </is>
      </c>
      <c r="J250" t="inlineStr">
        <is>
          <t>D</t>
        </is>
      </c>
      <c r="K250" t="inlineStr"/>
      <c r="L250" t="inlineStr"/>
      <c r="M250" s="30">
        <f>0.005454*F250^2</f>
        <v/>
      </c>
      <c r="N250" s="31">
        <f>IF(D250="BAF20",20/M250,100)</f>
        <v/>
      </c>
      <c r="O250" s="31">
        <f>M250*N250</f>
        <v/>
      </c>
      <c r="P250" s="32">
        <f>831.2*N250</f>
        <v/>
      </c>
    </row>
    <row r="251">
      <c r="A251" t="inlineStr">
        <is>
          <t>U1-18</t>
        </is>
      </c>
      <c r="B251" t="n">
        <v>1</v>
      </c>
      <c r="C251" t="n">
        <v>12</v>
      </c>
      <c r="D251" t="inlineStr">
        <is>
          <t>BAF20</t>
        </is>
      </c>
      <c r="E251" t="inlineStr">
        <is>
          <t>DF</t>
        </is>
      </c>
      <c r="F251" t="n">
        <v>19</v>
      </c>
      <c r="G251" t="n">
        <v>87</v>
      </c>
      <c r="H251" t="n">
        <v>1</v>
      </c>
      <c r="I251" t="inlineStr">
        <is>
          <t>L</t>
        </is>
      </c>
      <c r="J251" t="inlineStr">
        <is>
          <t>I</t>
        </is>
      </c>
      <c r="K251" t="inlineStr"/>
      <c r="L251" t="inlineStr"/>
      <c r="M251" s="30">
        <f>0.005454*F251^2</f>
        <v/>
      </c>
      <c r="N251" s="31">
        <f>IF(D251="BAF20",20/M251,100)</f>
        <v/>
      </c>
      <c r="O251" s="31">
        <f>M251*N251</f>
        <v/>
      </c>
      <c r="P251" s="32">
        <f>295.5*N251</f>
        <v/>
      </c>
    </row>
    <row r="252">
      <c r="A252" t="inlineStr">
        <is>
          <t>U1-18</t>
        </is>
      </c>
      <c r="B252" t="n">
        <v>1</v>
      </c>
      <c r="C252" t="n">
        <v>13</v>
      </c>
      <c r="D252" t="inlineStr">
        <is>
          <t>BAF20</t>
        </is>
      </c>
      <c r="E252" t="inlineStr">
        <is>
          <t>DF</t>
        </is>
      </c>
      <c r="F252" t="n">
        <v>10.5</v>
      </c>
      <c r="G252" t="n">
        <v>59</v>
      </c>
      <c r="H252" t="n">
        <v>5</v>
      </c>
      <c r="I252" t="inlineStr">
        <is>
          <t>L</t>
        </is>
      </c>
      <c r="J252" t="inlineStr">
        <is>
          <t>S</t>
        </is>
      </c>
      <c r="K252" t="inlineStr">
        <is>
          <t>Y</t>
        </is>
      </c>
      <c r="L252" t="inlineStr"/>
      <c r="M252" s="30">
        <f>0.005454*F252^2</f>
        <v/>
      </c>
      <c r="N252" s="31">
        <f>IF(D252="BAF20",20/M252,100)</f>
        <v/>
      </c>
      <c r="O252" s="31">
        <f>M252*N252</f>
        <v/>
      </c>
      <c r="P252" s="32">
        <f>49.0*N252</f>
        <v/>
      </c>
    </row>
    <row r="253">
      <c r="A253" t="inlineStr">
        <is>
          <t>U1-18</t>
        </is>
      </c>
      <c r="B253" t="n">
        <v>1</v>
      </c>
      <c r="C253" t="n">
        <v>14</v>
      </c>
      <c r="D253" t="inlineStr">
        <is>
          <t>BAF20</t>
        </is>
      </c>
      <c r="E253" t="inlineStr">
        <is>
          <t>BO</t>
        </is>
      </c>
      <c r="F253" t="n">
        <v>18.5</v>
      </c>
      <c r="G253" t="n">
        <v>61</v>
      </c>
      <c r="H253" t="n">
        <v>33</v>
      </c>
      <c r="I253" t="inlineStr">
        <is>
          <t>L</t>
        </is>
      </c>
      <c r="J253" t="inlineStr">
        <is>
          <t>I</t>
        </is>
      </c>
      <c r="K253" t="inlineStr"/>
      <c r="L253" t="inlineStr"/>
      <c r="M253" s="30">
        <f>0.005454*F253^2</f>
        <v/>
      </c>
      <c r="N253" s="31">
        <f>IF(D253="BAF20",20/M253,100)</f>
        <v/>
      </c>
      <c r="O253" s="31">
        <f>M253*N253</f>
        <v/>
      </c>
      <c r="P253" s="32">
        <f>119.1*N253</f>
        <v/>
      </c>
    </row>
    <row r="254">
      <c r="A254" t="inlineStr">
        <is>
          <t>U1-18</t>
        </is>
      </c>
      <c r="B254" t="n">
        <v>1</v>
      </c>
      <c r="C254" t="n">
        <v>15</v>
      </c>
      <c r="D254" t="inlineStr">
        <is>
          <t>BAF20</t>
        </is>
      </c>
      <c r="E254" t="inlineStr">
        <is>
          <t>PP</t>
        </is>
      </c>
      <c r="F254" t="n">
        <v>15.3</v>
      </c>
      <c r="G254" t="n">
        <v>68</v>
      </c>
      <c r="H254" t="n">
        <v>3</v>
      </c>
      <c r="I254" t="inlineStr">
        <is>
          <t>L</t>
        </is>
      </c>
      <c r="J254" t="inlineStr">
        <is>
          <t>I</t>
        </is>
      </c>
      <c r="K254" t="inlineStr"/>
      <c r="L254" t="inlineStr"/>
      <c r="M254" s="30">
        <f>0.005454*F254^2</f>
        <v/>
      </c>
      <c r="N254" s="31">
        <f>IF(D254="BAF20",20/M254,100)</f>
        <v/>
      </c>
      <c r="O254" s="31">
        <f>M254*N254</f>
        <v/>
      </c>
      <c r="P254" s="32">
        <f>136.1*N254</f>
        <v/>
      </c>
    </row>
    <row r="255">
      <c r="A255" t="inlineStr">
        <is>
          <t>U1-18</t>
        </is>
      </c>
      <c r="B255" t="n">
        <v>1</v>
      </c>
      <c r="C255" t="n">
        <v>16</v>
      </c>
      <c r="D255" t="inlineStr">
        <is>
          <t>BAF20</t>
        </is>
      </c>
      <c r="E255" t="inlineStr">
        <is>
          <t>IC</t>
        </is>
      </c>
      <c r="F255" t="n">
        <v>19.1</v>
      </c>
      <c r="G255" t="n">
        <v>67</v>
      </c>
      <c r="H255" t="n">
        <v>4</v>
      </c>
      <c r="I255" t="inlineStr">
        <is>
          <t>L</t>
        </is>
      </c>
      <c r="J255" t="inlineStr">
        <is>
          <t>C</t>
        </is>
      </c>
      <c r="K255" t="inlineStr"/>
      <c r="L255" t="inlineStr"/>
      <c r="M255" s="30">
        <f>0.005454*F255^2</f>
        <v/>
      </c>
      <c r="N255" s="31">
        <f>IF(D255="BAF20",20/M255,100)</f>
        <v/>
      </c>
      <c r="O255" s="31">
        <f>M255*N255</f>
        <v/>
      </c>
      <c r="P255" s="32">
        <f>223.4*N255</f>
        <v/>
      </c>
    </row>
    <row r="256">
      <c r="A256" t="inlineStr">
        <is>
          <t>U1-18</t>
        </is>
      </c>
      <c r="B256" t="n">
        <v>1</v>
      </c>
      <c r="C256" t="n">
        <v>17</v>
      </c>
      <c r="D256" t="inlineStr">
        <is>
          <t>BAF20</t>
        </is>
      </c>
      <c r="E256" t="inlineStr">
        <is>
          <t>WF</t>
        </is>
      </c>
      <c r="F256" t="n">
        <v>15.1</v>
      </c>
      <c r="G256" t="n">
        <v>76</v>
      </c>
      <c r="H256" t="n">
        <v>0</v>
      </c>
      <c r="I256" t="inlineStr">
        <is>
          <t>L</t>
        </is>
      </c>
      <c r="J256" t="inlineStr">
        <is>
          <t>I</t>
        </is>
      </c>
      <c r="K256" t="inlineStr"/>
      <c r="L256" t="inlineStr"/>
      <c r="M256" s="30">
        <f>0.005454*F256^2</f>
        <v/>
      </c>
      <c r="N256" s="31">
        <f>IF(D256="BAF20",20/M256,100)</f>
        <v/>
      </c>
      <c r="O256" s="31">
        <f>M256*N256</f>
        <v/>
      </c>
      <c r="P256" s="32">
        <f>152.2*N256</f>
        <v/>
      </c>
    </row>
    <row r="257">
      <c r="A257" t="inlineStr">
        <is>
          <t>U1-18</t>
        </is>
      </c>
      <c r="B257" t="n">
        <v>1</v>
      </c>
      <c r="C257" t="n">
        <v>18</v>
      </c>
      <c r="D257" t="inlineStr">
        <is>
          <t>BAF20</t>
        </is>
      </c>
      <c r="E257" t="inlineStr">
        <is>
          <t>BO</t>
        </is>
      </c>
      <c r="F257" t="n">
        <v>21.3</v>
      </c>
      <c r="G257" t="n">
        <v>70</v>
      </c>
      <c r="H257" t="n">
        <v>44</v>
      </c>
      <c r="I257" t="inlineStr">
        <is>
          <t>L</t>
        </is>
      </c>
      <c r="J257" t="inlineStr">
        <is>
          <t>C</t>
        </is>
      </c>
      <c r="K257" t="inlineStr"/>
      <c r="L257" t="inlineStr"/>
      <c r="M257" s="30">
        <f>0.005454*F257^2</f>
        <v/>
      </c>
      <c r="N257" s="31">
        <f>IF(D257="BAF20",20/M257,100)</f>
        <v/>
      </c>
      <c r="O257" s="31">
        <f>M257*N257</f>
        <v/>
      </c>
      <c r="P257" s="32">
        <f>159.8*N257</f>
        <v/>
      </c>
    </row>
    <row r="258">
      <c r="A258" t="inlineStr">
        <is>
          <t>U1-18</t>
        </is>
      </c>
      <c r="B258" t="n">
        <v>1</v>
      </c>
      <c r="C258" t="n">
        <v>19</v>
      </c>
      <c r="D258" t="inlineStr">
        <is>
          <t>BAF20</t>
        </is>
      </c>
      <c r="E258" t="inlineStr">
        <is>
          <t>PP</t>
        </is>
      </c>
      <c r="F258" t="n">
        <v>40.6</v>
      </c>
      <c r="G258" t="n">
        <v>129</v>
      </c>
      <c r="H258" t="n">
        <v>3</v>
      </c>
      <c r="I258" t="inlineStr">
        <is>
          <t>L</t>
        </is>
      </c>
      <c r="J258" t="inlineStr">
        <is>
          <t>D</t>
        </is>
      </c>
      <c r="K258" t="inlineStr"/>
      <c r="L258" t="inlineStr"/>
      <c r="M258" s="30">
        <f>0.005454*F258^2</f>
        <v/>
      </c>
      <c r="N258" s="31">
        <f>IF(D258="BAF20",20/M258,100)</f>
        <v/>
      </c>
      <c r="O258" s="31">
        <f>M258*N258</f>
        <v/>
      </c>
      <c r="P258" s="32">
        <f>2636.4*N258</f>
        <v/>
      </c>
    </row>
    <row r="259">
      <c r="A259" t="inlineStr">
        <is>
          <t>U1-18</t>
        </is>
      </c>
      <c r="B259" t="n">
        <v>1</v>
      </c>
      <c r="C259" t="n">
        <v>20</v>
      </c>
      <c r="D259" t="inlineStr">
        <is>
          <t>FIX100</t>
        </is>
      </c>
      <c r="E259" t="inlineStr">
        <is>
          <t>IC</t>
        </is>
      </c>
      <c r="F259" t="n">
        <v>1.4</v>
      </c>
      <c r="G259" t="n">
        <v>8</v>
      </c>
      <c r="H259" t="n">
        <v>0</v>
      </c>
      <c r="I259" t="inlineStr">
        <is>
          <t>L</t>
        </is>
      </c>
      <c r="J259" t="inlineStr">
        <is>
          <t>S</t>
        </is>
      </c>
      <c r="K259" t="inlineStr"/>
      <c r="L259" t="inlineStr"/>
      <c r="M259" s="30">
        <f>0.005454*F259^2</f>
        <v/>
      </c>
      <c r="N259" s="31">
        <f>IF(D259="BAF20",20/M259,100)</f>
        <v/>
      </c>
      <c r="O259" s="31">
        <f>M259*N259</f>
        <v/>
      </c>
      <c r="P259" s="32">
        <f>0.0*N259</f>
        <v/>
      </c>
    </row>
    <row r="260">
      <c r="A260" t="inlineStr">
        <is>
          <t>U1-18</t>
        </is>
      </c>
      <c r="B260" t="n">
        <v>1</v>
      </c>
      <c r="C260" t="n">
        <v>21</v>
      </c>
      <c r="D260" t="inlineStr">
        <is>
          <t>FIX100</t>
        </is>
      </c>
      <c r="E260" t="inlineStr">
        <is>
          <t>SP</t>
        </is>
      </c>
      <c r="F260" t="n">
        <v>3.7</v>
      </c>
      <c r="G260" t="n">
        <v>25</v>
      </c>
      <c r="H260" t="n">
        <v>0</v>
      </c>
      <c r="I260" t="inlineStr">
        <is>
          <t>L</t>
        </is>
      </c>
      <c r="J260" t="inlineStr">
        <is>
          <t>S</t>
        </is>
      </c>
      <c r="K260" t="inlineStr"/>
      <c r="L260" t="inlineStr"/>
      <c r="M260" s="30">
        <f>0.005454*F260^2</f>
        <v/>
      </c>
      <c r="N260" s="31">
        <f>IF(D260="BAF20",20/M260,100)</f>
        <v/>
      </c>
      <c r="O260" s="31">
        <f>M260*N260</f>
        <v/>
      </c>
      <c r="P260" s="32">
        <f>0.0*N260</f>
        <v/>
      </c>
    </row>
    <row r="261">
      <c r="A261" t="inlineStr">
        <is>
          <t>U1-18</t>
        </is>
      </c>
      <c r="B261" t="n">
        <v>1</v>
      </c>
      <c r="C261" t="n">
        <v>22</v>
      </c>
      <c r="D261" t="inlineStr">
        <is>
          <t>FIX100</t>
        </is>
      </c>
      <c r="E261" t="inlineStr">
        <is>
          <t>IC</t>
        </is>
      </c>
      <c r="F261" t="n">
        <v>1.4</v>
      </c>
      <c r="G261" t="n">
        <v>10</v>
      </c>
      <c r="H261" t="n">
        <v>0</v>
      </c>
      <c r="I261" t="inlineStr">
        <is>
          <t>L</t>
        </is>
      </c>
      <c r="J261" t="inlineStr">
        <is>
          <t>S</t>
        </is>
      </c>
      <c r="K261" t="inlineStr"/>
      <c r="L261" t="inlineStr"/>
      <c r="M261" s="30">
        <f>0.005454*F261^2</f>
        <v/>
      </c>
      <c r="N261" s="31">
        <f>IF(D261="BAF20",20/M261,100)</f>
        <v/>
      </c>
      <c r="O261" s="31">
        <f>M261*N261</f>
        <v/>
      </c>
      <c r="P261" s="32">
        <f>0.0*N261</f>
        <v/>
      </c>
    </row>
    <row r="262">
      <c r="A262" t="inlineStr">
        <is>
          <t>U1-19</t>
        </is>
      </c>
      <c r="B262" t="n">
        <v>1</v>
      </c>
      <c r="C262" t="n">
        <v>1</v>
      </c>
      <c r="D262" t="inlineStr">
        <is>
          <t>BAF20</t>
        </is>
      </c>
      <c r="E262" t="inlineStr">
        <is>
          <t>PP</t>
        </is>
      </c>
      <c r="F262" t="n">
        <v>12.8</v>
      </c>
      <c r="G262" t="n">
        <v>63</v>
      </c>
      <c r="H262" t="n">
        <v>0</v>
      </c>
      <c r="I262" t="inlineStr">
        <is>
          <t>L</t>
        </is>
      </c>
      <c r="J262" t="inlineStr">
        <is>
          <t>S</t>
        </is>
      </c>
      <c r="K262" t="inlineStr">
        <is>
          <t>Y</t>
        </is>
      </c>
      <c r="L262" t="inlineStr"/>
      <c r="M262" s="30">
        <f>0.005454*F262^2</f>
        <v/>
      </c>
      <c r="N262" s="31">
        <f>IF(D262="BAF20",20/M262,100)</f>
        <v/>
      </c>
      <c r="O262" s="31">
        <f>M262*N262</f>
        <v/>
      </c>
      <c r="P262" s="32">
        <f>86.2*N262</f>
        <v/>
      </c>
    </row>
    <row r="263">
      <c r="A263" t="inlineStr">
        <is>
          <t>U1-19</t>
        </is>
      </c>
      <c r="B263" t="n">
        <v>1</v>
      </c>
      <c r="C263" t="n">
        <v>3</v>
      </c>
      <c r="D263" t="inlineStr">
        <is>
          <t>BAF20</t>
        </is>
      </c>
      <c r="E263" t="inlineStr">
        <is>
          <t>IC</t>
        </is>
      </c>
      <c r="F263" t="n">
        <v>7.9</v>
      </c>
      <c r="G263" t="n">
        <v>38</v>
      </c>
      <c r="H263" t="n">
        <v>11</v>
      </c>
      <c r="I263" t="inlineStr">
        <is>
          <t>L</t>
        </is>
      </c>
      <c r="J263" t="inlineStr">
        <is>
          <t>S</t>
        </is>
      </c>
      <c r="K263" t="inlineStr">
        <is>
          <t>Y</t>
        </is>
      </c>
      <c r="L263" t="inlineStr"/>
      <c r="M263" s="30">
        <f>0.005454*F263^2</f>
        <v/>
      </c>
      <c r="N263" s="31">
        <f>IF(D263="BAF20",20/M263,100)</f>
        <v/>
      </c>
      <c r="O263" s="31">
        <f>M263*N263</f>
        <v/>
      </c>
      <c r="P263" s="32">
        <f>0.0*N263</f>
        <v/>
      </c>
    </row>
    <row r="264">
      <c r="A264" t="inlineStr">
        <is>
          <t>U1-19</t>
        </is>
      </c>
      <c r="B264" t="n">
        <v>1</v>
      </c>
      <c r="C264" t="n">
        <v>4</v>
      </c>
      <c r="D264" t="inlineStr">
        <is>
          <t>BAF20</t>
        </is>
      </c>
      <c r="E264" t="inlineStr">
        <is>
          <t>DF</t>
        </is>
      </c>
      <c r="F264" t="n">
        <v>5</v>
      </c>
      <c r="G264" t="n">
        <v>29</v>
      </c>
      <c r="H264" t="n">
        <v>5</v>
      </c>
      <c r="I264" t="inlineStr">
        <is>
          <t>L</t>
        </is>
      </c>
      <c r="J264" t="inlineStr">
        <is>
          <t>S</t>
        </is>
      </c>
      <c r="K264" t="inlineStr">
        <is>
          <t>Y</t>
        </is>
      </c>
      <c r="L264" t="inlineStr"/>
      <c r="M264" s="30">
        <f>0.005454*F264^2</f>
        <v/>
      </c>
      <c r="N264" s="31">
        <f>IF(D264="BAF20",20/M264,100)</f>
        <v/>
      </c>
      <c r="O264" s="31">
        <f>M264*N264</f>
        <v/>
      </c>
      <c r="P264" s="32">
        <f>0.0*N264</f>
        <v/>
      </c>
    </row>
    <row r="265">
      <c r="A265" t="inlineStr">
        <is>
          <t>U1-19</t>
        </is>
      </c>
      <c r="B265" t="n">
        <v>1</v>
      </c>
      <c r="C265" t="n">
        <v>5</v>
      </c>
      <c r="D265" t="inlineStr">
        <is>
          <t>BAF20</t>
        </is>
      </c>
      <c r="E265" t="inlineStr">
        <is>
          <t>PP</t>
        </is>
      </c>
      <c r="F265" t="n">
        <v>10.5</v>
      </c>
      <c r="G265" t="n">
        <v>57</v>
      </c>
      <c r="H265" t="n">
        <v>0</v>
      </c>
      <c r="I265" t="inlineStr">
        <is>
          <t>L</t>
        </is>
      </c>
      <c r="J265" t="inlineStr">
        <is>
          <t>S</t>
        </is>
      </c>
      <c r="K265" t="inlineStr">
        <is>
          <t>Y</t>
        </is>
      </c>
      <c r="L265" t="inlineStr"/>
      <c r="M265" s="30">
        <f>0.005454*F265^2</f>
        <v/>
      </c>
      <c r="N265" s="31">
        <f>IF(D265="BAF20",20/M265,100)</f>
        <v/>
      </c>
      <c r="O265" s="31">
        <f>M265*N265</f>
        <v/>
      </c>
      <c r="P265" s="32">
        <f>49.8*N265</f>
        <v/>
      </c>
    </row>
    <row r="266">
      <c r="A266" t="inlineStr">
        <is>
          <t>U1-19</t>
        </is>
      </c>
      <c r="B266" t="n">
        <v>1</v>
      </c>
      <c r="C266" t="n">
        <v>6</v>
      </c>
      <c r="D266" t="inlineStr">
        <is>
          <t>BAF20</t>
        </is>
      </c>
      <c r="E266" t="inlineStr">
        <is>
          <t>DF</t>
        </is>
      </c>
      <c r="F266" t="n">
        <v>6.5</v>
      </c>
      <c r="G266" t="n">
        <v>38</v>
      </c>
      <c r="H266" t="n">
        <v>1</v>
      </c>
      <c r="I266" t="inlineStr">
        <is>
          <t>L</t>
        </is>
      </c>
      <c r="J266" t="inlineStr">
        <is>
          <t>S</t>
        </is>
      </c>
      <c r="K266" t="inlineStr">
        <is>
          <t>Y</t>
        </is>
      </c>
      <c r="L266" t="inlineStr"/>
      <c r="M266" s="30">
        <f>0.005454*F266^2</f>
        <v/>
      </c>
      <c r="N266" s="31">
        <f>IF(D266="BAF20",20/M266,100)</f>
        <v/>
      </c>
      <c r="O266" s="31">
        <f>M266*N266</f>
        <v/>
      </c>
      <c r="P266" s="32">
        <f>0.0*N266</f>
        <v/>
      </c>
    </row>
    <row r="267">
      <c r="A267" t="inlineStr">
        <is>
          <t>U1-19</t>
        </is>
      </c>
      <c r="B267" t="n">
        <v>1</v>
      </c>
      <c r="C267" t="n">
        <v>7</v>
      </c>
      <c r="D267" t="inlineStr">
        <is>
          <t>BAF20</t>
        </is>
      </c>
      <c r="E267" t="inlineStr">
        <is>
          <t>IC</t>
        </is>
      </c>
      <c r="F267" t="n">
        <v>15.6</v>
      </c>
      <c r="G267" t="n">
        <v>61</v>
      </c>
      <c r="H267" t="n">
        <v>2</v>
      </c>
      <c r="I267" t="inlineStr">
        <is>
          <t>L</t>
        </is>
      </c>
      <c r="J267" t="inlineStr">
        <is>
          <t>I</t>
        </is>
      </c>
      <c r="K267" t="inlineStr"/>
      <c r="L267" t="inlineStr"/>
      <c r="M267" s="30">
        <f>0.005454*F267^2</f>
        <v/>
      </c>
      <c r="N267" s="31">
        <f>IF(D267="BAF20",20/M267,100)</f>
        <v/>
      </c>
      <c r="O267" s="31">
        <f>M267*N267</f>
        <v/>
      </c>
      <c r="P267" s="32">
        <f>129.1*N267</f>
        <v/>
      </c>
    </row>
    <row r="268">
      <c r="A268" t="inlineStr">
        <is>
          <t>U1-19</t>
        </is>
      </c>
      <c r="B268" t="n">
        <v>1</v>
      </c>
      <c r="C268" t="n">
        <v>8</v>
      </c>
      <c r="D268" t="inlineStr">
        <is>
          <t>BAF20</t>
        </is>
      </c>
      <c r="E268" t="inlineStr">
        <is>
          <t>PP</t>
        </is>
      </c>
      <c r="F268" t="n">
        <v>7.6</v>
      </c>
      <c r="G268" t="n">
        <v>36</v>
      </c>
      <c r="H268" t="n">
        <v>7</v>
      </c>
      <c r="I268" t="inlineStr">
        <is>
          <t>L</t>
        </is>
      </c>
      <c r="J268" t="inlineStr">
        <is>
          <t>S</t>
        </is>
      </c>
      <c r="K268" t="inlineStr">
        <is>
          <t>Y</t>
        </is>
      </c>
      <c r="L268" t="inlineStr"/>
      <c r="M268" s="30">
        <f>0.005454*F268^2</f>
        <v/>
      </c>
      <c r="N268" s="31">
        <f>IF(D268="BAF20",20/M268,100)</f>
        <v/>
      </c>
      <c r="O268" s="31">
        <f>M268*N268</f>
        <v/>
      </c>
      <c r="P268" s="32">
        <f>0.0*N268</f>
        <v/>
      </c>
    </row>
    <row r="269">
      <c r="A269" t="inlineStr">
        <is>
          <t>U1-19</t>
        </is>
      </c>
      <c r="B269" t="n">
        <v>1</v>
      </c>
      <c r="C269" t="n">
        <v>9</v>
      </c>
      <c r="D269" t="inlineStr">
        <is>
          <t>BAF20</t>
        </is>
      </c>
      <c r="E269" t="inlineStr">
        <is>
          <t>WF</t>
        </is>
      </c>
      <c r="F269" t="n">
        <v>12.9</v>
      </c>
      <c r="G269" t="n">
        <v>69</v>
      </c>
      <c r="H269" t="n">
        <v>14</v>
      </c>
      <c r="I269" t="inlineStr">
        <is>
          <t>L</t>
        </is>
      </c>
      <c r="J269" t="inlineStr">
        <is>
          <t>S</t>
        </is>
      </c>
      <c r="K269" t="inlineStr">
        <is>
          <t>Y</t>
        </is>
      </c>
      <c r="L269" t="inlineStr"/>
      <c r="M269" s="30">
        <f>0.005454*F269^2</f>
        <v/>
      </c>
      <c r="N269" s="31">
        <f>IF(D269="BAF20",20/M269,100)</f>
        <v/>
      </c>
      <c r="O269" s="31">
        <f>M269*N269</f>
        <v/>
      </c>
      <c r="P269" s="32">
        <f>82.7*N269</f>
        <v/>
      </c>
    </row>
    <row r="270">
      <c r="A270" t="inlineStr">
        <is>
          <t>U1-19</t>
        </is>
      </c>
      <c r="B270" t="n">
        <v>1</v>
      </c>
      <c r="C270" t="n">
        <v>10</v>
      </c>
      <c r="D270" t="inlineStr">
        <is>
          <t>BAF20</t>
        </is>
      </c>
      <c r="E270" t="inlineStr">
        <is>
          <t>WF</t>
        </is>
      </c>
      <c r="F270" t="n">
        <v>7.6</v>
      </c>
      <c r="G270" t="n">
        <v>40</v>
      </c>
      <c r="H270" t="n">
        <v>15</v>
      </c>
      <c r="I270" t="inlineStr">
        <is>
          <t>L</t>
        </is>
      </c>
      <c r="J270" t="inlineStr">
        <is>
          <t>S</t>
        </is>
      </c>
      <c r="K270" t="inlineStr">
        <is>
          <t>Y</t>
        </is>
      </c>
      <c r="L270" t="inlineStr"/>
      <c r="M270" s="30">
        <f>0.005454*F270^2</f>
        <v/>
      </c>
      <c r="N270" s="31">
        <f>IF(D270="BAF20",20/M270,100)</f>
        <v/>
      </c>
      <c r="O270" s="31">
        <f>M270*N270</f>
        <v/>
      </c>
      <c r="P270" s="32">
        <f>0.0*N270</f>
        <v/>
      </c>
    </row>
    <row r="271">
      <c r="A271" t="inlineStr">
        <is>
          <t>U1-19</t>
        </is>
      </c>
      <c r="B271" t="n">
        <v>1</v>
      </c>
      <c r="C271" t="n">
        <v>11</v>
      </c>
      <c r="D271" t="inlineStr">
        <is>
          <t>BAF20</t>
        </is>
      </c>
      <c r="E271" t="inlineStr">
        <is>
          <t>WF</t>
        </is>
      </c>
      <c r="F271" t="n">
        <v>19.5</v>
      </c>
      <c r="G271" t="n">
        <v>98</v>
      </c>
      <c r="H271" t="n">
        <v>3</v>
      </c>
      <c r="I271" t="inlineStr">
        <is>
          <t>L</t>
        </is>
      </c>
      <c r="J271" t="inlineStr">
        <is>
          <t>C</t>
        </is>
      </c>
      <c r="K271" t="inlineStr"/>
      <c r="L271" t="inlineStr"/>
      <c r="M271" s="30">
        <f>0.005454*F271^2</f>
        <v/>
      </c>
      <c r="N271" s="31">
        <f>IF(D271="BAF20",20/M271,100)</f>
        <v/>
      </c>
      <c r="O271" s="31">
        <f>M271*N271</f>
        <v/>
      </c>
      <c r="P271" s="32">
        <f>346.9*N271</f>
        <v/>
      </c>
    </row>
    <row r="272">
      <c r="A272" t="inlineStr">
        <is>
          <t>U1-19</t>
        </is>
      </c>
      <c r="B272" t="n">
        <v>1</v>
      </c>
      <c r="C272" t="n">
        <v>12</v>
      </c>
      <c r="D272" t="inlineStr">
        <is>
          <t>BAF20</t>
        </is>
      </c>
      <c r="E272" t="inlineStr">
        <is>
          <t>IC</t>
        </is>
      </c>
      <c r="F272" t="n">
        <v>18.9</v>
      </c>
      <c r="G272" t="n">
        <v>66</v>
      </c>
      <c r="H272" t="n">
        <v>1</v>
      </c>
      <c r="I272" t="inlineStr">
        <is>
          <t>L</t>
        </is>
      </c>
      <c r="J272" t="inlineStr">
        <is>
          <t>I</t>
        </is>
      </c>
      <c r="K272" t="inlineStr"/>
      <c r="L272" t="inlineStr"/>
      <c r="M272" s="30">
        <f>0.005454*F272^2</f>
        <v/>
      </c>
      <c r="N272" s="31">
        <f>IF(D272="BAF20",20/M272,100)</f>
        <v/>
      </c>
      <c r="O272" s="31">
        <f>M272*N272</f>
        <v/>
      </c>
      <c r="P272" s="32">
        <f>221.4*N272</f>
        <v/>
      </c>
    </row>
    <row r="273">
      <c r="A273" t="inlineStr">
        <is>
          <t>U1-19</t>
        </is>
      </c>
      <c r="B273" t="n">
        <v>1</v>
      </c>
      <c r="C273" t="n">
        <v>13</v>
      </c>
      <c r="D273" t="inlineStr">
        <is>
          <t>BAF20</t>
        </is>
      </c>
      <c r="E273" t="inlineStr">
        <is>
          <t>WF</t>
        </is>
      </c>
      <c r="F273" t="n">
        <v>16</v>
      </c>
      <c r="G273" t="n">
        <v>70</v>
      </c>
      <c r="H273" t="n">
        <v>10</v>
      </c>
      <c r="I273" t="inlineStr">
        <is>
          <t>L</t>
        </is>
      </c>
      <c r="J273" t="inlineStr">
        <is>
          <t>I</t>
        </is>
      </c>
      <c r="K273" t="inlineStr"/>
      <c r="L273" t="inlineStr"/>
      <c r="M273" s="30">
        <f>0.005454*F273^2</f>
        <v/>
      </c>
      <c r="N273" s="31">
        <f>IF(D273="BAF20",20/M273,100)</f>
        <v/>
      </c>
      <c r="O273" s="31">
        <f>M273*N273</f>
        <v/>
      </c>
      <c r="P273" s="32">
        <f>144.3*N273</f>
        <v/>
      </c>
    </row>
    <row r="274">
      <c r="A274" t="inlineStr">
        <is>
          <t>U1-19</t>
        </is>
      </c>
      <c r="B274" t="n">
        <v>1</v>
      </c>
      <c r="C274" t="n">
        <v>14</v>
      </c>
      <c r="D274" t="inlineStr">
        <is>
          <t>BAF20</t>
        </is>
      </c>
      <c r="E274" t="inlineStr">
        <is>
          <t>WF</t>
        </is>
      </c>
      <c r="F274" t="n">
        <v>24.9</v>
      </c>
      <c r="G274" t="n">
        <v>107</v>
      </c>
      <c r="H274" t="n">
        <v>9</v>
      </c>
      <c r="I274" t="inlineStr">
        <is>
          <t>L</t>
        </is>
      </c>
      <c r="J274" t="inlineStr">
        <is>
          <t>D</t>
        </is>
      </c>
      <c r="K274" t="inlineStr"/>
      <c r="L274" t="inlineStr"/>
      <c r="M274" s="30">
        <f>0.005454*F274^2</f>
        <v/>
      </c>
      <c r="N274" s="31">
        <f>IF(D274="BAF20",20/M274,100)</f>
        <v/>
      </c>
      <c r="O274" s="31">
        <f>M274*N274</f>
        <v/>
      </c>
      <c r="P274" s="32">
        <f>639.9*N274</f>
        <v/>
      </c>
    </row>
    <row r="275">
      <c r="A275" t="inlineStr">
        <is>
          <t>U1-19</t>
        </is>
      </c>
      <c r="B275" t="n">
        <v>1</v>
      </c>
      <c r="C275" t="n">
        <v>15</v>
      </c>
      <c r="D275" t="inlineStr">
        <is>
          <t>BAF20</t>
        </is>
      </c>
      <c r="E275" t="inlineStr">
        <is>
          <t>WF</t>
        </is>
      </c>
      <c r="F275" t="n">
        <v>25.4</v>
      </c>
      <c r="G275" t="n">
        <v>103</v>
      </c>
      <c r="H275" t="n">
        <v>0</v>
      </c>
      <c r="I275" t="inlineStr">
        <is>
          <t>L</t>
        </is>
      </c>
      <c r="J275" t="inlineStr">
        <is>
          <t>D</t>
        </is>
      </c>
      <c r="K275" t="inlineStr"/>
      <c r="L275" t="inlineStr"/>
      <c r="M275" s="30">
        <f>0.005454*F275^2</f>
        <v/>
      </c>
      <c r="N275" s="31">
        <f>IF(D275="BAF20",20/M275,100)</f>
        <v/>
      </c>
      <c r="O275" s="31">
        <f>M275*N275</f>
        <v/>
      </c>
      <c r="P275" s="32">
        <f>710.5*N275</f>
        <v/>
      </c>
    </row>
    <row r="276">
      <c r="A276" t="inlineStr">
        <is>
          <t>U1-19</t>
        </is>
      </c>
      <c r="B276" t="n">
        <v>1</v>
      </c>
      <c r="C276" t="n">
        <v>16</v>
      </c>
      <c r="D276" t="inlineStr">
        <is>
          <t>BAF20</t>
        </is>
      </c>
      <c r="E276" t="inlineStr">
        <is>
          <t>BO</t>
        </is>
      </c>
      <c r="F276" t="n">
        <v>13.8</v>
      </c>
      <c r="G276" t="n">
        <v>48</v>
      </c>
      <c r="H276" t="n">
        <v>7</v>
      </c>
      <c r="I276" t="inlineStr">
        <is>
          <t>L</t>
        </is>
      </c>
      <c r="J276" t="inlineStr">
        <is>
          <t>I</t>
        </is>
      </c>
      <c r="K276" t="inlineStr">
        <is>
          <t>Y</t>
        </is>
      </c>
      <c r="L276" t="inlineStr"/>
      <c r="M276" s="30">
        <f>0.005454*F276^2</f>
        <v/>
      </c>
      <c r="N276" s="31">
        <f>IF(D276="BAF20",20/M276,100)</f>
        <v/>
      </c>
      <c r="O276" s="31">
        <f>M276*N276</f>
        <v/>
      </c>
      <c r="P276" s="32">
        <f>65.7*N276</f>
        <v/>
      </c>
    </row>
    <row r="277">
      <c r="A277" t="inlineStr">
        <is>
          <t>U1-19</t>
        </is>
      </c>
      <c r="B277" t="n">
        <v>1</v>
      </c>
      <c r="C277" t="n">
        <v>17</v>
      </c>
      <c r="D277" t="inlineStr">
        <is>
          <t>BAF20</t>
        </is>
      </c>
      <c r="E277" t="inlineStr">
        <is>
          <t>DF</t>
        </is>
      </c>
      <c r="F277" t="n">
        <v>12.9</v>
      </c>
      <c r="G277" t="n">
        <v>66</v>
      </c>
      <c r="H277" t="n">
        <v>5</v>
      </c>
      <c r="I277" t="inlineStr">
        <is>
          <t>L</t>
        </is>
      </c>
      <c r="J277" t="inlineStr">
        <is>
          <t>S</t>
        </is>
      </c>
      <c r="K277" t="inlineStr">
        <is>
          <t>Y</t>
        </is>
      </c>
      <c r="L277" t="inlineStr"/>
      <c r="M277" s="30">
        <f>0.005454*F277^2</f>
        <v/>
      </c>
      <c r="N277" s="31">
        <f>IF(D277="BAF20",20/M277,100)</f>
        <v/>
      </c>
      <c r="O277" s="31">
        <f>M277*N277</f>
        <v/>
      </c>
      <c r="P277" s="32">
        <f>87.4*N277</f>
        <v/>
      </c>
    </row>
    <row r="278">
      <c r="A278" t="inlineStr">
        <is>
          <t>U1-19</t>
        </is>
      </c>
      <c r="B278" t="n">
        <v>1</v>
      </c>
      <c r="C278" t="n">
        <v>18</v>
      </c>
      <c r="D278" t="inlineStr">
        <is>
          <t>FIX100</t>
        </is>
      </c>
      <c r="E278" t="inlineStr">
        <is>
          <t>SP</t>
        </is>
      </c>
      <c r="F278" t="n">
        <v>3</v>
      </c>
      <c r="G278" t="n">
        <v>18</v>
      </c>
      <c r="H278" t="n">
        <v>0</v>
      </c>
      <c r="I278" t="inlineStr">
        <is>
          <t>L</t>
        </is>
      </c>
      <c r="J278" t="inlineStr">
        <is>
          <t>S</t>
        </is>
      </c>
      <c r="K278" t="inlineStr"/>
      <c r="L278" t="inlineStr"/>
      <c r="M278" s="30">
        <f>0.005454*F278^2</f>
        <v/>
      </c>
      <c r="N278" s="31">
        <f>IF(D278="BAF20",20/M278,100)</f>
        <v/>
      </c>
      <c r="O278" s="31">
        <f>M278*N278</f>
        <v/>
      </c>
      <c r="P278" s="32">
        <f>0.0*N278</f>
        <v/>
      </c>
    </row>
    <row r="279">
      <c r="A279" t="inlineStr">
        <is>
          <t>U1-19</t>
        </is>
      </c>
      <c r="B279" t="n">
        <v>1</v>
      </c>
      <c r="C279" t="n">
        <v>19</v>
      </c>
      <c r="D279" t="inlineStr">
        <is>
          <t>FIX100</t>
        </is>
      </c>
      <c r="E279" t="inlineStr">
        <is>
          <t>SP</t>
        </is>
      </c>
      <c r="F279" t="n">
        <v>2.8</v>
      </c>
      <c r="G279" t="n">
        <v>18</v>
      </c>
      <c r="H279" t="n">
        <v>0</v>
      </c>
      <c r="I279" t="inlineStr">
        <is>
          <t>L</t>
        </is>
      </c>
      <c r="J279" t="inlineStr">
        <is>
          <t>S</t>
        </is>
      </c>
      <c r="K279" t="inlineStr"/>
      <c r="L279" t="inlineStr"/>
      <c r="M279" s="30">
        <f>0.005454*F279^2</f>
        <v/>
      </c>
      <c r="N279" s="31">
        <f>IF(D279="BAF20",20/M279,100)</f>
        <v/>
      </c>
      <c r="O279" s="31">
        <f>M279*N279</f>
        <v/>
      </c>
      <c r="P279" s="32">
        <f>0.0*N279</f>
        <v/>
      </c>
    </row>
    <row r="280">
      <c r="A280" t="inlineStr">
        <is>
          <t>U1-19</t>
        </is>
      </c>
      <c r="B280" t="n">
        <v>1</v>
      </c>
      <c r="C280" t="n">
        <v>20</v>
      </c>
      <c r="D280" t="inlineStr">
        <is>
          <t>FIX100</t>
        </is>
      </c>
      <c r="E280" t="inlineStr">
        <is>
          <t>WF</t>
        </is>
      </c>
      <c r="F280" t="n">
        <v>3.9</v>
      </c>
      <c r="G280" t="n">
        <v>25</v>
      </c>
      <c r="H280" t="n">
        <v>0</v>
      </c>
      <c r="I280" t="inlineStr">
        <is>
          <t>L</t>
        </is>
      </c>
      <c r="J280" t="inlineStr">
        <is>
          <t>S</t>
        </is>
      </c>
      <c r="K280" t="inlineStr"/>
      <c r="L280" t="inlineStr"/>
      <c r="M280" s="30">
        <f>0.005454*F280^2</f>
        <v/>
      </c>
      <c r="N280" s="31">
        <f>IF(D280="BAF20",20/M280,100)</f>
        <v/>
      </c>
      <c r="O280" s="31">
        <f>M280*N280</f>
        <v/>
      </c>
      <c r="P280" s="32">
        <f>0.0*N280</f>
        <v/>
      </c>
    </row>
    <row r="281">
      <c r="A281" t="inlineStr">
        <is>
          <t>U1-20</t>
        </is>
      </c>
      <c r="B281" t="n">
        <v>1</v>
      </c>
      <c r="C281" t="n">
        <v>1</v>
      </c>
      <c r="D281" t="inlineStr">
        <is>
          <t>BAF20</t>
        </is>
      </c>
      <c r="E281" t="inlineStr">
        <is>
          <t>PP</t>
        </is>
      </c>
      <c r="F281" t="n">
        <v>7.6</v>
      </c>
      <c r="G281" t="n">
        <v>36</v>
      </c>
      <c r="H281" t="n">
        <v>2</v>
      </c>
      <c r="I281" t="inlineStr">
        <is>
          <t>L</t>
        </is>
      </c>
      <c r="J281" t="inlineStr">
        <is>
          <t>S</t>
        </is>
      </c>
      <c r="K281" t="inlineStr">
        <is>
          <t>Y</t>
        </is>
      </c>
      <c r="L281" t="inlineStr"/>
      <c r="M281" s="30">
        <f>0.005454*F281^2</f>
        <v/>
      </c>
      <c r="N281" s="31">
        <f>IF(D281="BAF20",20/M281,100)</f>
        <v/>
      </c>
      <c r="O281" s="31">
        <f>M281*N281</f>
        <v/>
      </c>
      <c r="P281" s="32">
        <f>0.0*N281</f>
        <v/>
      </c>
    </row>
    <row r="282">
      <c r="A282" t="inlineStr">
        <is>
          <t>U1-20</t>
        </is>
      </c>
      <c r="B282" t="n">
        <v>1</v>
      </c>
      <c r="C282" t="n">
        <v>2</v>
      </c>
      <c r="D282" t="inlineStr">
        <is>
          <t>BAF20</t>
        </is>
      </c>
      <c r="E282" t="inlineStr">
        <is>
          <t>PP</t>
        </is>
      </c>
      <c r="F282" t="n">
        <v>17.6</v>
      </c>
      <c r="G282" t="n">
        <v>79</v>
      </c>
      <c r="H282" t="n">
        <v>2</v>
      </c>
      <c r="I282" t="inlineStr">
        <is>
          <t>L</t>
        </is>
      </c>
      <c r="J282" t="inlineStr">
        <is>
          <t>I</t>
        </is>
      </c>
      <c r="K282" t="inlineStr"/>
      <c r="L282" t="inlineStr"/>
      <c r="M282" s="30">
        <f>0.005454*F282^2</f>
        <v/>
      </c>
      <c r="N282" s="31">
        <f>IF(D282="BAF20",20/M282,100)</f>
        <v/>
      </c>
      <c r="O282" s="31">
        <f>M282*N282</f>
        <v/>
      </c>
      <c r="P282" s="32">
        <f>221.7*N282</f>
        <v/>
      </c>
    </row>
    <row r="283">
      <c r="A283" t="inlineStr">
        <is>
          <t>U1-20</t>
        </is>
      </c>
      <c r="B283" t="n">
        <v>1</v>
      </c>
      <c r="C283" t="n">
        <v>3</v>
      </c>
      <c r="D283" t="inlineStr">
        <is>
          <t>BAF20</t>
        </is>
      </c>
      <c r="E283" t="inlineStr">
        <is>
          <t>IC</t>
        </is>
      </c>
      <c r="F283" t="n">
        <v>17.9</v>
      </c>
      <c r="G283" t="n">
        <v>69</v>
      </c>
      <c r="H283" t="n">
        <v>8</v>
      </c>
      <c r="I283" t="inlineStr">
        <is>
          <t>L</t>
        </is>
      </c>
      <c r="J283" t="inlineStr">
        <is>
          <t>I</t>
        </is>
      </c>
      <c r="K283" t="inlineStr"/>
      <c r="L283" t="inlineStr"/>
      <c r="M283" s="30">
        <f>0.005454*F283^2</f>
        <v/>
      </c>
      <c r="N283" s="31">
        <f>IF(D283="BAF20",20/M283,100)</f>
        <v/>
      </c>
      <c r="O283" s="31">
        <f>M283*N283</f>
        <v/>
      </c>
      <c r="P283" s="32">
        <f>189.2*N283</f>
        <v/>
      </c>
    </row>
    <row r="284">
      <c r="A284" t="inlineStr">
        <is>
          <t>U1-20</t>
        </is>
      </c>
      <c r="B284" t="n">
        <v>1</v>
      </c>
      <c r="C284" t="n">
        <v>4</v>
      </c>
      <c r="D284" t="inlineStr">
        <is>
          <t>BAF20</t>
        </is>
      </c>
      <c r="E284" t="inlineStr">
        <is>
          <t>WF</t>
        </is>
      </c>
      <c r="F284" t="n">
        <v>17.9</v>
      </c>
      <c r="G284" t="n">
        <v>77</v>
      </c>
      <c r="H284" t="n">
        <v>2</v>
      </c>
      <c r="I284" t="inlineStr">
        <is>
          <t>L</t>
        </is>
      </c>
      <c r="J284" t="inlineStr">
        <is>
          <t>I</t>
        </is>
      </c>
      <c r="K284" t="inlineStr"/>
      <c r="L284" t="inlineStr"/>
      <c r="M284" s="30">
        <f>0.005454*F284^2</f>
        <v/>
      </c>
      <c r="N284" s="31">
        <f>IF(D284="BAF20",20/M284,100)</f>
        <v/>
      </c>
      <c r="O284" s="31">
        <f>M284*N284</f>
        <v/>
      </c>
      <c r="P284" s="32">
        <f>224.9*N284</f>
        <v/>
      </c>
    </row>
    <row r="285">
      <c r="A285" t="inlineStr">
        <is>
          <t>U1-20</t>
        </is>
      </c>
      <c r="B285" t="n">
        <v>1</v>
      </c>
      <c r="C285" t="n">
        <v>5</v>
      </c>
      <c r="D285" t="inlineStr">
        <is>
          <t>BAF20</t>
        </is>
      </c>
      <c r="E285" t="inlineStr">
        <is>
          <t>IC</t>
        </is>
      </c>
      <c r="F285" t="n">
        <v>15</v>
      </c>
      <c r="G285" t="n">
        <v>58</v>
      </c>
      <c r="H285" t="n">
        <v>3</v>
      </c>
      <c r="I285" t="inlineStr">
        <is>
          <t>L</t>
        </is>
      </c>
      <c r="J285" t="inlineStr">
        <is>
          <t>I</t>
        </is>
      </c>
      <c r="K285" t="inlineStr"/>
      <c r="L285" t="inlineStr"/>
      <c r="M285" s="30">
        <f>0.005454*F285^2</f>
        <v/>
      </c>
      <c r="N285" s="31">
        <f>IF(D285="BAF20",20/M285,100)</f>
        <v/>
      </c>
      <c r="O285" s="31">
        <f>M285*N285</f>
        <v/>
      </c>
      <c r="P285" s="32">
        <f>110.9*N285</f>
        <v/>
      </c>
    </row>
    <row r="286">
      <c r="A286" t="inlineStr">
        <is>
          <t>U1-20</t>
        </is>
      </c>
      <c r="B286" t="n">
        <v>1</v>
      </c>
      <c r="C286" t="n">
        <v>6</v>
      </c>
      <c r="D286" t="inlineStr">
        <is>
          <t>BAF20</t>
        </is>
      </c>
      <c r="E286" t="inlineStr">
        <is>
          <t>WF</t>
        </is>
      </c>
      <c r="F286" t="n">
        <v>21.6</v>
      </c>
      <c r="G286" t="n">
        <v>101</v>
      </c>
      <c r="H286" t="n">
        <v>22</v>
      </c>
      <c r="I286" t="inlineStr">
        <is>
          <t>L</t>
        </is>
      </c>
      <c r="J286" t="inlineStr">
        <is>
          <t>C</t>
        </is>
      </c>
      <c r="K286" t="inlineStr"/>
      <c r="L286" t="inlineStr"/>
      <c r="M286" s="30">
        <f>0.005454*F286^2</f>
        <v/>
      </c>
      <c r="N286" s="31">
        <f>IF(D286="BAF20",20/M286,100)</f>
        <v/>
      </c>
      <c r="O286" s="31">
        <f>M286*N286</f>
        <v/>
      </c>
      <c r="P286" s="32">
        <f>367.1*N286</f>
        <v/>
      </c>
    </row>
    <row r="287">
      <c r="A287" t="inlineStr">
        <is>
          <t>U1-20</t>
        </is>
      </c>
      <c r="B287" t="n">
        <v>1</v>
      </c>
      <c r="C287" t="n">
        <v>7</v>
      </c>
      <c r="D287" t="inlineStr">
        <is>
          <t>BAF20</t>
        </is>
      </c>
      <c r="E287" t="inlineStr">
        <is>
          <t>BO</t>
        </is>
      </c>
      <c r="F287" t="n">
        <v>15.6</v>
      </c>
      <c r="G287" t="n">
        <v>50</v>
      </c>
      <c r="H287" t="n">
        <v>14</v>
      </c>
      <c r="I287" t="inlineStr">
        <is>
          <t>L</t>
        </is>
      </c>
      <c r="J287" t="inlineStr">
        <is>
          <t>I</t>
        </is>
      </c>
      <c r="K287" t="inlineStr"/>
      <c r="L287" t="inlineStr"/>
      <c r="M287" s="30">
        <f>0.005454*F287^2</f>
        <v/>
      </c>
      <c r="N287" s="31">
        <f>IF(D287="BAF20",20/M287,100)</f>
        <v/>
      </c>
      <c r="O287" s="31">
        <f>M287*N287</f>
        <v/>
      </c>
      <c r="P287" s="32">
        <f>84.0*N287</f>
        <v/>
      </c>
    </row>
    <row r="288">
      <c r="A288" t="inlineStr">
        <is>
          <t>U1-20</t>
        </is>
      </c>
      <c r="B288" t="n">
        <v>1</v>
      </c>
      <c r="C288" t="n">
        <v>8</v>
      </c>
      <c r="D288" t="inlineStr">
        <is>
          <t>BAF20</t>
        </is>
      </c>
      <c r="E288" t="inlineStr">
        <is>
          <t>WF</t>
        </is>
      </c>
      <c r="F288" t="n">
        <v>7.5</v>
      </c>
      <c r="G288" t="n">
        <v>40</v>
      </c>
      <c r="H288" t="n">
        <v>11</v>
      </c>
      <c r="I288" t="inlineStr">
        <is>
          <t>L</t>
        </is>
      </c>
      <c r="J288" t="inlineStr">
        <is>
          <t>S</t>
        </is>
      </c>
      <c r="K288" t="inlineStr">
        <is>
          <t>Y</t>
        </is>
      </c>
      <c r="L288" t="inlineStr"/>
      <c r="M288" s="30">
        <f>0.005454*F288^2</f>
        <v/>
      </c>
      <c r="N288" s="31">
        <f>IF(D288="BAF20",20/M288,100)</f>
        <v/>
      </c>
      <c r="O288" s="31">
        <f>M288*N288</f>
        <v/>
      </c>
      <c r="P288" s="32">
        <f>0.0*N288</f>
        <v/>
      </c>
    </row>
    <row r="289">
      <c r="A289" t="inlineStr">
        <is>
          <t>U1-20</t>
        </is>
      </c>
      <c r="B289" t="n">
        <v>1</v>
      </c>
      <c r="C289" t="n">
        <v>9</v>
      </c>
      <c r="D289" t="inlineStr">
        <is>
          <t>BAF20</t>
        </is>
      </c>
      <c r="E289" t="inlineStr">
        <is>
          <t>PP</t>
        </is>
      </c>
      <c r="F289" t="n">
        <v>37.9</v>
      </c>
      <c r="G289" t="n">
        <v>118</v>
      </c>
      <c r="H289" t="n">
        <v>6</v>
      </c>
      <c r="I289" t="inlineStr">
        <is>
          <t>L</t>
        </is>
      </c>
      <c r="J289" t="inlineStr">
        <is>
          <t>D</t>
        </is>
      </c>
      <c r="K289" t="inlineStr"/>
      <c r="L289" t="inlineStr"/>
      <c r="M289" s="30">
        <f>0.005454*F289^2</f>
        <v/>
      </c>
      <c r="N289" s="31">
        <f>IF(D289="BAF20",20/M289,100)</f>
        <v/>
      </c>
      <c r="O289" s="31">
        <f>M289*N289</f>
        <v/>
      </c>
      <c r="P289" s="32">
        <f>2036.5*N289</f>
        <v/>
      </c>
    </row>
    <row r="290">
      <c r="A290" t="inlineStr">
        <is>
          <t>U1-20</t>
        </is>
      </c>
      <c r="B290" t="n">
        <v>1</v>
      </c>
      <c r="C290" t="n">
        <v>10</v>
      </c>
      <c r="D290" t="inlineStr">
        <is>
          <t>BAF20</t>
        </is>
      </c>
      <c r="E290" t="inlineStr">
        <is>
          <t>BO</t>
        </is>
      </c>
      <c r="F290" t="n">
        <v>26.4</v>
      </c>
      <c r="G290" t="n">
        <v>65</v>
      </c>
      <c r="H290" t="n">
        <v>11</v>
      </c>
      <c r="I290" t="inlineStr">
        <is>
          <t>L</t>
        </is>
      </c>
      <c r="J290" t="inlineStr">
        <is>
          <t>D</t>
        </is>
      </c>
      <c r="K290" t="inlineStr"/>
      <c r="L290" t="inlineStr"/>
      <c r="M290" s="30">
        <f>0.005454*F290^2</f>
        <v/>
      </c>
      <c r="N290" s="31">
        <f>IF(D290="BAF20",20/M290,100)</f>
        <v/>
      </c>
      <c r="O290" s="31">
        <f>M290*N290</f>
        <v/>
      </c>
      <c r="P290" s="32">
        <f>396.8*N290</f>
        <v/>
      </c>
    </row>
    <row r="291">
      <c r="A291" t="inlineStr">
        <is>
          <t>U1-20</t>
        </is>
      </c>
      <c r="B291" t="n">
        <v>1</v>
      </c>
      <c r="C291" t="n">
        <v>11</v>
      </c>
      <c r="D291" t="inlineStr">
        <is>
          <t>BAF20</t>
        </is>
      </c>
      <c r="E291" t="inlineStr">
        <is>
          <t>DF</t>
        </is>
      </c>
      <c r="F291" t="n">
        <v>6.8</v>
      </c>
      <c r="G291" t="n">
        <v>35</v>
      </c>
      <c r="H291" t="n">
        <v>3</v>
      </c>
      <c r="I291" t="inlineStr">
        <is>
          <t>L</t>
        </is>
      </c>
      <c r="J291" t="inlineStr">
        <is>
          <t>S</t>
        </is>
      </c>
      <c r="K291" t="inlineStr">
        <is>
          <t>Y</t>
        </is>
      </c>
      <c r="L291" t="inlineStr"/>
      <c r="M291" s="30">
        <f>0.005454*F291^2</f>
        <v/>
      </c>
      <c r="N291" s="31">
        <f>IF(D291="BAF20",20/M291,100)</f>
        <v/>
      </c>
      <c r="O291" s="31">
        <f>M291*N291</f>
        <v/>
      </c>
      <c r="P291" s="32">
        <f>0.0*N291</f>
        <v/>
      </c>
    </row>
    <row r="292">
      <c r="A292" t="inlineStr">
        <is>
          <t>U1-20</t>
        </is>
      </c>
      <c r="B292" t="n">
        <v>1</v>
      </c>
      <c r="C292" t="n">
        <v>12</v>
      </c>
      <c r="D292" t="inlineStr">
        <is>
          <t>BAF20</t>
        </is>
      </c>
      <c r="E292" t="inlineStr">
        <is>
          <t>IC</t>
        </is>
      </c>
      <c r="F292" t="n">
        <v>11.8</v>
      </c>
      <c r="G292" t="n">
        <v>49</v>
      </c>
      <c r="H292" t="n">
        <v>7</v>
      </c>
      <c r="I292" t="inlineStr">
        <is>
          <t>L</t>
        </is>
      </c>
      <c r="J292" t="inlineStr">
        <is>
          <t>S</t>
        </is>
      </c>
      <c r="K292" t="inlineStr">
        <is>
          <t>Y</t>
        </is>
      </c>
      <c r="L292" t="inlineStr"/>
      <c r="M292" s="30">
        <f>0.005454*F292^2</f>
        <v/>
      </c>
      <c r="N292" s="31">
        <f>IF(D292="BAF20",20/M292,100)</f>
        <v/>
      </c>
      <c r="O292" s="31">
        <f>M292*N292</f>
        <v/>
      </c>
      <c r="P292" s="32">
        <f>51.8*N292</f>
        <v/>
      </c>
    </row>
    <row r="293">
      <c r="A293" t="inlineStr">
        <is>
          <t>U1-20</t>
        </is>
      </c>
      <c r="B293" t="n">
        <v>1</v>
      </c>
      <c r="C293" t="n">
        <v>13</v>
      </c>
      <c r="D293" t="inlineStr">
        <is>
          <t>BAF20</t>
        </is>
      </c>
      <c r="E293" t="inlineStr">
        <is>
          <t>PP</t>
        </is>
      </c>
      <c r="F293" t="n">
        <v>22.8</v>
      </c>
      <c r="G293" t="n">
        <v>95</v>
      </c>
      <c r="H293" t="n">
        <v>1</v>
      </c>
      <c r="I293" t="inlineStr">
        <is>
          <t>L</t>
        </is>
      </c>
      <c r="J293" t="inlineStr">
        <is>
          <t>C</t>
        </is>
      </c>
      <c r="K293" t="inlineStr"/>
      <c r="L293" t="inlineStr"/>
      <c r="M293" s="30">
        <f>0.005454*F293^2</f>
        <v/>
      </c>
      <c r="N293" s="31">
        <f>IF(D293="BAF20",20/M293,100)</f>
        <v/>
      </c>
      <c r="O293" s="31">
        <f>M293*N293</f>
        <v/>
      </c>
      <c r="P293" s="32">
        <f>499.1*N293</f>
        <v/>
      </c>
    </row>
    <row r="294">
      <c r="A294" t="inlineStr">
        <is>
          <t>U1-20</t>
        </is>
      </c>
      <c r="B294" t="n">
        <v>1</v>
      </c>
      <c r="C294" t="n">
        <v>14</v>
      </c>
      <c r="D294" t="inlineStr">
        <is>
          <t>BAF20</t>
        </is>
      </c>
      <c r="E294" t="inlineStr">
        <is>
          <t>DF</t>
        </is>
      </c>
      <c r="F294" t="n">
        <v>20.8</v>
      </c>
      <c r="G294" t="n">
        <v>101</v>
      </c>
      <c r="H294" t="n">
        <v>8</v>
      </c>
      <c r="I294" t="inlineStr">
        <is>
          <t>L</t>
        </is>
      </c>
      <c r="J294" t="inlineStr">
        <is>
          <t>C</t>
        </is>
      </c>
      <c r="K294" t="inlineStr"/>
      <c r="L294" t="inlineStr"/>
      <c r="M294" s="30">
        <f>0.005454*F294^2</f>
        <v/>
      </c>
      <c r="N294" s="31">
        <f>IF(D294="BAF20",20/M294,100)</f>
        <v/>
      </c>
      <c r="O294" s="31">
        <f>M294*N294</f>
        <v/>
      </c>
      <c r="P294" s="32">
        <f>395.5*N294</f>
        <v/>
      </c>
    </row>
    <row r="295">
      <c r="A295" t="inlineStr">
        <is>
          <t>U1-20</t>
        </is>
      </c>
      <c r="B295" t="n">
        <v>1</v>
      </c>
      <c r="C295" t="n">
        <v>15</v>
      </c>
      <c r="D295" t="inlineStr">
        <is>
          <t>BAF20</t>
        </is>
      </c>
      <c r="E295" t="inlineStr">
        <is>
          <t>WF</t>
        </is>
      </c>
      <c r="F295" t="n">
        <v>23.1</v>
      </c>
      <c r="G295" t="n">
        <v>103</v>
      </c>
      <c r="H295" t="n">
        <v>5</v>
      </c>
      <c r="I295" t="inlineStr">
        <is>
          <t>L</t>
        </is>
      </c>
      <c r="J295" t="inlineStr">
        <is>
          <t>C</t>
        </is>
      </c>
      <c r="K295" t="inlineStr"/>
      <c r="L295" t="inlineStr"/>
      <c r="M295" s="30">
        <f>0.005454*F295^2</f>
        <v/>
      </c>
      <c r="N295" s="31">
        <f>IF(D295="BAF20",20/M295,100)</f>
        <v/>
      </c>
      <c r="O295" s="31">
        <f>M295*N295</f>
        <v/>
      </c>
      <c r="P295" s="32">
        <f>536.0*N295</f>
        <v/>
      </c>
    </row>
    <row r="296">
      <c r="A296" t="inlineStr">
        <is>
          <t>U1-20</t>
        </is>
      </c>
      <c r="B296" t="n">
        <v>1</v>
      </c>
      <c r="C296" t="n">
        <v>16</v>
      </c>
      <c r="D296" t="inlineStr">
        <is>
          <t>BAF20</t>
        </is>
      </c>
      <c r="E296" t="inlineStr">
        <is>
          <t>PP</t>
        </is>
      </c>
      <c r="F296" t="n">
        <v>16.5</v>
      </c>
      <c r="G296" t="n">
        <v>79</v>
      </c>
      <c r="H296" t="n">
        <v>9</v>
      </c>
      <c r="I296" t="inlineStr">
        <is>
          <t>L</t>
        </is>
      </c>
      <c r="J296" t="inlineStr">
        <is>
          <t>I</t>
        </is>
      </c>
      <c r="K296" t="inlineStr"/>
      <c r="L296" t="inlineStr"/>
      <c r="M296" s="30">
        <f>0.005454*F296^2</f>
        <v/>
      </c>
      <c r="N296" s="31">
        <f>IF(D296="BAF20",20/M296,100)</f>
        <v/>
      </c>
      <c r="O296" s="31">
        <f>M296*N296</f>
        <v/>
      </c>
      <c r="P296" s="32">
        <f>176.9*N296</f>
        <v/>
      </c>
    </row>
    <row r="297">
      <c r="A297" t="inlineStr">
        <is>
          <t>U1-20</t>
        </is>
      </c>
      <c r="B297" t="n">
        <v>1</v>
      </c>
      <c r="C297" t="n">
        <v>17</v>
      </c>
      <c r="D297" t="inlineStr">
        <is>
          <t>BAF20</t>
        </is>
      </c>
      <c r="E297" t="inlineStr">
        <is>
          <t>IC</t>
        </is>
      </c>
      <c r="F297" t="n">
        <v>12.8</v>
      </c>
      <c r="G297" t="n">
        <v>51</v>
      </c>
      <c r="H297" t="n">
        <v>2</v>
      </c>
      <c r="I297" t="inlineStr">
        <is>
          <t>L</t>
        </is>
      </c>
      <c r="J297" t="inlineStr">
        <is>
          <t>S</t>
        </is>
      </c>
      <c r="K297" t="inlineStr">
        <is>
          <t>Y</t>
        </is>
      </c>
      <c r="L297" t="inlineStr"/>
      <c r="M297" s="30">
        <f>0.005454*F297^2</f>
        <v/>
      </c>
      <c r="N297" s="31">
        <f>IF(D297="BAF20",20/M297,100)</f>
        <v/>
      </c>
      <c r="O297" s="31">
        <f>M297*N297</f>
        <v/>
      </c>
      <c r="P297" s="32">
        <f>68.4*N297</f>
        <v/>
      </c>
    </row>
    <row r="298">
      <c r="A298" t="inlineStr">
        <is>
          <t>U1-20</t>
        </is>
      </c>
      <c r="B298" t="n">
        <v>1</v>
      </c>
      <c r="C298" t="n">
        <v>18</v>
      </c>
      <c r="D298" t="inlineStr">
        <is>
          <t>BAF20</t>
        </is>
      </c>
      <c r="E298" t="inlineStr">
        <is>
          <t>DF</t>
        </is>
      </c>
      <c r="F298" t="n">
        <v>5</v>
      </c>
      <c r="G298" t="n">
        <v>31</v>
      </c>
      <c r="H298" t="n">
        <v>14</v>
      </c>
      <c r="I298" t="inlineStr">
        <is>
          <t>L</t>
        </is>
      </c>
      <c r="J298" t="inlineStr">
        <is>
          <t>S</t>
        </is>
      </c>
      <c r="K298" t="inlineStr">
        <is>
          <t>Y</t>
        </is>
      </c>
      <c r="L298" t="inlineStr"/>
      <c r="M298" s="30">
        <f>0.005454*F298^2</f>
        <v/>
      </c>
      <c r="N298" s="31">
        <f>IF(D298="BAF20",20/M298,100)</f>
        <v/>
      </c>
      <c r="O298" s="31">
        <f>M298*N298</f>
        <v/>
      </c>
      <c r="P298" s="32">
        <f>0.0*N298</f>
        <v/>
      </c>
    </row>
    <row r="299">
      <c r="A299" t="inlineStr">
        <is>
          <t>U1-20</t>
        </is>
      </c>
      <c r="B299" t="n">
        <v>1</v>
      </c>
      <c r="C299" t="n">
        <v>19</v>
      </c>
      <c r="D299" t="inlineStr">
        <is>
          <t>FIX100</t>
        </is>
      </c>
      <c r="E299" t="inlineStr">
        <is>
          <t>PP</t>
        </is>
      </c>
      <c r="F299" t="n">
        <v>3.3</v>
      </c>
      <c r="G299" t="n">
        <v>19</v>
      </c>
      <c r="H299" t="n">
        <v>0</v>
      </c>
      <c r="I299" t="inlineStr">
        <is>
          <t>L</t>
        </is>
      </c>
      <c r="J299" t="inlineStr">
        <is>
          <t>S</t>
        </is>
      </c>
      <c r="K299" t="inlineStr"/>
      <c r="L299" t="inlineStr"/>
      <c r="M299" s="30">
        <f>0.005454*F299^2</f>
        <v/>
      </c>
      <c r="N299" s="31">
        <f>IF(D299="BAF20",20/M299,100)</f>
        <v/>
      </c>
      <c r="O299" s="31">
        <f>M299*N299</f>
        <v/>
      </c>
      <c r="P299" s="32">
        <f>0.0*N299</f>
        <v/>
      </c>
    </row>
    <row r="300">
      <c r="A300" t="inlineStr">
        <is>
          <t>U1-20</t>
        </is>
      </c>
      <c r="B300" t="n">
        <v>1</v>
      </c>
      <c r="C300" t="n">
        <v>20</v>
      </c>
      <c r="D300" t="inlineStr">
        <is>
          <t>FIX100</t>
        </is>
      </c>
      <c r="E300" t="inlineStr">
        <is>
          <t>WF</t>
        </is>
      </c>
      <c r="F300" t="n">
        <v>3</v>
      </c>
      <c r="G300" t="n">
        <v>18</v>
      </c>
      <c r="H300" t="n">
        <v>0</v>
      </c>
      <c r="I300" t="inlineStr">
        <is>
          <t>L</t>
        </is>
      </c>
      <c r="J300" t="inlineStr">
        <is>
          <t>S</t>
        </is>
      </c>
      <c r="K300" t="inlineStr"/>
      <c r="L300" t="inlineStr"/>
      <c r="M300" s="30">
        <f>0.005454*F300^2</f>
        <v/>
      </c>
      <c r="N300" s="31">
        <f>IF(D300="BAF20",20/M300,100)</f>
        <v/>
      </c>
      <c r="O300" s="31">
        <f>M300*N300</f>
        <v/>
      </c>
      <c r="P300" s="32">
        <f>0.0*N300</f>
        <v/>
      </c>
    </row>
    <row r="301">
      <c r="A301" t="inlineStr">
        <is>
          <t>U1-21</t>
        </is>
      </c>
      <c r="B301" t="n">
        <v>1</v>
      </c>
      <c r="C301" t="n">
        <v>1</v>
      </c>
      <c r="D301" t="inlineStr">
        <is>
          <t>BAF20</t>
        </is>
      </c>
      <c r="E301" t="inlineStr">
        <is>
          <t>PP</t>
        </is>
      </c>
      <c r="F301" t="n">
        <v>15.5</v>
      </c>
      <c r="G301" t="n">
        <v>66</v>
      </c>
      <c r="H301" t="n">
        <v>1</v>
      </c>
      <c r="I301" t="inlineStr">
        <is>
          <t>L</t>
        </is>
      </c>
      <c r="J301" t="inlineStr">
        <is>
          <t>I</t>
        </is>
      </c>
      <c r="K301" t="inlineStr"/>
      <c r="L301" t="inlineStr"/>
      <c r="M301" s="30">
        <f>0.005454*F301^2</f>
        <v/>
      </c>
      <c r="N301" s="31">
        <f>IF(D301="BAF20",20/M301,100)</f>
        <v/>
      </c>
      <c r="O301" s="31">
        <f>M301*N301</f>
        <v/>
      </c>
      <c r="P301" s="32">
        <f>139.0*N301</f>
        <v/>
      </c>
    </row>
    <row r="302">
      <c r="A302" t="inlineStr">
        <is>
          <t>U1-21</t>
        </is>
      </c>
      <c r="B302" t="n">
        <v>1</v>
      </c>
      <c r="C302" t="n">
        <v>2</v>
      </c>
      <c r="D302" t="inlineStr">
        <is>
          <t>BAF20</t>
        </is>
      </c>
      <c r="E302" t="inlineStr">
        <is>
          <t>BO</t>
        </is>
      </c>
      <c r="F302" t="n">
        <v>8.9</v>
      </c>
      <c r="G302" t="n">
        <v>37</v>
      </c>
      <c r="H302" t="n">
        <v>11</v>
      </c>
      <c r="I302" t="inlineStr">
        <is>
          <t>L</t>
        </is>
      </c>
      <c r="J302" t="inlineStr">
        <is>
          <t>S</t>
        </is>
      </c>
      <c r="K302" t="inlineStr">
        <is>
          <t>Y</t>
        </is>
      </c>
      <c r="L302" t="inlineStr"/>
      <c r="M302" s="30">
        <f>0.005454*F302^2</f>
        <v/>
      </c>
      <c r="N302" s="31">
        <f>IF(D302="BAF20",20/M302,100)</f>
        <v/>
      </c>
      <c r="O302" s="31">
        <f>M302*N302</f>
        <v/>
      </c>
      <c r="P302" s="32">
        <f>0.0*N302</f>
        <v/>
      </c>
    </row>
    <row r="303">
      <c r="A303" t="inlineStr">
        <is>
          <t>U1-21</t>
        </is>
      </c>
      <c r="B303" t="n">
        <v>1</v>
      </c>
      <c r="C303" t="n">
        <v>3</v>
      </c>
      <c r="D303" t="inlineStr">
        <is>
          <t>BAF20</t>
        </is>
      </c>
      <c r="E303" t="inlineStr">
        <is>
          <t>DF</t>
        </is>
      </c>
      <c r="F303" t="n">
        <v>13.2</v>
      </c>
      <c r="G303" t="n">
        <v>64</v>
      </c>
      <c r="H303" t="n">
        <v>0</v>
      </c>
      <c r="I303" t="inlineStr">
        <is>
          <t>L</t>
        </is>
      </c>
      <c r="J303" t="inlineStr">
        <is>
          <t>S</t>
        </is>
      </c>
      <c r="K303" t="inlineStr">
        <is>
          <t>Y</t>
        </is>
      </c>
      <c r="L303" t="inlineStr"/>
      <c r="M303" s="30">
        <f>0.005454*F303^2</f>
        <v/>
      </c>
      <c r="N303" s="31">
        <f>IF(D303="BAF20",20/M303,100)</f>
        <v/>
      </c>
      <c r="O303" s="31">
        <f>M303*N303</f>
        <v/>
      </c>
      <c r="P303" s="32">
        <f>94.0*N303</f>
        <v/>
      </c>
    </row>
    <row r="304">
      <c r="A304" t="inlineStr">
        <is>
          <t>U1-21</t>
        </is>
      </c>
      <c r="B304" t="n">
        <v>1</v>
      </c>
      <c r="C304" t="n">
        <v>4</v>
      </c>
      <c r="D304" t="inlineStr">
        <is>
          <t>BAF20</t>
        </is>
      </c>
      <c r="E304" t="inlineStr">
        <is>
          <t>WF</t>
        </is>
      </c>
      <c r="F304" t="n">
        <v>12</v>
      </c>
      <c r="G304" t="n">
        <v>67</v>
      </c>
      <c r="H304" t="n">
        <v>2</v>
      </c>
      <c r="I304" t="inlineStr">
        <is>
          <t>L</t>
        </is>
      </c>
      <c r="J304" t="inlineStr">
        <is>
          <t>S</t>
        </is>
      </c>
      <c r="K304" t="inlineStr">
        <is>
          <t>Y</t>
        </is>
      </c>
      <c r="L304" t="inlineStr"/>
      <c r="M304" s="30">
        <f>0.005454*F304^2</f>
        <v/>
      </c>
      <c r="N304" s="31">
        <f>IF(D304="BAF20",20/M304,100)</f>
        <v/>
      </c>
      <c r="O304" s="31">
        <f>M304*N304</f>
        <v/>
      </c>
      <c r="P304" s="32">
        <f>77.6*N304</f>
        <v/>
      </c>
    </row>
    <row r="305">
      <c r="A305" t="inlineStr">
        <is>
          <t>U1-21</t>
        </is>
      </c>
      <c r="B305" t="n">
        <v>1</v>
      </c>
      <c r="C305" t="n">
        <v>5</v>
      </c>
      <c r="D305" t="inlineStr">
        <is>
          <t>BAF20</t>
        </is>
      </c>
      <c r="E305" t="inlineStr">
        <is>
          <t>PP</t>
        </is>
      </c>
      <c r="F305" t="n">
        <v>27</v>
      </c>
      <c r="G305" t="n">
        <v>116</v>
      </c>
      <c r="H305" t="n">
        <v>5</v>
      </c>
      <c r="I305" t="inlineStr">
        <is>
          <t>L</t>
        </is>
      </c>
      <c r="J305" t="inlineStr">
        <is>
          <t>D</t>
        </is>
      </c>
      <c r="K305" t="inlineStr"/>
      <c r="L305" t="inlineStr"/>
      <c r="M305" s="30">
        <f>0.005454*F305^2</f>
        <v/>
      </c>
      <c r="N305" s="31">
        <f>IF(D305="BAF20",20/M305,100)</f>
        <v/>
      </c>
      <c r="O305" s="31">
        <f>M305*N305</f>
        <v/>
      </c>
      <c r="P305" s="32">
        <f>882.8*N305</f>
        <v/>
      </c>
    </row>
    <row r="306">
      <c r="A306" t="inlineStr">
        <is>
          <t>U1-21</t>
        </is>
      </c>
      <c r="B306" t="n">
        <v>1</v>
      </c>
      <c r="C306" t="n">
        <v>6</v>
      </c>
      <c r="D306" t="inlineStr">
        <is>
          <t>BAF20</t>
        </is>
      </c>
      <c r="E306" t="inlineStr">
        <is>
          <t>WF</t>
        </is>
      </c>
      <c r="F306" t="n">
        <v>15.6</v>
      </c>
      <c r="G306" t="n">
        <v>81</v>
      </c>
      <c r="H306" t="n">
        <v>6</v>
      </c>
      <c r="I306" t="inlineStr">
        <is>
          <t>L</t>
        </is>
      </c>
      <c r="J306" t="inlineStr">
        <is>
          <t>I</t>
        </is>
      </c>
      <c r="K306" t="inlineStr"/>
      <c r="L306" t="inlineStr"/>
      <c r="M306" s="30">
        <f>0.005454*F306^2</f>
        <v/>
      </c>
      <c r="N306" s="31">
        <f>IF(D306="BAF20",20/M306,100)</f>
        <v/>
      </c>
      <c r="O306" s="31">
        <f>M306*N306</f>
        <v/>
      </c>
      <c r="P306" s="32">
        <f>164.4*N306</f>
        <v/>
      </c>
    </row>
    <row r="307">
      <c r="A307" t="inlineStr">
        <is>
          <t>U1-21</t>
        </is>
      </c>
      <c r="B307" t="n">
        <v>1</v>
      </c>
      <c r="C307" t="n">
        <v>7</v>
      </c>
      <c r="D307" t="inlineStr">
        <is>
          <t>BAF20</t>
        </is>
      </c>
      <c r="E307" t="inlineStr">
        <is>
          <t>DF</t>
        </is>
      </c>
      <c r="F307" t="n">
        <v>25.8</v>
      </c>
      <c r="G307" t="n">
        <v>99</v>
      </c>
      <c r="H307" t="n">
        <v>2</v>
      </c>
      <c r="I307" t="inlineStr">
        <is>
          <t>L</t>
        </is>
      </c>
      <c r="J307" t="inlineStr">
        <is>
          <t>D</t>
        </is>
      </c>
      <c r="K307" t="inlineStr"/>
      <c r="L307" t="inlineStr"/>
      <c r="M307" s="30">
        <f>0.005454*F307^2</f>
        <v/>
      </c>
      <c r="N307" s="31">
        <f>IF(D307="BAF20",20/M307,100)</f>
        <v/>
      </c>
      <c r="O307" s="31">
        <f>M307*N307</f>
        <v/>
      </c>
      <c r="P307" s="32">
        <f>695.3*N307</f>
        <v/>
      </c>
    </row>
    <row r="308">
      <c r="A308" t="inlineStr">
        <is>
          <t>U1-21</t>
        </is>
      </c>
      <c r="B308" t="n">
        <v>1</v>
      </c>
      <c r="C308" t="n">
        <v>8</v>
      </c>
      <c r="D308" t="inlineStr">
        <is>
          <t>FIX100</t>
        </is>
      </c>
      <c r="E308" t="inlineStr">
        <is>
          <t>PP</t>
        </is>
      </c>
      <c r="F308" t="n">
        <v>1.7</v>
      </c>
      <c r="G308" t="n">
        <v>11</v>
      </c>
      <c r="H308" t="n">
        <v>0</v>
      </c>
      <c r="I308" t="inlineStr">
        <is>
          <t>L</t>
        </is>
      </c>
      <c r="J308" t="inlineStr">
        <is>
          <t>S</t>
        </is>
      </c>
      <c r="K308" t="inlineStr"/>
      <c r="L308" t="inlineStr"/>
      <c r="M308" s="30">
        <f>0.005454*F308^2</f>
        <v/>
      </c>
      <c r="N308" s="31">
        <f>IF(D308="BAF20",20/M308,100)</f>
        <v/>
      </c>
      <c r="O308" s="31">
        <f>M308*N308</f>
        <v/>
      </c>
      <c r="P308" s="32">
        <f>0.0*N308</f>
        <v/>
      </c>
    </row>
    <row r="309">
      <c r="A309" t="inlineStr">
        <is>
          <t>U1-21</t>
        </is>
      </c>
      <c r="B309" t="n">
        <v>1</v>
      </c>
      <c r="C309" t="n">
        <v>9</v>
      </c>
      <c r="D309" t="inlineStr">
        <is>
          <t>FIX100</t>
        </is>
      </c>
      <c r="E309" t="inlineStr">
        <is>
          <t>IC</t>
        </is>
      </c>
      <c r="F309" t="n">
        <v>2.3</v>
      </c>
      <c r="G309" t="n">
        <v>10</v>
      </c>
      <c r="H309" t="n">
        <v>0</v>
      </c>
      <c r="I309" t="inlineStr">
        <is>
          <t>L</t>
        </is>
      </c>
      <c r="J309" t="inlineStr">
        <is>
          <t>S</t>
        </is>
      </c>
      <c r="K309" t="inlineStr"/>
      <c r="L309" t="inlineStr"/>
      <c r="M309" s="30">
        <f>0.005454*F309^2</f>
        <v/>
      </c>
      <c r="N309" s="31">
        <f>IF(D309="BAF20",20/M309,100)</f>
        <v/>
      </c>
      <c r="O309" s="31">
        <f>M309*N309</f>
        <v/>
      </c>
      <c r="P309" s="32">
        <f>0.0*N309</f>
        <v/>
      </c>
    </row>
    <row r="310">
      <c r="A310" t="inlineStr">
        <is>
          <t>U1-22</t>
        </is>
      </c>
      <c r="B310" t="n">
        <v>1</v>
      </c>
      <c r="C310" t="n">
        <v>1</v>
      </c>
      <c r="D310" t="inlineStr">
        <is>
          <t>BAF20</t>
        </is>
      </c>
      <c r="E310" t="inlineStr">
        <is>
          <t>IC</t>
        </is>
      </c>
      <c r="F310" t="n">
        <v>26.5</v>
      </c>
      <c r="G310" t="n">
        <v>88</v>
      </c>
      <c r="H310" t="n">
        <v>5</v>
      </c>
      <c r="I310" t="inlineStr">
        <is>
          <t>L</t>
        </is>
      </c>
      <c r="J310" t="inlineStr">
        <is>
          <t>D</t>
        </is>
      </c>
      <c r="K310" t="inlineStr"/>
      <c r="L310" t="inlineStr"/>
      <c r="M310" s="30">
        <f>0.005454*F310^2</f>
        <v/>
      </c>
      <c r="N310" s="31">
        <f>IF(D310="BAF20",20/M310,100)</f>
        <v/>
      </c>
      <c r="O310" s="31">
        <f>M310*N310</f>
        <v/>
      </c>
      <c r="P310" s="32">
        <f>639.7*N310</f>
        <v/>
      </c>
    </row>
    <row r="311">
      <c r="A311" t="inlineStr">
        <is>
          <t>U1-22</t>
        </is>
      </c>
      <c r="B311" t="n">
        <v>1</v>
      </c>
      <c r="C311" t="n">
        <v>2</v>
      </c>
      <c r="D311" t="inlineStr">
        <is>
          <t>BAF20</t>
        </is>
      </c>
      <c r="E311" t="inlineStr">
        <is>
          <t>PP</t>
        </is>
      </c>
      <c r="F311" t="n">
        <v>17.9</v>
      </c>
      <c r="G311" t="n">
        <v>74</v>
      </c>
      <c r="H311" t="n">
        <v>8</v>
      </c>
      <c r="I311" t="inlineStr">
        <is>
          <t>L</t>
        </is>
      </c>
      <c r="J311" t="inlineStr">
        <is>
          <t>I</t>
        </is>
      </c>
      <c r="K311" t="inlineStr"/>
      <c r="L311" t="inlineStr"/>
      <c r="M311" s="30">
        <f>0.005454*F311^2</f>
        <v/>
      </c>
      <c r="N311" s="31">
        <f>IF(D311="BAF20",20/M311,100)</f>
        <v/>
      </c>
      <c r="O311" s="31">
        <f>M311*N311</f>
        <v/>
      </c>
      <c r="P311" s="32">
        <f>202.9*N311</f>
        <v/>
      </c>
    </row>
    <row r="312">
      <c r="A312" t="inlineStr">
        <is>
          <t>U1-22</t>
        </is>
      </c>
      <c r="B312" t="n">
        <v>1</v>
      </c>
      <c r="C312" t="n">
        <v>3</v>
      </c>
      <c r="D312" t="inlineStr">
        <is>
          <t>BAF20</t>
        </is>
      </c>
      <c r="E312" t="inlineStr">
        <is>
          <t>BO</t>
        </is>
      </c>
      <c r="F312" t="n">
        <v>11.8</v>
      </c>
      <c r="G312" t="n">
        <v>50</v>
      </c>
      <c r="H312" t="n">
        <v>23</v>
      </c>
      <c r="I312" t="inlineStr">
        <is>
          <t>L</t>
        </is>
      </c>
      <c r="J312" t="inlineStr">
        <is>
          <t>S</t>
        </is>
      </c>
      <c r="K312" t="inlineStr">
        <is>
          <t>Y</t>
        </is>
      </c>
      <c r="L312" t="inlineStr"/>
      <c r="M312" s="30">
        <f>0.005454*F312^2</f>
        <v/>
      </c>
      <c r="N312" s="31">
        <f>IF(D312="BAF20",20/M312,100)</f>
        <v/>
      </c>
      <c r="O312" s="31">
        <f>M312*N312</f>
        <v/>
      </c>
      <c r="P312" s="32">
        <f>39.6*N312</f>
        <v/>
      </c>
    </row>
    <row r="313">
      <c r="A313" t="inlineStr">
        <is>
          <t>U1-22</t>
        </is>
      </c>
      <c r="B313" t="n">
        <v>1</v>
      </c>
      <c r="C313" t="n">
        <v>4</v>
      </c>
      <c r="D313" t="inlineStr">
        <is>
          <t>BAF20</t>
        </is>
      </c>
      <c r="E313" t="inlineStr">
        <is>
          <t>IC</t>
        </is>
      </c>
      <c r="F313" t="n">
        <v>15.8</v>
      </c>
      <c r="G313" t="n">
        <v>65</v>
      </c>
      <c r="H313" t="n">
        <v>6</v>
      </c>
      <c r="I313" t="inlineStr">
        <is>
          <t>L</t>
        </is>
      </c>
      <c r="J313" t="inlineStr">
        <is>
          <t>I</t>
        </is>
      </c>
      <c r="K313" t="inlineStr"/>
      <c r="L313" t="inlineStr"/>
      <c r="M313" s="30">
        <f>0.005454*F313^2</f>
        <v/>
      </c>
      <c r="N313" s="31">
        <f>IF(D313="BAF20",20/M313,100)</f>
        <v/>
      </c>
      <c r="O313" s="31">
        <f>M313*N313</f>
        <v/>
      </c>
      <c r="P313" s="32">
        <f>135.9*N313</f>
        <v/>
      </c>
    </row>
    <row r="314">
      <c r="A314" t="inlineStr">
        <is>
          <t>U1-22</t>
        </is>
      </c>
      <c r="B314" t="n">
        <v>1</v>
      </c>
      <c r="C314" t="n">
        <v>5</v>
      </c>
      <c r="D314" t="inlineStr">
        <is>
          <t>BAF20</t>
        </is>
      </c>
      <c r="E314" t="inlineStr">
        <is>
          <t>WF</t>
        </is>
      </c>
      <c r="F314" t="n">
        <v>18.7</v>
      </c>
      <c r="G314" t="n">
        <v>76</v>
      </c>
      <c r="H314" t="n">
        <v>4</v>
      </c>
      <c r="I314" t="inlineStr">
        <is>
          <t>L</t>
        </is>
      </c>
      <c r="J314" t="inlineStr">
        <is>
          <t>I</t>
        </is>
      </c>
      <c r="K314" t="inlineStr"/>
      <c r="L314" t="inlineStr"/>
      <c r="M314" s="30">
        <f>0.005454*F314^2</f>
        <v/>
      </c>
      <c r="N314" s="31">
        <f>IF(D314="BAF20",20/M314,100)</f>
        <v/>
      </c>
      <c r="O314" s="31">
        <f>M314*N314</f>
        <v/>
      </c>
      <c r="P314" s="32">
        <f>241.1*N314</f>
        <v/>
      </c>
    </row>
    <row r="315">
      <c r="A315" t="inlineStr">
        <is>
          <t>U1-22</t>
        </is>
      </c>
      <c r="B315" t="n">
        <v>1</v>
      </c>
      <c r="C315" t="n">
        <v>6</v>
      </c>
      <c r="D315" t="inlineStr">
        <is>
          <t>BAF20</t>
        </is>
      </c>
      <c r="E315" t="inlineStr">
        <is>
          <t>PP</t>
        </is>
      </c>
      <c r="F315" t="n">
        <v>29.5</v>
      </c>
      <c r="G315" t="n">
        <v>103</v>
      </c>
      <c r="H315" t="n">
        <v>3</v>
      </c>
      <c r="I315" t="inlineStr">
        <is>
          <t>L</t>
        </is>
      </c>
      <c r="J315" t="inlineStr">
        <is>
          <t>D</t>
        </is>
      </c>
      <c r="K315" t="inlineStr"/>
      <c r="L315" t="inlineStr"/>
      <c r="M315" s="30">
        <f>0.005454*F315^2</f>
        <v/>
      </c>
      <c r="N315" s="31">
        <f>IF(D315="BAF20",20/M315,100)</f>
        <v/>
      </c>
      <c r="O315" s="31">
        <f>M315*N315</f>
        <v/>
      </c>
      <c r="P315" s="32">
        <f>995.7*N315</f>
        <v/>
      </c>
    </row>
    <row r="316">
      <c r="A316" t="inlineStr">
        <is>
          <t>U1-22</t>
        </is>
      </c>
      <c r="B316" t="n">
        <v>1</v>
      </c>
      <c r="C316" t="n">
        <v>7</v>
      </c>
      <c r="D316" t="inlineStr">
        <is>
          <t>BAF20</t>
        </is>
      </c>
      <c r="E316" t="inlineStr">
        <is>
          <t>WF</t>
        </is>
      </c>
      <c r="F316" t="n">
        <v>6.2</v>
      </c>
      <c r="G316" t="n">
        <v>30</v>
      </c>
      <c r="H316" t="n">
        <v>10</v>
      </c>
      <c r="I316" t="inlineStr">
        <is>
          <t>L</t>
        </is>
      </c>
      <c r="J316" t="inlineStr">
        <is>
          <t>S</t>
        </is>
      </c>
      <c r="K316" t="inlineStr">
        <is>
          <t>Y</t>
        </is>
      </c>
      <c r="L316" t="inlineStr"/>
      <c r="M316" s="30">
        <f>0.005454*F316^2</f>
        <v/>
      </c>
      <c r="N316" s="31">
        <f>IF(D316="BAF20",20/M316,100)</f>
        <v/>
      </c>
      <c r="O316" s="31">
        <f>M316*N316</f>
        <v/>
      </c>
      <c r="P316" s="32">
        <f>0.0*N316</f>
        <v/>
      </c>
    </row>
    <row r="317">
      <c r="A317" t="inlineStr">
        <is>
          <t>U1-22</t>
        </is>
      </c>
      <c r="B317" t="n">
        <v>1</v>
      </c>
      <c r="C317" t="n">
        <v>8</v>
      </c>
      <c r="D317" t="inlineStr">
        <is>
          <t>BAF20</t>
        </is>
      </c>
      <c r="E317" t="inlineStr">
        <is>
          <t>IC</t>
        </is>
      </c>
      <c r="F317" t="n">
        <v>8.4</v>
      </c>
      <c r="G317" t="n">
        <v>33</v>
      </c>
      <c r="H317" t="n">
        <v>8</v>
      </c>
      <c r="I317" t="inlineStr">
        <is>
          <t>L</t>
        </is>
      </c>
      <c r="J317" t="inlineStr">
        <is>
          <t>S</t>
        </is>
      </c>
      <c r="K317" t="inlineStr">
        <is>
          <t>Y</t>
        </is>
      </c>
      <c r="L317" t="inlineStr"/>
      <c r="M317" s="30">
        <f>0.005454*F317^2</f>
        <v/>
      </c>
      <c r="N317" s="31">
        <f>IF(D317="BAF20",20/M317,100)</f>
        <v/>
      </c>
      <c r="O317" s="31">
        <f>M317*N317</f>
        <v/>
      </c>
      <c r="P317" s="32">
        <f>0.0*N317</f>
        <v/>
      </c>
    </row>
    <row r="318">
      <c r="A318" t="inlineStr">
        <is>
          <t>U1-22</t>
        </is>
      </c>
      <c r="B318" t="n">
        <v>1</v>
      </c>
      <c r="C318" t="n">
        <v>9</v>
      </c>
      <c r="D318" t="inlineStr">
        <is>
          <t>BAF20</t>
        </is>
      </c>
      <c r="E318" t="inlineStr">
        <is>
          <t>BO</t>
        </is>
      </c>
      <c r="F318" t="n">
        <v>11.9</v>
      </c>
      <c r="G318" t="n">
        <v>44</v>
      </c>
      <c r="H318" t="n">
        <v>12</v>
      </c>
      <c r="I318" t="inlineStr">
        <is>
          <t>L</t>
        </is>
      </c>
      <c r="J318" t="inlineStr">
        <is>
          <t>S</t>
        </is>
      </c>
      <c r="K318" t="inlineStr">
        <is>
          <t>Y</t>
        </is>
      </c>
      <c r="L318" t="inlineStr"/>
      <c r="M318" s="30">
        <f>0.005454*F318^2</f>
        <v/>
      </c>
      <c r="N318" s="31">
        <f>IF(D318="BAF20",20/M318,100)</f>
        <v/>
      </c>
      <c r="O318" s="31">
        <f>M318*N318</f>
        <v/>
      </c>
      <c r="P318" s="32">
        <f>40.6*N318</f>
        <v/>
      </c>
    </row>
    <row r="319">
      <c r="A319" t="inlineStr">
        <is>
          <t>U1-22</t>
        </is>
      </c>
      <c r="B319" t="n">
        <v>1</v>
      </c>
      <c r="C319" t="n">
        <v>10</v>
      </c>
      <c r="D319" t="inlineStr">
        <is>
          <t>BAF20</t>
        </is>
      </c>
      <c r="E319" t="inlineStr">
        <is>
          <t>PP</t>
        </is>
      </c>
      <c r="F319" t="n">
        <v>13.6</v>
      </c>
      <c r="G319" t="n">
        <v>71</v>
      </c>
      <c r="H319" t="n">
        <v>2</v>
      </c>
      <c r="I319" t="inlineStr">
        <is>
          <t>L</t>
        </is>
      </c>
      <c r="J319" t="inlineStr">
        <is>
          <t>I</t>
        </is>
      </c>
      <c r="K319" t="inlineStr">
        <is>
          <t>Y</t>
        </is>
      </c>
      <c r="L319" t="inlineStr"/>
      <c r="M319" s="30">
        <f>0.005454*F319^2</f>
        <v/>
      </c>
      <c r="N319" s="31">
        <f>IF(D319="BAF20",20/M319,100)</f>
        <v/>
      </c>
      <c r="O319" s="31">
        <f>M319*N319</f>
        <v/>
      </c>
      <c r="P319" s="32">
        <f>109.4*N319</f>
        <v/>
      </c>
    </row>
    <row r="320">
      <c r="A320" t="inlineStr">
        <is>
          <t>U1-22</t>
        </is>
      </c>
      <c r="B320" t="n">
        <v>1</v>
      </c>
      <c r="C320" t="n">
        <v>11</v>
      </c>
      <c r="D320" t="inlineStr">
        <is>
          <t>BAF20</t>
        </is>
      </c>
      <c r="E320" t="inlineStr">
        <is>
          <t>PP</t>
        </is>
      </c>
      <c r="F320" t="n">
        <v>13.4</v>
      </c>
      <c r="G320" t="n">
        <v>67</v>
      </c>
      <c r="H320" t="n">
        <v>1</v>
      </c>
      <c r="I320" t="inlineStr">
        <is>
          <t>L</t>
        </is>
      </c>
      <c r="J320" t="inlineStr">
        <is>
          <t>I</t>
        </is>
      </c>
      <c r="K320" t="inlineStr">
        <is>
          <t>Y</t>
        </is>
      </c>
      <c r="L320" t="inlineStr"/>
      <c r="M320" s="30">
        <f>0.005454*F320^2</f>
        <v/>
      </c>
      <c r="N320" s="31">
        <f>IF(D320="BAF20",20/M320,100)</f>
        <v/>
      </c>
      <c r="O320" s="31">
        <f>M320*N320</f>
        <v/>
      </c>
      <c r="P320" s="32">
        <f>100.8*N320</f>
        <v/>
      </c>
    </row>
    <row r="321">
      <c r="A321" t="inlineStr">
        <is>
          <t>U1-22</t>
        </is>
      </c>
      <c r="B321" t="n">
        <v>1</v>
      </c>
      <c r="C321" t="n">
        <v>12</v>
      </c>
      <c r="D321" t="inlineStr">
        <is>
          <t>BAF20</t>
        </is>
      </c>
      <c r="E321" t="inlineStr">
        <is>
          <t>PP</t>
        </is>
      </c>
      <c r="F321" t="n">
        <v>18.9</v>
      </c>
      <c r="G321" t="n">
        <v>76</v>
      </c>
      <c r="H321" t="n">
        <v>1</v>
      </c>
      <c r="I321" t="inlineStr">
        <is>
          <t>L</t>
        </is>
      </c>
      <c r="J321" t="inlineStr">
        <is>
          <t>I</t>
        </is>
      </c>
      <c r="K321" t="inlineStr"/>
      <c r="L321" t="inlineStr"/>
      <c r="M321" s="30">
        <f>0.005454*F321^2</f>
        <v/>
      </c>
      <c r="N321" s="31">
        <f>IF(D321="BAF20",20/M321,100)</f>
        <v/>
      </c>
      <c r="O321" s="31">
        <f>M321*N321</f>
        <v/>
      </c>
      <c r="P321" s="32">
        <f>254.9*N321</f>
        <v/>
      </c>
    </row>
    <row r="322">
      <c r="A322" t="inlineStr">
        <is>
          <t>U1-22</t>
        </is>
      </c>
      <c r="B322" t="n">
        <v>1</v>
      </c>
      <c r="C322" t="n">
        <v>13</v>
      </c>
      <c r="D322" t="inlineStr">
        <is>
          <t>FIX100</t>
        </is>
      </c>
      <c r="E322" t="inlineStr">
        <is>
          <t>IC</t>
        </is>
      </c>
      <c r="F322" t="n">
        <v>4.9</v>
      </c>
      <c r="G322" t="n">
        <v>25</v>
      </c>
      <c r="H322" t="n">
        <v>0</v>
      </c>
      <c r="I322" t="inlineStr">
        <is>
          <t>L</t>
        </is>
      </c>
      <c r="J322" t="inlineStr">
        <is>
          <t>S</t>
        </is>
      </c>
      <c r="K322" t="inlineStr"/>
      <c r="L322" t="inlineStr"/>
      <c r="M322" s="30">
        <f>0.005454*F322^2</f>
        <v/>
      </c>
      <c r="N322" s="31">
        <f>IF(D322="BAF20",20/M322,100)</f>
        <v/>
      </c>
      <c r="O322" s="31">
        <f>M322*N322</f>
        <v/>
      </c>
      <c r="P322" s="32">
        <f>0.0*N322</f>
        <v/>
      </c>
    </row>
    <row r="323">
      <c r="A323" t="inlineStr">
        <is>
          <t>U1-22</t>
        </is>
      </c>
      <c r="B323" t="n">
        <v>1</v>
      </c>
      <c r="C323" t="n">
        <v>14</v>
      </c>
      <c r="D323" t="inlineStr">
        <is>
          <t>FIX100</t>
        </is>
      </c>
      <c r="E323" t="inlineStr">
        <is>
          <t>DF</t>
        </is>
      </c>
      <c r="F323" t="n">
        <v>2.6</v>
      </c>
      <c r="G323" t="n">
        <v>15</v>
      </c>
      <c r="H323" t="n">
        <v>0</v>
      </c>
      <c r="I323" t="inlineStr">
        <is>
          <t>L</t>
        </is>
      </c>
      <c r="J323" t="inlineStr">
        <is>
          <t>S</t>
        </is>
      </c>
      <c r="K323" t="inlineStr"/>
      <c r="L323" t="inlineStr"/>
      <c r="M323" s="30">
        <f>0.005454*F323^2</f>
        <v/>
      </c>
      <c r="N323" s="31">
        <f>IF(D323="BAF20",20/M323,100)</f>
        <v/>
      </c>
      <c r="O323" s="31">
        <f>M323*N323</f>
        <v/>
      </c>
      <c r="P323" s="32">
        <f>0.0*N323</f>
        <v/>
      </c>
    </row>
    <row r="324">
      <c r="A324" t="inlineStr">
        <is>
          <t>U1-23</t>
        </is>
      </c>
      <c r="B324" t="n">
        <v>1</v>
      </c>
      <c r="C324" t="n">
        <v>1</v>
      </c>
      <c r="D324" t="inlineStr">
        <is>
          <t>BAF20</t>
        </is>
      </c>
      <c r="E324" t="inlineStr">
        <is>
          <t>IC</t>
        </is>
      </c>
      <c r="F324" t="n">
        <v>8.6</v>
      </c>
      <c r="G324" t="n">
        <v>36</v>
      </c>
      <c r="H324" t="n">
        <v>2</v>
      </c>
      <c r="I324" t="inlineStr">
        <is>
          <t>L</t>
        </is>
      </c>
      <c r="J324" t="inlineStr">
        <is>
          <t>S</t>
        </is>
      </c>
      <c r="K324" t="inlineStr">
        <is>
          <t>Y</t>
        </is>
      </c>
      <c r="L324" t="inlineStr"/>
      <c r="M324" s="30">
        <f>0.005454*F324^2</f>
        <v/>
      </c>
      <c r="N324" s="31">
        <f>IF(D324="BAF20",20/M324,100)</f>
        <v/>
      </c>
      <c r="O324" s="31">
        <f>M324*N324</f>
        <v/>
      </c>
      <c r="P324" s="32">
        <f>0.0*N324</f>
        <v/>
      </c>
    </row>
    <row r="325">
      <c r="A325" t="inlineStr">
        <is>
          <t>U1-23</t>
        </is>
      </c>
      <c r="B325" t="n">
        <v>1</v>
      </c>
      <c r="C325" t="n">
        <v>2</v>
      </c>
      <c r="D325" t="inlineStr">
        <is>
          <t>BAF20</t>
        </is>
      </c>
      <c r="E325" t="inlineStr">
        <is>
          <t>IC</t>
        </is>
      </c>
      <c r="F325" t="n">
        <v>42.6</v>
      </c>
      <c r="G325" t="n">
        <v>106</v>
      </c>
      <c r="H325" t="n">
        <v>1</v>
      </c>
      <c r="I325" t="inlineStr">
        <is>
          <t>L</t>
        </is>
      </c>
      <c r="J325" t="inlineStr">
        <is>
          <t>D</t>
        </is>
      </c>
      <c r="K325" t="inlineStr"/>
      <c r="L325" t="inlineStr"/>
      <c r="M325" s="30">
        <f>0.005454*F325^2</f>
        <v/>
      </c>
      <c r="N325" s="31">
        <f>IF(D325="BAF20",20/M325,100)</f>
        <v/>
      </c>
      <c r="O325" s="31">
        <f>M325*N325</f>
        <v/>
      </c>
      <c r="P325" s="32">
        <f>2434.2*N325</f>
        <v/>
      </c>
    </row>
    <row r="326">
      <c r="A326" t="inlineStr">
        <is>
          <t>U1-23</t>
        </is>
      </c>
      <c r="B326" t="n">
        <v>1</v>
      </c>
      <c r="C326" t="n">
        <v>3</v>
      </c>
      <c r="D326" t="inlineStr">
        <is>
          <t>BAF20</t>
        </is>
      </c>
      <c r="E326" t="inlineStr">
        <is>
          <t>IC</t>
        </is>
      </c>
      <c r="F326" t="n">
        <v>5</v>
      </c>
      <c r="G326" t="n">
        <v>22</v>
      </c>
      <c r="H326" t="n">
        <v>5</v>
      </c>
      <c r="I326" t="inlineStr">
        <is>
          <t>L</t>
        </is>
      </c>
      <c r="J326" t="inlineStr">
        <is>
          <t>S</t>
        </is>
      </c>
      <c r="K326" t="inlineStr">
        <is>
          <t>Y</t>
        </is>
      </c>
      <c r="L326" t="inlineStr"/>
      <c r="M326" s="30">
        <f>0.005454*F326^2</f>
        <v/>
      </c>
      <c r="N326" s="31">
        <f>IF(D326="BAF20",20/M326,100)</f>
        <v/>
      </c>
      <c r="O326" s="31">
        <f>M326*N326</f>
        <v/>
      </c>
      <c r="P326" s="32">
        <f>0.0*N326</f>
        <v/>
      </c>
    </row>
    <row r="327">
      <c r="A327" t="inlineStr">
        <is>
          <t>U1-23</t>
        </is>
      </c>
      <c r="B327" t="n">
        <v>1</v>
      </c>
      <c r="C327" t="n">
        <v>4</v>
      </c>
      <c r="D327" t="inlineStr">
        <is>
          <t>BAF20</t>
        </is>
      </c>
      <c r="E327" t="inlineStr">
        <is>
          <t>SP</t>
        </is>
      </c>
      <c r="F327" t="n">
        <v>13.7</v>
      </c>
      <c r="G327" t="n">
        <v>75</v>
      </c>
      <c r="H327" t="n">
        <v>3</v>
      </c>
      <c r="I327" t="inlineStr">
        <is>
          <t>L</t>
        </is>
      </c>
      <c r="J327" t="inlineStr">
        <is>
          <t>I</t>
        </is>
      </c>
      <c r="K327" t="inlineStr"/>
      <c r="L327" t="inlineStr"/>
      <c r="M327" s="30">
        <f>0.005454*F327^2</f>
        <v/>
      </c>
      <c r="N327" s="31">
        <f>IF(D327="BAF20",20/M327,100)</f>
        <v/>
      </c>
      <c r="O327" s="31">
        <f>M327*N327</f>
        <v/>
      </c>
      <c r="P327" s="32">
        <f>116.3*N327</f>
        <v/>
      </c>
    </row>
    <row r="328">
      <c r="A328" t="inlineStr">
        <is>
          <t>U1-23</t>
        </is>
      </c>
      <c r="B328" t="n">
        <v>1</v>
      </c>
      <c r="C328" t="n">
        <v>5</v>
      </c>
      <c r="D328" t="inlineStr">
        <is>
          <t>BAF20</t>
        </is>
      </c>
      <c r="E328" t="inlineStr">
        <is>
          <t>PP</t>
        </is>
      </c>
      <c r="F328" t="n">
        <v>18.4</v>
      </c>
      <c r="G328" t="n">
        <v>77</v>
      </c>
      <c r="H328" t="n">
        <v>5</v>
      </c>
      <c r="I328" t="inlineStr">
        <is>
          <t>L</t>
        </is>
      </c>
      <c r="J328" t="inlineStr">
        <is>
          <t>I</t>
        </is>
      </c>
      <c r="K328" t="inlineStr"/>
      <c r="L328" t="inlineStr"/>
      <c r="M328" s="30">
        <f>0.005454*F328^2</f>
        <v/>
      </c>
      <c r="N328" s="31">
        <f>IF(D328="BAF20",20/M328,100)</f>
        <v/>
      </c>
      <c r="O328" s="31">
        <f>M328*N328</f>
        <v/>
      </c>
      <c r="P328" s="32">
        <f>232.6*N328</f>
        <v/>
      </c>
    </row>
    <row r="329">
      <c r="A329" t="inlineStr">
        <is>
          <t>U1-23</t>
        </is>
      </c>
      <c r="B329" t="n">
        <v>1</v>
      </c>
      <c r="C329" t="n">
        <v>6</v>
      </c>
      <c r="D329" t="inlineStr">
        <is>
          <t>BAF20</t>
        </is>
      </c>
      <c r="E329" t="inlineStr">
        <is>
          <t>WF</t>
        </is>
      </c>
      <c r="F329" t="n">
        <v>10.3</v>
      </c>
      <c r="G329" t="n">
        <v>57</v>
      </c>
      <c r="H329" t="n">
        <v>2</v>
      </c>
      <c r="I329" t="inlineStr">
        <is>
          <t>L</t>
        </is>
      </c>
      <c r="J329" t="inlineStr">
        <is>
          <t>S</t>
        </is>
      </c>
      <c r="K329" t="inlineStr">
        <is>
          <t>Y</t>
        </is>
      </c>
      <c r="L329" t="inlineStr"/>
      <c r="M329" s="30">
        <f>0.005454*F329^2</f>
        <v/>
      </c>
      <c r="N329" s="31">
        <f>IF(D329="BAF20",20/M329,100)</f>
        <v/>
      </c>
      <c r="O329" s="31">
        <f>M329*N329</f>
        <v/>
      </c>
      <c r="P329" s="32">
        <f>46.8*N329</f>
        <v/>
      </c>
    </row>
    <row r="330">
      <c r="A330" t="inlineStr">
        <is>
          <t>U1-23</t>
        </is>
      </c>
      <c r="B330" t="n">
        <v>1</v>
      </c>
      <c r="C330" t="n">
        <v>7</v>
      </c>
      <c r="D330" t="inlineStr">
        <is>
          <t>BAF20</t>
        </is>
      </c>
      <c r="E330" t="inlineStr">
        <is>
          <t>BO</t>
        </is>
      </c>
      <c r="F330" t="n">
        <v>6.4</v>
      </c>
      <c r="G330" t="n">
        <v>27</v>
      </c>
      <c r="H330" t="n">
        <v>19</v>
      </c>
      <c r="I330" t="inlineStr">
        <is>
          <t>L</t>
        </is>
      </c>
      <c r="J330" t="inlineStr">
        <is>
          <t>S</t>
        </is>
      </c>
      <c r="K330" t="inlineStr">
        <is>
          <t>Y</t>
        </is>
      </c>
      <c r="L330" t="inlineStr"/>
      <c r="M330" s="30">
        <f>0.005454*F330^2</f>
        <v/>
      </c>
      <c r="N330" s="31">
        <f>IF(D330="BAF20",20/M330,100)</f>
        <v/>
      </c>
      <c r="O330" s="31">
        <f>M330*N330</f>
        <v/>
      </c>
      <c r="P330" s="32">
        <f>0.0*N330</f>
        <v/>
      </c>
    </row>
    <row r="331">
      <c r="A331" t="inlineStr">
        <is>
          <t>U1-23</t>
        </is>
      </c>
      <c r="B331" t="n">
        <v>1</v>
      </c>
      <c r="C331" t="n">
        <v>8</v>
      </c>
      <c r="D331" t="inlineStr">
        <is>
          <t>BAF20</t>
        </is>
      </c>
      <c r="E331" t="inlineStr">
        <is>
          <t>PP</t>
        </is>
      </c>
      <c r="F331" t="n">
        <v>14.2</v>
      </c>
      <c r="G331" t="n">
        <v>62</v>
      </c>
      <c r="H331" t="n">
        <v>8</v>
      </c>
      <c r="I331" t="inlineStr">
        <is>
          <t>L</t>
        </is>
      </c>
      <c r="J331" t="inlineStr">
        <is>
          <t>I</t>
        </is>
      </c>
      <c r="K331" t="inlineStr">
        <is>
          <t>Y</t>
        </is>
      </c>
      <c r="L331" t="inlineStr"/>
      <c r="M331" s="30">
        <f>0.005454*F331^2</f>
        <v/>
      </c>
      <c r="N331" s="31">
        <f>IF(D331="BAF20",20/M331,100)</f>
        <v/>
      </c>
      <c r="O331" s="31">
        <f>M331*N331</f>
        <v/>
      </c>
      <c r="P331" s="32">
        <f>99.1*N331</f>
        <v/>
      </c>
    </row>
    <row r="332">
      <c r="A332" t="inlineStr">
        <is>
          <t>U1-23</t>
        </is>
      </c>
      <c r="B332" t="n">
        <v>1</v>
      </c>
      <c r="C332" t="n">
        <v>9</v>
      </c>
      <c r="D332" t="inlineStr">
        <is>
          <t>FIX100</t>
        </is>
      </c>
      <c r="E332" t="inlineStr">
        <is>
          <t>WF</t>
        </is>
      </c>
      <c r="F332" t="n">
        <v>2.3</v>
      </c>
      <c r="G332" t="n">
        <v>13</v>
      </c>
      <c r="H332" t="n">
        <v>0</v>
      </c>
      <c r="I332" t="inlineStr">
        <is>
          <t>L</t>
        </is>
      </c>
      <c r="J332" t="inlineStr">
        <is>
          <t>S</t>
        </is>
      </c>
      <c r="K332" t="inlineStr"/>
      <c r="L332" t="inlineStr"/>
      <c r="M332" s="30">
        <f>0.005454*F332^2</f>
        <v/>
      </c>
      <c r="N332" s="31">
        <f>IF(D332="BAF20",20/M332,100)</f>
        <v/>
      </c>
      <c r="O332" s="31">
        <f>M332*N332</f>
        <v/>
      </c>
      <c r="P332" s="32">
        <f>0.0*N332</f>
        <v/>
      </c>
    </row>
    <row r="333">
      <c r="A333" t="inlineStr">
        <is>
          <t>U1-23</t>
        </is>
      </c>
      <c r="B333" t="n">
        <v>1</v>
      </c>
      <c r="C333" t="n">
        <v>10</v>
      </c>
      <c r="D333" t="inlineStr">
        <is>
          <t>FIX100</t>
        </is>
      </c>
      <c r="E333" t="inlineStr">
        <is>
          <t>IC</t>
        </is>
      </c>
      <c r="F333" t="n">
        <v>2.2</v>
      </c>
      <c r="G333" t="n">
        <v>12</v>
      </c>
      <c r="H333" t="n">
        <v>0</v>
      </c>
      <c r="I333" t="inlineStr">
        <is>
          <t>L</t>
        </is>
      </c>
      <c r="J333" t="inlineStr">
        <is>
          <t>S</t>
        </is>
      </c>
      <c r="K333" t="inlineStr"/>
      <c r="L333" t="inlineStr"/>
      <c r="M333" s="30">
        <f>0.005454*F333^2</f>
        <v/>
      </c>
      <c r="N333" s="31">
        <f>IF(D333="BAF20",20/M333,100)</f>
        <v/>
      </c>
      <c r="O333" s="31">
        <f>M333*N333</f>
        <v/>
      </c>
      <c r="P333" s="32">
        <f>0.0*N333</f>
        <v/>
      </c>
    </row>
    <row r="334">
      <c r="A334" t="inlineStr">
        <is>
          <t>U1-24</t>
        </is>
      </c>
      <c r="B334" t="n">
        <v>1</v>
      </c>
      <c r="C334" t="n">
        <v>1</v>
      </c>
      <c r="D334" t="inlineStr">
        <is>
          <t>BAF20</t>
        </is>
      </c>
      <c r="E334" t="inlineStr">
        <is>
          <t>WF</t>
        </is>
      </c>
      <c r="F334" t="n">
        <v>14.9</v>
      </c>
      <c r="G334" t="n">
        <v>71</v>
      </c>
      <c r="H334" t="n">
        <v>7</v>
      </c>
      <c r="I334" t="inlineStr">
        <is>
          <t>L</t>
        </is>
      </c>
      <c r="J334" t="inlineStr">
        <is>
          <t>I</t>
        </is>
      </c>
      <c r="K334" t="inlineStr"/>
      <c r="L334" t="inlineStr"/>
      <c r="M334" s="30">
        <f>0.005454*F334^2</f>
        <v/>
      </c>
      <c r="N334" s="31">
        <f>IF(D334="BAF20",20/M334,100)</f>
        <v/>
      </c>
      <c r="O334" s="31">
        <f>M334*N334</f>
        <v/>
      </c>
      <c r="P334" s="32">
        <f>128.2*N334</f>
        <v/>
      </c>
    </row>
    <row r="335">
      <c r="A335" t="inlineStr">
        <is>
          <t>U1-24</t>
        </is>
      </c>
      <c r="B335" t="n">
        <v>1</v>
      </c>
      <c r="C335" t="n">
        <v>2</v>
      </c>
      <c r="D335" t="inlineStr">
        <is>
          <t>BAF20</t>
        </is>
      </c>
      <c r="E335" t="inlineStr">
        <is>
          <t>DF</t>
        </is>
      </c>
      <c r="F335" t="n">
        <v>15.2</v>
      </c>
      <c r="G335" t="n">
        <v>81</v>
      </c>
      <c r="H335" t="n">
        <v>5</v>
      </c>
      <c r="I335" t="inlineStr">
        <is>
          <t>L</t>
        </is>
      </c>
      <c r="J335" t="inlineStr">
        <is>
          <t>I</t>
        </is>
      </c>
      <c r="K335" t="inlineStr"/>
      <c r="L335" t="inlineStr"/>
      <c r="M335" s="30">
        <f>0.005454*F335^2</f>
        <v/>
      </c>
      <c r="N335" s="31">
        <f>IF(D335="BAF20",20/M335,100)</f>
        <v/>
      </c>
      <c r="O335" s="31">
        <f>M335*N335</f>
        <v/>
      </c>
      <c r="P335" s="32">
        <f>156.4*N335</f>
        <v/>
      </c>
    </row>
    <row r="336">
      <c r="A336" t="inlineStr">
        <is>
          <t>U1-24</t>
        </is>
      </c>
      <c r="B336" t="n">
        <v>1</v>
      </c>
      <c r="C336" t="n">
        <v>3</v>
      </c>
      <c r="D336" t="inlineStr">
        <is>
          <t>BAF20</t>
        </is>
      </c>
      <c r="E336" t="inlineStr">
        <is>
          <t>SP</t>
        </is>
      </c>
      <c r="F336" t="n">
        <v>27</v>
      </c>
      <c r="G336" t="n">
        <v>121</v>
      </c>
      <c r="H336" t="n">
        <v>3</v>
      </c>
      <c r="I336" t="inlineStr">
        <is>
          <t>L</t>
        </is>
      </c>
      <c r="J336" t="inlineStr">
        <is>
          <t>D</t>
        </is>
      </c>
      <c r="K336" t="inlineStr"/>
      <c r="L336" t="inlineStr"/>
      <c r="M336" s="30">
        <f>0.005454*F336^2</f>
        <v/>
      </c>
      <c r="N336" s="31">
        <f>IF(D336="BAF20",20/M336,100)</f>
        <v/>
      </c>
      <c r="O336" s="31">
        <f>M336*N336</f>
        <v/>
      </c>
      <c r="P336" s="32">
        <f>940.2*N336</f>
        <v/>
      </c>
    </row>
    <row r="337">
      <c r="A337" t="inlineStr">
        <is>
          <t>U1-24</t>
        </is>
      </c>
      <c r="B337" t="n">
        <v>1</v>
      </c>
      <c r="C337" t="n">
        <v>4</v>
      </c>
      <c r="D337" t="inlineStr">
        <is>
          <t>BAF20</t>
        </is>
      </c>
      <c r="E337" t="inlineStr">
        <is>
          <t>PP</t>
        </is>
      </c>
      <c r="F337" t="n">
        <v>13</v>
      </c>
      <c r="G337" t="n">
        <v>66</v>
      </c>
      <c r="H337" t="n">
        <v>6</v>
      </c>
      <c r="I337" t="inlineStr">
        <is>
          <t>L</t>
        </is>
      </c>
      <c r="J337" t="inlineStr">
        <is>
          <t>S</t>
        </is>
      </c>
      <c r="K337" t="inlineStr">
        <is>
          <t>Y</t>
        </is>
      </c>
      <c r="L337" t="inlineStr"/>
      <c r="M337" s="30">
        <f>0.005454*F337^2</f>
        <v/>
      </c>
      <c r="N337" s="31">
        <f>IF(D337="BAF20",20/M337,100)</f>
        <v/>
      </c>
      <c r="O337" s="31">
        <f>M337*N337</f>
        <v/>
      </c>
      <c r="P337" s="32">
        <f>88.0*N337</f>
        <v/>
      </c>
    </row>
    <row r="338">
      <c r="A338" t="inlineStr">
        <is>
          <t>U1-24</t>
        </is>
      </c>
      <c r="B338" t="n">
        <v>1</v>
      </c>
      <c r="C338" t="n">
        <v>5</v>
      </c>
      <c r="D338" t="inlineStr">
        <is>
          <t>BAF20</t>
        </is>
      </c>
      <c r="E338" t="inlineStr">
        <is>
          <t>DF</t>
        </is>
      </c>
      <c r="F338" t="n">
        <v>11.7</v>
      </c>
      <c r="G338" t="n">
        <v>55</v>
      </c>
      <c r="H338" t="n">
        <v>1</v>
      </c>
      <c r="I338" t="inlineStr">
        <is>
          <t>L</t>
        </is>
      </c>
      <c r="J338" t="inlineStr">
        <is>
          <t>S</t>
        </is>
      </c>
      <c r="K338" t="inlineStr">
        <is>
          <t>Y</t>
        </is>
      </c>
      <c r="L338" t="inlineStr"/>
      <c r="M338" s="30">
        <f>0.005454*F338^2</f>
        <v/>
      </c>
      <c r="N338" s="31">
        <f>IF(D338="BAF20",20/M338,100)</f>
        <v/>
      </c>
      <c r="O338" s="31">
        <f>M338*N338</f>
        <v/>
      </c>
      <c r="P338" s="32">
        <f>60.7*N338</f>
        <v/>
      </c>
    </row>
    <row r="339">
      <c r="A339" t="inlineStr">
        <is>
          <t>U1-24</t>
        </is>
      </c>
      <c r="B339" t="n">
        <v>1</v>
      </c>
      <c r="C339" t="n">
        <v>6</v>
      </c>
      <c r="D339" t="inlineStr">
        <is>
          <t>BAF20</t>
        </is>
      </c>
      <c r="E339" t="inlineStr">
        <is>
          <t>PP</t>
        </is>
      </c>
      <c r="F339" t="n">
        <v>26.3</v>
      </c>
      <c r="G339" t="n">
        <v>105</v>
      </c>
      <c r="H339" t="n">
        <v>0</v>
      </c>
      <c r="I339" t="inlineStr">
        <is>
          <t>L</t>
        </is>
      </c>
      <c r="J339" t="inlineStr">
        <is>
          <t>D</t>
        </is>
      </c>
      <c r="K339" t="inlineStr"/>
      <c r="L339" t="inlineStr"/>
      <c r="M339" s="30">
        <f>0.005454*F339^2</f>
        <v/>
      </c>
      <c r="N339" s="31">
        <f>IF(D339="BAF20",20/M339,100)</f>
        <v/>
      </c>
      <c r="O339" s="31">
        <f>M339*N339</f>
        <v/>
      </c>
      <c r="P339" s="32">
        <f>788.6*N339</f>
        <v/>
      </c>
    </row>
    <row r="340">
      <c r="A340" t="inlineStr">
        <is>
          <t>U1-24</t>
        </is>
      </c>
      <c r="B340" t="n">
        <v>1</v>
      </c>
      <c r="C340" t="n">
        <v>7</v>
      </c>
      <c r="D340" t="inlineStr">
        <is>
          <t>BAF20</t>
        </is>
      </c>
      <c r="E340" t="inlineStr">
        <is>
          <t>DF</t>
        </is>
      </c>
      <c r="F340" t="n">
        <v>7.8</v>
      </c>
      <c r="G340" t="n">
        <v>45</v>
      </c>
      <c r="H340" t="n">
        <v>2</v>
      </c>
      <c r="I340" t="inlineStr">
        <is>
          <t>L</t>
        </is>
      </c>
      <c r="J340" t="inlineStr">
        <is>
          <t>S</t>
        </is>
      </c>
      <c r="K340" t="inlineStr">
        <is>
          <t>Y</t>
        </is>
      </c>
      <c r="L340" t="inlineStr"/>
      <c r="M340" s="30">
        <f>0.005454*F340^2</f>
        <v/>
      </c>
      <c r="N340" s="31">
        <f>IF(D340="BAF20",20/M340,100)</f>
        <v/>
      </c>
      <c r="O340" s="31">
        <f>M340*N340</f>
        <v/>
      </c>
      <c r="P340" s="32">
        <f>0.0*N340</f>
        <v/>
      </c>
    </row>
    <row r="341">
      <c r="A341" t="inlineStr">
        <is>
          <t>U1-24</t>
        </is>
      </c>
      <c r="B341" t="n">
        <v>1</v>
      </c>
      <c r="C341" t="n">
        <v>8</v>
      </c>
      <c r="D341" t="inlineStr">
        <is>
          <t>BAF20</t>
        </is>
      </c>
      <c r="E341" t="inlineStr">
        <is>
          <t>WF</t>
        </is>
      </c>
      <c r="F341" t="n">
        <v>21.2</v>
      </c>
      <c r="G341" t="n">
        <v>102</v>
      </c>
      <c r="H341" t="n">
        <v>0</v>
      </c>
      <c r="I341" t="inlineStr">
        <is>
          <t>L</t>
        </is>
      </c>
      <c r="J341" t="inlineStr">
        <is>
          <t>C</t>
        </is>
      </c>
      <c r="K341" t="inlineStr"/>
      <c r="L341" t="inlineStr"/>
      <c r="M341" s="30">
        <f>0.005454*F341^2</f>
        <v/>
      </c>
      <c r="N341" s="31">
        <f>IF(D341="BAF20",20/M341,100)</f>
        <v/>
      </c>
      <c r="O341" s="31">
        <f>M341*N341</f>
        <v/>
      </c>
      <c r="P341" s="32">
        <f>454.4*N341</f>
        <v/>
      </c>
    </row>
    <row r="342">
      <c r="A342" t="inlineStr">
        <is>
          <t>U1-24</t>
        </is>
      </c>
      <c r="B342" t="n">
        <v>1</v>
      </c>
      <c r="C342" t="n">
        <v>9</v>
      </c>
      <c r="D342" t="inlineStr">
        <is>
          <t>BAF20</t>
        </is>
      </c>
      <c r="E342" t="inlineStr">
        <is>
          <t>IC</t>
        </is>
      </c>
      <c r="F342" t="n">
        <v>11.4</v>
      </c>
      <c r="G342" t="n">
        <v>52</v>
      </c>
      <c r="H342" t="n">
        <v>1</v>
      </c>
      <c r="I342" t="inlineStr">
        <is>
          <t>L</t>
        </is>
      </c>
      <c r="J342" t="inlineStr">
        <is>
          <t>S</t>
        </is>
      </c>
      <c r="K342" t="inlineStr">
        <is>
          <t>Y</t>
        </is>
      </c>
      <c r="L342" t="inlineStr"/>
      <c r="M342" s="30">
        <f>0.005454*F342^2</f>
        <v/>
      </c>
      <c r="N342" s="31">
        <f>IF(D342="BAF20",20/M342,100)</f>
        <v/>
      </c>
      <c r="O342" s="31">
        <f>M342*N342</f>
        <v/>
      </c>
      <c r="P342" s="32">
        <f>54.2*N342</f>
        <v/>
      </c>
    </row>
    <row r="343">
      <c r="A343" t="inlineStr">
        <is>
          <t>U1-24</t>
        </is>
      </c>
      <c r="B343" t="n">
        <v>1</v>
      </c>
      <c r="C343" t="n">
        <v>10</v>
      </c>
      <c r="D343" t="inlineStr">
        <is>
          <t>BAF20</t>
        </is>
      </c>
      <c r="E343" t="inlineStr">
        <is>
          <t>DF</t>
        </is>
      </c>
      <c r="F343" t="n">
        <v>12.2</v>
      </c>
      <c r="G343" t="n">
        <v>66</v>
      </c>
      <c r="H343" t="n">
        <v>6</v>
      </c>
      <c r="I343" t="inlineStr">
        <is>
          <t>L</t>
        </is>
      </c>
      <c r="J343" t="inlineStr">
        <is>
          <t>S</t>
        </is>
      </c>
      <c r="K343" t="inlineStr">
        <is>
          <t>Y</t>
        </is>
      </c>
      <c r="L343" t="inlineStr"/>
      <c r="M343" s="30">
        <f>0.005454*F343^2</f>
        <v/>
      </c>
      <c r="N343" s="31">
        <f>IF(D343="BAF20",20/M343,100)</f>
        <v/>
      </c>
      <c r="O343" s="31">
        <f>M343*N343</f>
        <v/>
      </c>
      <c r="P343" s="32">
        <f>76.1*N343</f>
        <v/>
      </c>
    </row>
    <row r="344">
      <c r="A344" t="inlineStr">
        <is>
          <t>U1-24</t>
        </is>
      </c>
      <c r="B344" t="n">
        <v>1</v>
      </c>
      <c r="C344" t="n">
        <v>11</v>
      </c>
      <c r="D344" t="inlineStr">
        <is>
          <t>BAF20</t>
        </is>
      </c>
      <c r="E344" t="inlineStr">
        <is>
          <t>WF</t>
        </is>
      </c>
      <c r="F344" t="n">
        <v>7.4</v>
      </c>
      <c r="G344" t="n">
        <v>33</v>
      </c>
      <c r="H344" t="n">
        <v>6</v>
      </c>
      <c r="I344" t="inlineStr">
        <is>
          <t>L</t>
        </is>
      </c>
      <c r="J344" t="inlineStr">
        <is>
          <t>S</t>
        </is>
      </c>
      <c r="K344" t="inlineStr">
        <is>
          <t>Y</t>
        </is>
      </c>
      <c r="L344" t="inlineStr"/>
      <c r="M344" s="30">
        <f>0.005454*F344^2</f>
        <v/>
      </c>
      <c r="N344" s="31">
        <f>IF(D344="BAF20",20/M344,100)</f>
        <v/>
      </c>
      <c r="O344" s="31">
        <f>M344*N344</f>
        <v/>
      </c>
      <c r="P344" s="32">
        <f>0.0*N344</f>
        <v/>
      </c>
    </row>
    <row r="345">
      <c r="A345" t="inlineStr">
        <is>
          <t>U1-24</t>
        </is>
      </c>
      <c r="B345" t="n">
        <v>1</v>
      </c>
      <c r="C345" t="n">
        <v>12</v>
      </c>
      <c r="D345" t="inlineStr">
        <is>
          <t>BAF20</t>
        </is>
      </c>
      <c r="E345" t="inlineStr">
        <is>
          <t>WF</t>
        </is>
      </c>
      <c r="F345" t="n">
        <v>39.2</v>
      </c>
      <c r="G345" t="n">
        <v>138</v>
      </c>
      <c r="H345" t="n">
        <v>6</v>
      </c>
      <c r="I345" t="inlineStr">
        <is>
          <t>L</t>
        </is>
      </c>
      <c r="J345" t="inlineStr">
        <is>
          <t>D</t>
        </is>
      </c>
      <c r="K345" t="inlineStr"/>
      <c r="L345" t="inlineStr"/>
      <c r="M345" s="30">
        <f>0.005454*F345^2</f>
        <v/>
      </c>
      <c r="N345" s="31">
        <f>IF(D345="BAF20",20/M345,100)</f>
        <v/>
      </c>
      <c r="O345" s="31">
        <f>M345*N345</f>
        <v/>
      </c>
      <c r="P345" s="32">
        <f>2547.9*N345</f>
        <v/>
      </c>
    </row>
    <row r="346">
      <c r="A346" t="inlineStr">
        <is>
          <t>U1-24</t>
        </is>
      </c>
      <c r="B346" t="n">
        <v>1</v>
      </c>
      <c r="C346" t="n">
        <v>13</v>
      </c>
      <c r="D346" t="inlineStr">
        <is>
          <t>BAF20</t>
        </is>
      </c>
      <c r="E346" t="inlineStr">
        <is>
          <t>PP</t>
        </is>
      </c>
      <c r="F346" t="n">
        <v>28.8</v>
      </c>
      <c r="G346" t="n">
        <v>121</v>
      </c>
      <c r="H346" t="n">
        <v>1</v>
      </c>
      <c r="I346" t="inlineStr">
        <is>
          <t>L</t>
        </is>
      </c>
      <c r="J346" t="inlineStr">
        <is>
          <t>D</t>
        </is>
      </c>
      <c r="K346" t="inlineStr"/>
      <c r="L346" t="inlineStr"/>
      <c r="M346" s="30">
        <f>0.005454*F346^2</f>
        <v/>
      </c>
      <c r="N346" s="31">
        <f>IF(D346="BAF20",20/M346,100)</f>
        <v/>
      </c>
      <c r="O346" s="31">
        <f>M346*N346</f>
        <v/>
      </c>
      <c r="P346" s="32">
        <f>1125.0*N346</f>
        <v/>
      </c>
    </row>
    <row r="347">
      <c r="A347" t="inlineStr">
        <is>
          <t>U1-24</t>
        </is>
      </c>
      <c r="B347" t="n">
        <v>1</v>
      </c>
      <c r="C347" t="n">
        <v>14</v>
      </c>
      <c r="D347" t="inlineStr">
        <is>
          <t>FIX100</t>
        </is>
      </c>
      <c r="E347" t="inlineStr">
        <is>
          <t>PP</t>
        </is>
      </c>
      <c r="F347" t="n">
        <v>3.2</v>
      </c>
      <c r="G347" t="n">
        <v>18</v>
      </c>
      <c r="H347" t="n">
        <v>0</v>
      </c>
      <c r="I347" t="inlineStr">
        <is>
          <t>L</t>
        </is>
      </c>
      <c r="J347" t="inlineStr">
        <is>
          <t>S</t>
        </is>
      </c>
      <c r="K347" t="inlineStr"/>
      <c r="L347" t="inlineStr"/>
      <c r="M347" s="30">
        <f>0.005454*F347^2</f>
        <v/>
      </c>
      <c r="N347" s="31">
        <f>IF(D347="BAF20",20/M347,100)</f>
        <v/>
      </c>
      <c r="O347" s="31">
        <f>M347*N347</f>
        <v/>
      </c>
      <c r="P347" s="32">
        <f>0.0*N347</f>
        <v/>
      </c>
    </row>
    <row r="348">
      <c r="A348" t="inlineStr">
        <is>
          <t>U1-24</t>
        </is>
      </c>
      <c r="B348" t="n">
        <v>1</v>
      </c>
      <c r="C348" t="n">
        <v>15</v>
      </c>
      <c r="D348" t="inlineStr">
        <is>
          <t>FIX100</t>
        </is>
      </c>
      <c r="E348" t="inlineStr">
        <is>
          <t>SP</t>
        </is>
      </c>
      <c r="F348" t="n">
        <v>3.8</v>
      </c>
      <c r="G348" t="n">
        <v>24</v>
      </c>
      <c r="H348" t="n">
        <v>0</v>
      </c>
      <c r="I348" t="inlineStr">
        <is>
          <t>L</t>
        </is>
      </c>
      <c r="J348" t="inlineStr">
        <is>
          <t>S</t>
        </is>
      </c>
      <c r="K348" t="inlineStr"/>
      <c r="L348" t="inlineStr"/>
      <c r="M348" s="30">
        <f>0.005454*F348^2</f>
        <v/>
      </c>
      <c r="N348" s="31">
        <f>IF(D348="BAF20",20/M348,100)</f>
        <v/>
      </c>
      <c r="O348" s="31">
        <f>M348*N348</f>
        <v/>
      </c>
      <c r="P348" s="32">
        <f>0.0*N348</f>
        <v/>
      </c>
    </row>
    <row r="349">
      <c r="A349" t="inlineStr">
        <is>
          <t>U1-25</t>
        </is>
      </c>
      <c r="B349" t="n">
        <v>1</v>
      </c>
      <c r="C349" t="n">
        <v>1</v>
      </c>
      <c r="D349" t="inlineStr">
        <is>
          <t>BAF20</t>
        </is>
      </c>
      <c r="E349" t="inlineStr">
        <is>
          <t>SP</t>
        </is>
      </c>
      <c r="F349" t="n">
        <v>23.6</v>
      </c>
      <c r="G349" t="n">
        <v>90</v>
      </c>
      <c r="H349" t="n">
        <v>4</v>
      </c>
      <c r="I349" t="inlineStr">
        <is>
          <t>L</t>
        </is>
      </c>
      <c r="J349" t="inlineStr">
        <is>
          <t>C</t>
        </is>
      </c>
      <c r="K349" t="inlineStr"/>
      <c r="L349" t="inlineStr"/>
      <c r="M349" s="30">
        <f>0.005454*F349^2</f>
        <v/>
      </c>
      <c r="N349" s="31">
        <f>IF(D349="BAF20",20/M349,100)</f>
        <v/>
      </c>
      <c r="O349" s="31">
        <f>M349*N349</f>
        <v/>
      </c>
      <c r="P349" s="32">
        <f>498.4*N349</f>
        <v/>
      </c>
    </row>
    <row r="350">
      <c r="A350" t="inlineStr">
        <is>
          <t>U1-25</t>
        </is>
      </c>
      <c r="B350" t="n">
        <v>1</v>
      </c>
      <c r="C350" t="n">
        <v>2</v>
      </c>
      <c r="D350" t="inlineStr">
        <is>
          <t>BAF20</t>
        </is>
      </c>
      <c r="E350" t="inlineStr">
        <is>
          <t>DF</t>
        </is>
      </c>
      <c r="F350" t="n">
        <v>24.3</v>
      </c>
      <c r="G350" t="n">
        <v>107</v>
      </c>
      <c r="H350" t="n">
        <v>100</v>
      </c>
      <c r="I350" t="inlineStr">
        <is>
          <t>D</t>
        </is>
      </c>
      <c r="J350" t="inlineStr">
        <is>
          <t>C</t>
        </is>
      </c>
      <c r="K350" t="inlineStr"/>
      <c r="L350" t="inlineStr"/>
      <c r="M350" s="30">
        <f>0.005454*F350^2</f>
        <v/>
      </c>
      <c r="N350" s="31">
        <f>IF(D350="BAF20",20/M350,100)</f>
        <v/>
      </c>
      <c r="O350" s="31">
        <f>M350*N350</f>
        <v/>
      </c>
      <c r="P350" s="32">
        <f>0.0*N350</f>
        <v/>
      </c>
    </row>
    <row r="351">
      <c r="A351" t="inlineStr">
        <is>
          <t>U1-25</t>
        </is>
      </c>
      <c r="B351" t="n">
        <v>1</v>
      </c>
      <c r="C351" t="n">
        <v>3</v>
      </c>
      <c r="D351" t="inlineStr">
        <is>
          <t>BAF20</t>
        </is>
      </c>
      <c r="E351" t="inlineStr">
        <is>
          <t>DF</t>
        </is>
      </c>
      <c r="F351" t="n">
        <v>15.9</v>
      </c>
      <c r="G351" t="n">
        <v>80</v>
      </c>
      <c r="H351" t="n">
        <v>4</v>
      </c>
      <c r="I351" t="inlineStr">
        <is>
          <t>L</t>
        </is>
      </c>
      <c r="J351" t="inlineStr">
        <is>
          <t>I</t>
        </is>
      </c>
      <c r="K351" t="inlineStr"/>
      <c r="L351" t="inlineStr"/>
      <c r="M351" s="30">
        <f>0.005454*F351^2</f>
        <v/>
      </c>
      <c r="N351" s="31">
        <f>IF(D351="BAF20",20/M351,100)</f>
        <v/>
      </c>
      <c r="O351" s="31">
        <f>M351*N351</f>
        <v/>
      </c>
      <c r="P351" s="32">
        <f>173.4*N351</f>
        <v/>
      </c>
    </row>
    <row r="352">
      <c r="A352" t="inlineStr">
        <is>
          <t>U1-25</t>
        </is>
      </c>
      <c r="B352" t="n">
        <v>1</v>
      </c>
      <c r="C352" t="n">
        <v>4</v>
      </c>
      <c r="D352" t="inlineStr">
        <is>
          <t>BAF20</t>
        </is>
      </c>
      <c r="E352" t="inlineStr">
        <is>
          <t>IC</t>
        </is>
      </c>
      <c r="F352" t="n">
        <v>18.5</v>
      </c>
      <c r="G352" t="n">
        <v>74</v>
      </c>
      <c r="H352" t="n">
        <v>9</v>
      </c>
      <c r="I352" t="inlineStr">
        <is>
          <t>L</t>
        </is>
      </c>
      <c r="J352" t="inlineStr">
        <is>
          <t>I</t>
        </is>
      </c>
      <c r="K352" t="inlineStr"/>
      <c r="L352" t="inlineStr"/>
      <c r="M352" s="30">
        <f>0.005454*F352^2</f>
        <v/>
      </c>
      <c r="N352" s="31">
        <f>IF(D352="BAF20",20/M352,100)</f>
        <v/>
      </c>
      <c r="O352" s="31">
        <f>M352*N352</f>
        <v/>
      </c>
      <c r="P352" s="32">
        <f>216.9*N352</f>
        <v/>
      </c>
    </row>
    <row r="353">
      <c r="A353" t="inlineStr">
        <is>
          <t>U1-25</t>
        </is>
      </c>
      <c r="B353" t="n">
        <v>1</v>
      </c>
      <c r="C353" t="n">
        <v>5</v>
      </c>
      <c r="D353" t="inlineStr">
        <is>
          <t>BAF20</t>
        </is>
      </c>
      <c r="E353" t="inlineStr">
        <is>
          <t>BO</t>
        </is>
      </c>
      <c r="F353" t="n">
        <v>10.3</v>
      </c>
      <c r="G353" t="n">
        <v>41</v>
      </c>
      <c r="H353" t="n">
        <v>37</v>
      </c>
      <c r="I353" t="inlineStr">
        <is>
          <t>L</t>
        </is>
      </c>
      <c r="J353" t="inlineStr">
        <is>
          <t>S</t>
        </is>
      </c>
      <c r="K353" t="inlineStr">
        <is>
          <t>Y</t>
        </is>
      </c>
      <c r="L353" t="inlineStr"/>
      <c r="M353" s="30">
        <f>0.005454*F353^2</f>
        <v/>
      </c>
      <c r="N353" s="31">
        <f>IF(D353="BAF20",20/M353,100)</f>
        <v/>
      </c>
      <c r="O353" s="31">
        <f>M353*N353</f>
        <v/>
      </c>
      <c r="P353" s="32">
        <f>19.6*N353</f>
        <v/>
      </c>
    </row>
    <row r="354">
      <c r="A354" t="inlineStr">
        <is>
          <t>U1-25</t>
        </is>
      </c>
      <c r="B354" t="n">
        <v>1</v>
      </c>
      <c r="C354" t="n">
        <v>6</v>
      </c>
      <c r="D354" t="inlineStr">
        <is>
          <t>BAF20</t>
        </is>
      </c>
      <c r="E354" t="inlineStr">
        <is>
          <t>DF</t>
        </is>
      </c>
      <c r="F354" t="n">
        <v>31.7</v>
      </c>
      <c r="G354" t="n">
        <v>127</v>
      </c>
      <c r="H354" t="n">
        <v>6</v>
      </c>
      <c r="I354" t="inlineStr">
        <is>
          <t>L</t>
        </is>
      </c>
      <c r="J354" t="inlineStr">
        <is>
          <t>D</t>
        </is>
      </c>
      <c r="K354" t="inlineStr"/>
      <c r="L354" t="inlineStr"/>
      <c r="M354" s="30">
        <f>0.005454*F354^2</f>
        <v/>
      </c>
      <c r="N354" s="31">
        <f>IF(D354="BAF20",20/M354,100)</f>
        <v/>
      </c>
      <c r="O354" s="31">
        <f>M354*N354</f>
        <v/>
      </c>
      <c r="P354" s="32">
        <f>1422.8*N354</f>
        <v/>
      </c>
    </row>
    <row r="355">
      <c r="A355" t="inlineStr">
        <is>
          <t>U1-25</t>
        </is>
      </c>
      <c r="B355" t="n">
        <v>1</v>
      </c>
      <c r="C355" t="n">
        <v>7</v>
      </c>
      <c r="D355" t="inlineStr">
        <is>
          <t>BAF20</t>
        </is>
      </c>
      <c r="E355" t="inlineStr">
        <is>
          <t>IC</t>
        </is>
      </c>
      <c r="F355" t="n">
        <v>19.4</v>
      </c>
      <c r="G355" t="n">
        <v>75</v>
      </c>
      <c r="H355" t="n">
        <v>3</v>
      </c>
      <c r="I355" t="inlineStr">
        <is>
          <t>L</t>
        </is>
      </c>
      <c r="J355" t="inlineStr">
        <is>
          <t>C</t>
        </is>
      </c>
      <c r="K355" t="inlineStr"/>
      <c r="L355" t="inlineStr"/>
      <c r="M355" s="30">
        <f>0.005454*F355^2</f>
        <v/>
      </c>
      <c r="N355" s="31">
        <f>IF(D355="BAF20",20/M355,100)</f>
        <v/>
      </c>
      <c r="O355" s="31">
        <f>M355*N355</f>
        <v/>
      </c>
      <c r="P355" s="32">
        <f>262.3*N355</f>
        <v/>
      </c>
    </row>
    <row r="356">
      <c r="A356" t="inlineStr">
        <is>
          <t>U1-25</t>
        </is>
      </c>
      <c r="B356" t="n">
        <v>1</v>
      </c>
      <c r="C356" t="n">
        <v>8</v>
      </c>
      <c r="D356" t="inlineStr">
        <is>
          <t>BAF20</t>
        </is>
      </c>
      <c r="E356" t="inlineStr">
        <is>
          <t>BO</t>
        </is>
      </c>
      <c r="F356" t="n">
        <v>12.7</v>
      </c>
      <c r="G356" t="n">
        <v>46</v>
      </c>
      <c r="H356" t="n">
        <v>14</v>
      </c>
      <c r="I356" t="inlineStr">
        <is>
          <t>L</t>
        </is>
      </c>
      <c r="J356" t="inlineStr">
        <is>
          <t>S</t>
        </is>
      </c>
      <c r="K356" t="inlineStr">
        <is>
          <t>Y</t>
        </is>
      </c>
      <c r="L356" t="inlineStr"/>
      <c r="M356" s="30">
        <f>0.005454*F356^2</f>
        <v/>
      </c>
      <c r="N356" s="31">
        <f>IF(D356="BAF20",20/M356,100)</f>
        <v/>
      </c>
      <c r="O356" s="31">
        <f>M356*N356</f>
        <v/>
      </c>
      <c r="P356" s="32">
        <f>48.1*N356</f>
        <v/>
      </c>
    </row>
    <row r="357">
      <c r="A357" t="inlineStr">
        <is>
          <t>U1-25</t>
        </is>
      </c>
      <c r="B357" t="n">
        <v>1</v>
      </c>
      <c r="C357" t="n">
        <v>9</v>
      </c>
      <c r="D357" t="inlineStr">
        <is>
          <t>BAF20</t>
        </is>
      </c>
      <c r="E357" t="inlineStr">
        <is>
          <t>DF</t>
        </is>
      </c>
      <c r="F357" t="n">
        <v>24.1</v>
      </c>
      <c r="G357" t="n">
        <v>110</v>
      </c>
      <c r="H357" t="n">
        <v>3</v>
      </c>
      <c r="I357" t="inlineStr">
        <is>
          <t>L</t>
        </is>
      </c>
      <c r="J357" t="inlineStr">
        <is>
          <t>C</t>
        </is>
      </c>
      <c r="K357" t="inlineStr"/>
      <c r="L357" t="inlineStr"/>
      <c r="M357" s="30">
        <f>0.005454*F357^2</f>
        <v/>
      </c>
      <c r="N357" s="31">
        <f>IF(D357="BAF20",20/M357,100)</f>
        <v/>
      </c>
      <c r="O357" s="31">
        <f>M357*N357</f>
        <v/>
      </c>
      <c r="P357" s="32">
        <f>647.6*N357</f>
        <v/>
      </c>
    </row>
    <row r="358">
      <c r="A358" t="inlineStr">
        <is>
          <t>U1-25</t>
        </is>
      </c>
      <c r="B358" t="n">
        <v>1</v>
      </c>
      <c r="C358" t="n">
        <v>10</v>
      </c>
      <c r="D358" t="inlineStr">
        <is>
          <t>BAF20</t>
        </is>
      </c>
      <c r="E358" t="inlineStr">
        <is>
          <t>BO</t>
        </is>
      </c>
      <c r="F358" t="n">
        <v>10.7</v>
      </c>
      <c r="G358" t="n">
        <v>42</v>
      </c>
      <c r="H358" t="n">
        <v>12</v>
      </c>
      <c r="I358" t="inlineStr">
        <is>
          <t>L</t>
        </is>
      </c>
      <c r="J358" t="inlineStr">
        <is>
          <t>S</t>
        </is>
      </c>
      <c r="K358" t="inlineStr">
        <is>
          <t>Y</t>
        </is>
      </c>
      <c r="L358" t="inlineStr"/>
      <c r="M358" s="30">
        <f>0.005454*F358^2</f>
        <v/>
      </c>
      <c r="N358" s="31">
        <f>IF(D358="BAF20",20/M358,100)</f>
        <v/>
      </c>
      <c r="O358" s="31">
        <f>M358*N358</f>
        <v/>
      </c>
      <c r="P358" s="32">
        <f>30.5*N358</f>
        <v/>
      </c>
    </row>
    <row r="359">
      <c r="A359" t="inlineStr">
        <is>
          <t>U1-25</t>
        </is>
      </c>
      <c r="B359" t="n">
        <v>1</v>
      </c>
      <c r="C359" t="n">
        <v>11</v>
      </c>
      <c r="D359" t="inlineStr">
        <is>
          <t>BAF20</t>
        </is>
      </c>
      <c r="E359" t="inlineStr">
        <is>
          <t>BO</t>
        </is>
      </c>
      <c r="F359" t="n">
        <v>24.2</v>
      </c>
      <c r="G359" t="n">
        <v>63</v>
      </c>
      <c r="H359" t="n">
        <v>15</v>
      </c>
      <c r="I359" t="inlineStr">
        <is>
          <t>L</t>
        </is>
      </c>
      <c r="J359" t="inlineStr">
        <is>
          <t>C</t>
        </is>
      </c>
      <c r="K359" t="inlineStr"/>
      <c r="L359" t="inlineStr"/>
      <c r="M359" s="30">
        <f>0.005454*F359^2</f>
        <v/>
      </c>
      <c r="N359" s="31">
        <f>IF(D359="BAF20",20/M359,100)</f>
        <v/>
      </c>
      <c r="O359" s="31">
        <f>M359*N359</f>
        <v/>
      </c>
      <c r="P359" s="32">
        <f>297.0*N359</f>
        <v/>
      </c>
    </row>
    <row r="360">
      <c r="A360" t="inlineStr">
        <is>
          <t>U1-25</t>
        </is>
      </c>
      <c r="B360" t="n">
        <v>1</v>
      </c>
      <c r="C360" t="n">
        <v>12</v>
      </c>
      <c r="D360" t="inlineStr">
        <is>
          <t>BAF20</t>
        </is>
      </c>
      <c r="E360" t="inlineStr">
        <is>
          <t>DF</t>
        </is>
      </c>
      <c r="F360" t="n">
        <v>30.6</v>
      </c>
      <c r="G360" t="n">
        <v>130</v>
      </c>
      <c r="H360" t="n">
        <v>2</v>
      </c>
      <c r="I360" t="inlineStr">
        <is>
          <t>L</t>
        </is>
      </c>
      <c r="J360" t="inlineStr">
        <is>
          <t>D</t>
        </is>
      </c>
      <c r="K360" t="inlineStr"/>
      <c r="L360" t="inlineStr"/>
      <c r="M360" s="30">
        <f>0.005454*F360^2</f>
        <v/>
      </c>
      <c r="N360" s="31">
        <f>IF(D360="BAF20",20/M360,100)</f>
        <v/>
      </c>
      <c r="O360" s="31">
        <f>M360*N360</f>
        <v/>
      </c>
      <c r="P360" s="32">
        <f>1390.5*N360</f>
        <v/>
      </c>
    </row>
    <row r="361">
      <c r="A361" t="inlineStr">
        <is>
          <t>U1-25</t>
        </is>
      </c>
      <c r="B361" t="n">
        <v>1</v>
      </c>
      <c r="C361" t="n">
        <v>13</v>
      </c>
      <c r="D361" t="inlineStr">
        <is>
          <t>BAF20</t>
        </is>
      </c>
      <c r="E361" t="inlineStr">
        <is>
          <t>IC</t>
        </is>
      </c>
      <c r="F361" t="n">
        <v>15.4</v>
      </c>
      <c r="G361" t="n">
        <v>56</v>
      </c>
      <c r="H361" t="n">
        <v>4</v>
      </c>
      <c r="I361" t="inlineStr">
        <is>
          <t>L</t>
        </is>
      </c>
      <c r="J361" t="inlineStr">
        <is>
          <t>I</t>
        </is>
      </c>
      <c r="K361" t="inlineStr"/>
      <c r="L361" t="inlineStr"/>
      <c r="M361" s="30">
        <f>0.005454*F361^2</f>
        <v/>
      </c>
      <c r="N361" s="31">
        <f>IF(D361="BAF20",20/M361,100)</f>
        <v/>
      </c>
      <c r="O361" s="31">
        <f>M361*N361</f>
        <v/>
      </c>
      <c r="P361" s="32">
        <f>112.7*N361</f>
        <v/>
      </c>
    </row>
    <row r="362">
      <c r="A362" t="inlineStr">
        <is>
          <t>U1-25</t>
        </is>
      </c>
      <c r="B362" t="n">
        <v>1</v>
      </c>
      <c r="C362" t="n">
        <v>14</v>
      </c>
      <c r="D362" t="inlineStr">
        <is>
          <t>BAF20</t>
        </is>
      </c>
      <c r="E362" t="inlineStr">
        <is>
          <t>DF</t>
        </is>
      </c>
      <c r="F362" t="n">
        <v>16.6</v>
      </c>
      <c r="G362" t="n">
        <v>80</v>
      </c>
      <c r="H362" t="n">
        <v>100</v>
      </c>
      <c r="I362" t="inlineStr">
        <is>
          <t>D</t>
        </is>
      </c>
      <c r="J362" t="inlineStr">
        <is>
          <t>I</t>
        </is>
      </c>
      <c r="K362" t="inlineStr"/>
      <c r="L362" t="inlineStr"/>
      <c r="M362" s="30">
        <f>0.005454*F362^2</f>
        <v/>
      </c>
      <c r="N362" s="31">
        <f>IF(D362="BAF20",20/M362,100)</f>
        <v/>
      </c>
      <c r="O362" s="31">
        <f>M362*N362</f>
        <v/>
      </c>
      <c r="P362" s="32">
        <f>0.0*N362</f>
        <v/>
      </c>
    </row>
    <row r="363">
      <c r="A363" t="inlineStr">
        <is>
          <t>U1-25</t>
        </is>
      </c>
      <c r="B363" t="n">
        <v>1</v>
      </c>
      <c r="C363" t="n">
        <v>15</v>
      </c>
      <c r="D363" t="inlineStr">
        <is>
          <t>FIX100</t>
        </is>
      </c>
      <c r="E363" t="inlineStr">
        <is>
          <t>IC</t>
        </is>
      </c>
      <c r="F363" t="n">
        <v>3.8</v>
      </c>
      <c r="G363" t="n">
        <v>19</v>
      </c>
      <c r="H363" t="n">
        <v>0</v>
      </c>
      <c r="I363" t="inlineStr">
        <is>
          <t>L</t>
        </is>
      </c>
      <c r="J363" t="inlineStr">
        <is>
          <t>S</t>
        </is>
      </c>
      <c r="K363" t="inlineStr"/>
      <c r="L363" t="inlineStr"/>
      <c r="M363" s="30">
        <f>0.005454*F363^2</f>
        <v/>
      </c>
      <c r="N363" s="31">
        <f>IF(D363="BAF20",20/M363,100)</f>
        <v/>
      </c>
      <c r="O363" s="31">
        <f>M363*N363</f>
        <v/>
      </c>
      <c r="P363" s="32">
        <f>0.0*N363</f>
        <v/>
      </c>
    </row>
    <row r="364">
      <c r="A364" t="inlineStr">
        <is>
          <t>U1-25</t>
        </is>
      </c>
      <c r="B364" t="n">
        <v>1</v>
      </c>
      <c r="C364" t="n">
        <v>16</v>
      </c>
      <c r="D364" t="inlineStr">
        <is>
          <t>FIX100</t>
        </is>
      </c>
      <c r="E364" t="inlineStr">
        <is>
          <t>BO</t>
        </is>
      </c>
      <c r="F364" t="n">
        <v>4.8</v>
      </c>
      <c r="G364" t="n">
        <v>25</v>
      </c>
      <c r="H364" t="n">
        <v>0</v>
      </c>
      <c r="I364" t="inlineStr">
        <is>
          <t>L</t>
        </is>
      </c>
      <c r="J364" t="inlineStr">
        <is>
          <t>S</t>
        </is>
      </c>
      <c r="K364" t="inlineStr"/>
      <c r="L364" t="inlineStr"/>
      <c r="M364" s="30">
        <f>0.005454*F364^2</f>
        <v/>
      </c>
      <c r="N364" s="31">
        <f>IF(D364="BAF20",20/M364,100)</f>
        <v/>
      </c>
      <c r="O364" s="31">
        <f>M364*N364</f>
        <v/>
      </c>
      <c r="P364" s="32">
        <f>0.0*N364</f>
        <v/>
      </c>
    </row>
    <row r="365">
      <c r="A365" t="inlineStr">
        <is>
          <t>U1-26</t>
        </is>
      </c>
      <c r="B365" t="n">
        <v>1</v>
      </c>
      <c r="C365" t="n">
        <v>1</v>
      </c>
      <c r="D365" t="inlineStr">
        <is>
          <t>BAF20</t>
        </is>
      </c>
      <c r="E365" t="inlineStr">
        <is>
          <t>IC</t>
        </is>
      </c>
      <c r="F365" t="n">
        <v>21.2</v>
      </c>
      <c r="G365" t="n">
        <v>79</v>
      </c>
      <c r="H365" t="n">
        <v>5</v>
      </c>
      <c r="I365" t="inlineStr">
        <is>
          <t>L</t>
        </is>
      </c>
      <c r="J365" t="inlineStr">
        <is>
          <t>C</t>
        </is>
      </c>
      <c r="K365" t="inlineStr"/>
      <c r="L365" t="inlineStr"/>
      <c r="M365" s="30">
        <f>0.005454*F365^2</f>
        <v/>
      </c>
      <c r="N365" s="31">
        <f>IF(D365="BAF20",20/M365,100)</f>
        <v/>
      </c>
      <c r="O365" s="31">
        <f>M365*N365</f>
        <v/>
      </c>
      <c r="P365" s="32">
        <f>334.3*N365</f>
        <v/>
      </c>
    </row>
    <row r="366">
      <c r="A366" t="inlineStr">
        <is>
          <t>U1-26</t>
        </is>
      </c>
      <c r="B366" t="n">
        <v>1</v>
      </c>
      <c r="C366" t="n">
        <v>2</v>
      </c>
      <c r="D366" t="inlineStr">
        <is>
          <t>BAF20</t>
        </is>
      </c>
      <c r="E366" t="inlineStr">
        <is>
          <t>SP</t>
        </is>
      </c>
      <c r="F366" t="n">
        <v>25.1</v>
      </c>
      <c r="G366" t="n">
        <v>104</v>
      </c>
      <c r="H366" t="n">
        <v>4</v>
      </c>
      <c r="I366" t="inlineStr">
        <is>
          <t>L</t>
        </is>
      </c>
      <c r="J366" t="inlineStr">
        <is>
          <t>D</t>
        </is>
      </c>
      <c r="K366" t="inlineStr"/>
      <c r="L366" t="inlineStr"/>
      <c r="M366" s="30">
        <f>0.005454*F366^2</f>
        <v/>
      </c>
      <c r="N366" s="31">
        <f>IF(D366="BAF20",20/M366,100)</f>
        <v/>
      </c>
      <c r="O366" s="31">
        <f>M366*N366</f>
        <v/>
      </c>
      <c r="P366" s="32">
        <f>669.0*N366</f>
        <v/>
      </c>
    </row>
    <row r="367">
      <c r="A367" t="inlineStr">
        <is>
          <t>U1-26</t>
        </is>
      </c>
      <c r="B367" t="n">
        <v>1</v>
      </c>
      <c r="C367" t="n">
        <v>3</v>
      </c>
      <c r="D367" t="inlineStr">
        <is>
          <t>BAF20</t>
        </is>
      </c>
      <c r="E367" t="inlineStr">
        <is>
          <t>IC</t>
        </is>
      </c>
      <c r="F367" t="n">
        <v>16.7</v>
      </c>
      <c r="G367" t="n">
        <v>67</v>
      </c>
      <c r="H367" t="n">
        <v>7</v>
      </c>
      <c r="I367" t="inlineStr">
        <is>
          <t>L</t>
        </is>
      </c>
      <c r="J367" t="inlineStr">
        <is>
          <t>I</t>
        </is>
      </c>
      <c r="K367" t="inlineStr"/>
      <c r="L367" t="inlineStr"/>
      <c r="M367" s="30">
        <f>0.005454*F367^2</f>
        <v/>
      </c>
      <c r="N367" s="31">
        <f>IF(D367="BAF20",20/M367,100)</f>
        <v/>
      </c>
      <c r="O367" s="31">
        <f>M367*N367</f>
        <v/>
      </c>
      <c r="P367" s="32">
        <f>157.7*N367</f>
        <v/>
      </c>
    </row>
    <row r="368">
      <c r="A368" t="inlineStr">
        <is>
          <t>U1-26</t>
        </is>
      </c>
      <c r="B368" t="n">
        <v>1</v>
      </c>
      <c r="C368" t="n">
        <v>4</v>
      </c>
      <c r="D368" t="inlineStr">
        <is>
          <t>BAF20</t>
        </is>
      </c>
      <c r="E368" t="inlineStr">
        <is>
          <t>PP</t>
        </is>
      </c>
      <c r="F368" t="n">
        <v>23.2</v>
      </c>
      <c r="G368" t="n">
        <v>99</v>
      </c>
      <c r="H368" t="n">
        <v>5</v>
      </c>
      <c r="I368" t="inlineStr">
        <is>
          <t>L</t>
        </is>
      </c>
      <c r="J368" t="inlineStr">
        <is>
          <t>C</t>
        </is>
      </c>
      <c r="K368" t="inlineStr"/>
      <c r="L368" t="inlineStr"/>
      <c r="M368" s="30">
        <f>0.005454*F368^2</f>
        <v/>
      </c>
      <c r="N368" s="31">
        <f>IF(D368="BAF20",20/M368,100)</f>
        <v/>
      </c>
      <c r="O368" s="31">
        <f>M368*N368</f>
        <v/>
      </c>
      <c r="P368" s="32">
        <f>520.6*N368</f>
        <v/>
      </c>
    </row>
    <row r="369">
      <c r="A369" t="inlineStr">
        <is>
          <t>U1-26</t>
        </is>
      </c>
      <c r="B369" t="n">
        <v>1</v>
      </c>
      <c r="C369" t="n">
        <v>5</v>
      </c>
      <c r="D369" t="inlineStr">
        <is>
          <t>BAF20</t>
        </is>
      </c>
      <c r="E369" t="inlineStr">
        <is>
          <t>BO</t>
        </is>
      </c>
      <c r="F369" t="n">
        <v>15.4</v>
      </c>
      <c r="G369" t="n">
        <v>50</v>
      </c>
      <c r="H369" t="n">
        <v>32</v>
      </c>
      <c r="I369" t="inlineStr">
        <is>
          <t>L</t>
        </is>
      </c>
      <c r="J369" t="inlineStr">
        <is>
          <t>I</t>
        </is>
      </c>
      <c r="K369" t="inlineStr"/>
      <c r="L369" t="inlineStr"/>
      <c r="M369" s="30">
        <f>0.005454*F369^2</f>
        <v/>
      </c>
      <c r="N369" s="31">
        <f>IF(D369="BAF20",20/M369,100)</f>
        <v/>
      </c>
      <c r="O369" s="31">
        <f>M369*N369</f>
        <v/>
      </c>
      <c r="P369" s="32">
        <f>64.5*N369</f>
        <v/>
      </c>
    </row>
    <row r="370">
      <c r="A370" t="inlineStr">
        <is>
          <t>U1-26</t>
        </is>
      </c>
      <c r="B370" t="n">
        <v>1</v>
      </c>
      <c r="C370" t="n">
        <v>6</v>
      </c>
      <c r="D370" t="inlineStr">
        <is>
          <t>BAF20</t>
        </is>
      </c>
      <c r="E370" t="inlineStr">
        <is>
          <t>PP</t>
        </is>
      </c>
      <c r="F370" t="n">
        <v>5</v>
      </c>
      <c r="G370" t="n">
        <v>27</v>
      </c>
      <c r="H370" t="n">
        <v>2</v>
      </c>
      <c r="I370" t="inlineStr">
        <is>
          <t>L</t>
        </is>
      </c>
      <c r="J370" t="inlineStr">
        <is>
          <t>S</t>
        </is>
      </c>
      <c r="K370" t="inlineStr">
        <is>
          <t>Y</t>
        </is>
      </c>
      <c r="L370" t="inlineStr"/>
      <c r="M370" s="30">
        <f>0.005454*F370^2</f>
        <v/>
      </c>
      <c r="N370" s="31">
        <f>IF(D370="BAF20",20/M370,100)</f>
        <v/>
      </c>
      <c r="O370" s="31">
        <f>M370*N370</f>
        <v/>
      </c>
      <c r="P370" s="32">
        <f>0.0*N370</f>
        <v/>
      </c>
    </row>
    <row r="371">
      <c r="A371" t="inlineStr">
        <is>
          <t>U1-26</t>
        </is>
      </c>
      <c r="B371" t="n">
        <v>1</v>
      </c>
      <c r="C371" t="n">
        <v>7</v>
      </c>
      <c r="D371" t="inlineStr">
        <is>
          <t>BAF20</t>
        </is>
      </c>
      <c r="E371" t="inlineStr">
        <is>
          <t>SP</t>
        </is>
      </c>
      <c r="F371" t="n">
        <v>16.4</v>
      </c>
      <c r="G371" t="n">
        <v>76</v>
      </c>
      <c r="H371" t="n">
        <v>2</v>
      </c>
      <c r="I371" t="inlineStr">
        <is>
          <t>L</t>
        </is>
      </c>
      <c r="J371" t="inlineStr">
        <is>
          <t>I</t>
        </is>
      </c>
      <c r="K371" t="inlineStr"/>
      <c r="L371" t="inlineStr"/>
      <c r="M371" s="30">
        <f>0.005454*F371^2</f>
        <v/>
      </c>
      <c r="N371" s="31">
        <f>IF(D371="BAF20",20/M371,100)</f>
        <v/>
      </c>
      <c r="O371" s="31">
        <f>M371*N371</f>
        <v/>
      </c>
      <c r="P371" s="32">
        <f>180.7*N371</f>
        <v/>
      </c>
    </row>
    <row r="372">
      <c r="A372" t="inlineStr">
        <is>
          <t>U1-26</t>
        </is>
      </c>
      <c r="B372" t="n">
        <v>1</v>
      </c>
      <c r="C372" t="n">
        <v>8</v>
      </c>
      <c r="D372" t="inlineStr">
        <is>
          <t>BAF20</t>
        </is>
      </c>
      <c r="E372" t="inlineStr">
        <is>
          <t>DF</t>
        </is>
      </c>
      <c r="F372" t="n">
        <v>7.5</v>
      </c>
      <c r="G372" t="n">
        <v>45</v>
      </c>
      <c r="H372" t="n">
        <v>5</v>
      </c>
      <c r="I372" t="inlineStr">
        <is>
          <t>L</t>
        </is>
      </c>
      <c r="J372" t="inlineStr">
        <is>
          <t>S</t>
        </is>
      </c>
      <c r="K372" t="inlineStr">
        <is>
          <t>Y</t>
        </is>
      </c>
      <c r="L372" t="inlineStr"/>
      <c r="M372" s="30">
        <f>0.005454*F372^2</f>
        <v/>
      </c>
      <c r="N372" s="31">
        <f>IF(D372="BAF20",20/M372,100)</f>
        <v/>
      </c>
      <c r="O372" s="31">
        <f>M372*N372</f>
        <v/>
      </c>
      <c r="P372" s="32">
        <f>0.0*N372</f>
        <v/>
      </c>
    </row>
    <row r="373">
      <c r="A373" t="inlineStr">
        <is>
          <t>U1-26</t>
        </is>
      </c>
      <c r="B373" t="n">
        <v>1</v>
      </c>
      <c r="C373" t="n">
        <v>9</v>
      </c>
      <c r="D373" t="inlineStr">
        <is>
          <t>BAF20</t>
        </is>
      </c>
      <c r="E373" t="inlineStr">
        <is>
          <t>WF</t>
        </is>
      </c>
      <c r="F373" t="n">
        <v>10.9</v>
      </c>
      <c r="G373" t="n">
        <v>55</v>
      </c>
      <c r="H373" t="n">
        <v>2</v>
      </c>
      <c r="I373" t="inlineStr">
        <is>
          <t>L</t>
        </is>
      </c>
      <c r="J373" t="inlineStr">
        <is>
          <t>S</t>
        </is>
      </c>
      <c r="K373" t="inlineStr">
        <is>
          <t>Y</t>
        </is>
      </c>
      <c r="L373" t="inlineStr"/>
      <c r="M373" s="30">
        <f>0.005454*F373^2</f>
        <v/>
      </c>
      <c r="N373" s="31">
        <f>IF(D373="BAF20",20/M373,100)</f>
        <v/>
      </c>
      <c r="O373" s="31">
        <f>M373*N373</f>
        <v/>
      </c>
      <c r="P373" s="32">
        <f>51.2*N373</f>
        <v/>
      </c>
    </row>
    <row r="374">
      <c r="A374" t="inlineStr">
        <is>
          <t>U1-26</t>
        </is>
      </c>
      <c r="B374" t="n">
        <v>1</v>
      </c>
      <c r="C374" t="n">
        <v>10</v>
      </c>
      <c r="D374" t="inlineStr">
        <is>
          <t>BAF20</t>
        </is>
      </c>
      <c r="E374" t="inlineStr">
        <is>
          <t>DF</t>
        </is>
      </c>
      <c r="F374" t="n">
        <v>26.4</v>
      </c>
      <c r="G374" t="n">
        <v>107</v>
      </c>
      <c r="H374" t="n">
        <v>2</v>
      </c>
      <c r="I374" t="inlineStr">
        <is>
          <t>L</t>
        </is>
      </c>
      <c r="J374" t="inlineStr">
        <is>
          <t>D</t>
        </is>
      </c>
      <c r="K374" t="inlineStr"/>
      <c r="L374" t="inlineStr"/>
      <c r="M374" s="30">
        <f>0.005454*F374^2</f>
        <v/>
      </c>
      <c r="N374" s="31">
        <f>IF(D374="BAF20",20/M374,100)</f>
        <v/>
      </c>
      <c r="O374" s="31">
        <f>M374*N374</f>
        <v/>
      </c>
      <c r="P374" s="32">
        <f>794.9*N374</f>
        <v/>
      </c>
    </row>
    <row r="375">
      <c r="A375" t="inlineStr">
        <is>
          <t>U1-26</t>
        </is>
      </c>
      <c r="B375" t="n">
        <v>1</v>
      </c>
      <c r="C375" t="n">
        <v>11</v>
      </c>
      <c r="D375" t="inlineStr">
        <is>
          <t>BAF20</t>
        </is>
      </c>
      <c r="E375" t="inlineStr">
        <is>
          <t>PP</t>
        </is>
      </c>
      <c r="F375" t="n">
        <v>20</v>
      </c>
      <c r="G375" t="n">
        <v>96</v>
      </c>
      <c r="H375" t="n">
        <v>2</v>
      </c>
      <c r="I375" t="inlineStr">
        <is>
          <t>L</t>
        </is>
      </c>
      <c r="J375" t="inlineStr">
        <is>
          <t>C</t>
        </is>
      </c>
      <c r="K375" t="inlineStr"/>
      <c r="L375" t="inlineStr"/>
      <c r="M375" s="30">
        <f>0.005454*F375^2</f>
        <v/>
      </c>
      <c r="N375" s="31">
        <f>IF(D375="BAF20",20/M375,100)</f>
        <v/>
      </c>
      <c r="O375" s="31">
        <f>M375*N375</f>
        <v/>
      </c>
      <c r="P375" s="32">
        <f>364.6*N375</f>
        <v/>
      </c>
    </row>
    <row r="376">
      <c r="A376" t="inlineStr">
        <is>
          <t>U1-26</t>
        </is>
      </c>
      <c r="B376" t="n">
        <v>1</v>
      </c>
      <c r="C376" t="n">
        <v>12</v>
      </c>
      <c r="D376" t="inlineStr">
        <is>
          <t>BAF20</t>
        </is>
      </c>
      <c r="E376" t="inlineStr">
        <is>
          <t>BO</t>
        </is>
      </c>
      <c r="F376" t="n">
        <v>31.6</v>
      </c>
      <c r="G376" t="n">
        <v>67</v>
      </c>
      <c r="H376" t="n">
        <v>100</v>
      </c>
      <c r="I376" t="inlineStr">
        <is>
          <t>D</t>
        </is>
      </c>
      <c r="J376" t="inlineStr">
        <is>
          <t>D</t>
        </is>
      </c>
      <c r="K376" t="inlineStr"/>
      <c r="L376" t="inlineStr"/>
      <c r="M376" s="30">
        <f>0.005454*F376^2</f>
        <v/>
      </c>
      <c r="N376" s="31">
        <f>IF(D376="BAF20",20/M376,100)</f>
        <v/>
      </c>
      <c r="O376" s="31">
        <f>M376*N376</f>
        <v/>
      </c>
      <c r="P376" s="32">
        <f>0.0*N376</f>
        <v/>
      </c>
    </row>
    <row r="377">
      <c r="A377" t="inlineStr">
        <is>
          <t>U1-26</t>
        </is>
      </c>
      <c r="B377" t="n">
        <v>1</v>
      </c>
      <c r="C377" t="n">
        <v>13</v>
      </c>
      <c r="D377" t="inlineStr">
        <is>
          <t>BAF20</t>
        </is>
      </c>
      <c r="E377" t="inlineStr">
        <is>
          <t>PP</t>
        </is>
      </c>
      <c r="F377" t="n">
        <v>14.9</v>
      </c>
      <c r="G377" t="n">
        <v>57</v>
      </c>
      <c r="H377" t="n">
        <v>1</v>
      </c>
      <c r="I377" t="inlineStr">
        <is>
          <t>L</t>
        </is>
      </c>
      <c r="J377" t="inlineStr">
        <is>
          <t>I</t>
        </is>
      </c>
      <c r="K377" t="inlineStr"/>
      <c r="L377" t="inlineStr"/>
      <c r="M377" s="30">
        <f>0.005454*F377^2</f>
        <v/>
      </c>
      <c r="N377" s="31">
        <f>IF(D377="BAF20",20/M377,100)</f>
        <v/>
      </c>
      <c r="O377" s="31">
        <f>M377*N377</f>
        <v/>
      </c>
      <c r="P377" s="32">
        <f>109.5*N377</f>
        <v/>
      </c>
    </row>
    <row r="378">
      <c r="A378" t="inlineStr">
        <is>
          <t>U1-26</t>
        </is>
      </c>
      <c r="B378" t="n">
        <v>1</v>
      </c>
      <c r="C378" t="n">
        <v>14</v>
      </c>
      <c r="D378" t="inlineStr">
        <is>
          <t>BAF20</t>
        </is>
      </c>
      <c r="E378" t="inlineStr">
        <is>
          <t>PP</t>
        </is>
      </c>
      <c r="F378" t="n">
        <v>37.1</v>
      </c>
      <c r="G378" t="n">
        <v>148</v>
      </c>
      <c r="H378" t="n">
        <v>1</v>
      </c>
      <c r="I378" t="inlineStr">
        <is>
          <t>L</t>
        </is>
      </c>
      <c r="J378" t="inlineStr">
        <is>
          <t>D</t>
        </is>
      </c>
      <c r="K378" t="inlineStr"/>
      <c r="L378" t="inlineStr"/>
      <c r="M378" s="30">
        <f>0.005454*F378^2</f>
        <v/>
      </c>
      <c r="N378" s="31">
        <f>IF(D378="BAF20",20/M378,100)</f>
        <v/>
      </c>
      <c r="O378" s="31">
        <f>M378*N378</f>
        <v/>
      </c>
      <c r="P378" s="32">
        <f>2577.8*N378</f>
        <v/>
      </c>
    </row>
    <row r="379">
      <c r="A379" t="inlineStr">
        <is>
          <t>U1-26</t>
        </is>
      </c>
      <c r="B379" t="n">
        <v>1</v>
      </c>
      <c r="C379" t="n">
        <v>15</v>
      </c>
      <c r="D379" t="inlineStr">
        <is>
          <t>BAF20</t>
        </is>
      </c>
      <c r="E379" t="inlineStr">
        <is>
          <t>DF</t>
        </is>
      </c>
      <c r="F379" t="n">
        <v>24.7</v>
      </c>
      <c r="G379" t="n">
        <v>109</v>
      </c>
      <c r="H379" t="n">
        <v>100</v>
      </c>
      <c r="I379" t="inlineStr">
        <is>
          <t>D</t>
        </is>
      </c>
      <c r="J379" t="inlineStr">
        <is>
          <t>C</t>
        </is>
      </c>
      <c r="K379" t="inlineStr"/>
      <c r="L379" t="inlineStr"/>
      <c r="M379" s="30">
        <f>0.005454*F379^2</f>
        <v/>
      </c>
      <c r="N379" s="31">
        <f>IF(D379="BAF20",20/M379,100)</f>
        <v/>
      </c>
      <c r="O379" s="31">
        <f>M379*N379</f>
        <v/>
      </c>
      <c r="P379" s="32">
        <f>0.0*N379</f>
        <v/>
      </c>
    </row>
    <row r="380">
      <c r="A380" t="inlineStr">
        <is>
          <t>U1-26</t>
        </is>
      </c>
      <c r="B380" t="n">
        <v>1</v>
      </c>
      <c r="C380" t="n">
        <v>16</v>
      </c>
      <c r="D380" t="inlineStr">
        <is>
          <t>BAF20</t>
        </is>
      </c>
      <c r="E380" t="inlineStr">
        <is>
          <t>IC</t>
        </is>
      </c>
      <c r="F380" t="n">
        <v>12.1</v>
      </c>
      <c r="G380" t="n">
        <v>53</v>
      </c>
      <c r="H380" t="n">
        <v>3</v>
      </c>
      <c r="I380" t="inlineStr">
        <is>
          <t>L</t>
        </is>
      </c>
      <c r="J380" t="inlineStr">
        <is>
          <t>S</t>
        </is>
      </c>
      <c r="K380" t="inlineStr">
        <is>
          <t>Y</t>
        </is>
      </c>
      <c r="L380" t="inlineStr"/>
      <c r="M380" s="30">
        <f>0.005454*F380^2</f>
        <v/>
      </c>
      <c r="N380" s="31">
        <f>IF(D380="BAF20",20/M380,100)</f>
        <v/>
      </c>
      <c r="O380" s="31">
        <f>M380*N380</f>
        <v/>
      </c>
      <c r="P380" s="32">
        <f>61.9*N380</f>
        <v/>
      </c>
    </row>
    <row r="381">
      <c r="A381" t="inlineStr">
        <is>
          <t>U1-26</t>
        </is>
      </c>
      <c r="B381" t="n">
        <v>1</v>
      </c>
      <c r="C381" t="n">
        <v>17</v>
      </c>
      <c r="D381" t="inlineStr">
        <is>
          <t>FIX100</t>
        </is>
      </c>
      <c r="E381" t="inlineStr">
        <is>
          <t>DF</t>
        </is>
      </c>
      <c r="F381" t="n">
        <v>3.2</v>
      </c>
      <c r="G381" t="n">
        <v>22</v>
      </c>
      <c r="H381" t="n">
        <v>0</v>
      </c>
      <c r="I381" t="inlineStr">
        <is>
          <t>L</t>
        </is>
      </c>
      <c r="J381" t="inlineStr">
        <is>
          <t>S</t>
        </is>
      </c>
      <c r="K381" t="inlineStr"/>
      <c r="L381" t="inlineStr"/>
      <c r="M381" s="30">
        <f>0.005454*F381^2</f>
        <v/>
      </c>
      <c r="N381" s="31">
        <f>IF(D381="BAF20",20/M381,100)</f>
        <v/>
      </c>
      <c r="O381" s="31">
        <f>M381*N381</f>
        <v/>
      </c>
      <c r="P381" s="32">
        <f>0.0*N381</f>
        <v/>
      </c>
    </row>
    <row r="382">
      <c r="A382" t="inlineStr">
        <is>
          <t>U1-26</t>
        </is>
      </c>
      <c r="B382" t="n">
        <v>1</v>
      </c>
      <c r="C382" t="n">
        <v>18</v>
      </c>
      <c r="D382" t="inlineStr">
        <is>
          <t>FIX100</t>
        </is>
      </c>
      <c r="E382" t="inlineStr">
        <is>
          <t>IC</t>
        </is>
      </c>
      <c r="F382" t="n">
        <v>1.9</v>
      </c>
      <c r="G382" t="n">
        <v>9</v>
      </c>
      <c r="H382" t="n">
        <v>0</v>
      </c>
      <c r="I382" t="inlineStr">
        <is>
          <t>L</t>
        </is>
      </c>
      <c r="J382" t="inlineStr">
        <is>
          <t>S</t>
        </is>
      </c>
      <c r="K382" t="inlineStr"/>
      <c r="L382" t="inlineStr"/>
      <c r="M382" s="30">
        <f>0.005454*F382^2</f>
        <v/>
      </c>
      <c r="N382" s="31">
        <f>IF(D382="BAF20",20/M382,100)</f>
        <v/>
      </c>
      <c r="O382" s="31">
        <f>M382*N382</f>
        <v/>
      </c>
      <c r="P382" s="32">
        <f>0.0*N382</f>
        <v/>
      </c>
    </row>
    <row r="383">
      <c r="A383" t="inlineStr">
        <is>
          <t>U1-26</t>
        </is>
      </c>
      <c r="B383" t="n">
        <v>1</v>
      </c>
      <c r="C383" t="n">
        <v>19</v>
      </c>
      <c r="D383" t="inlineStr">
        <is>
          <t>FIX100</t>
        </is>
      </c>
      <c r="E383" t="inlineStr">
        <is>
          <t>WF</t>
        </is>
      </c>
      <c r="F383" t="n">
        <v>2</v>
      </c>
      <c r="G383" t="n">
        <v>14</v>
      </c>
      <c r="H383" t="n">
        <v>0</v>
      </c>
      <c r="I383" t="inlineStr">
        <is>
          <t>L</t>
        </is>
      </c>
      <c r="J383" t="inlineStr">
        <is>
          <t>S</t>
        </is>
      </c>
      <c r="K383" t="inlineStr"/>
      <c r="L383" t="inlineStr"/>
      <c r="M383" s="30">
        <f>0.005454*F383^2</f>
        <v/>
      </c>
      <c r="N383" s="31">
        <f>IF(D383="BAF20",20/M383,100)</f>
        <v/>
      </c>
      <c r="O383" s="31">
        <f>M383*N383</f>
        <v/>
      </c>
      <c r="P383" s="32">
        <f>0.0*N383</f>
        <v/>
      </c>
    </row>
    <row r="384">
      <c r="A384" t="inlineStr">
        <is>
          <t>U1-27</t>
        </is>
      </c>
      <c r="B384" t="n">
        <v>1</v>
      </c>
      <c r="C384" t="n">
        <v>1</v>
      </c>
      <c r="D384" t="inlineStr">
        <is>
          <t>BAF20</t>
        </is>
      </c>
      <c r="E384" t="inlineStr">
        <is>
          <t>PP</t>
        </is>
      </c>
      <c r="F384" t="n">
        <v>16</v>
      </c>
      <c r="G384" t="n">
        <v>83</v>
      </c>
      <c r="H384" t="n">
        <v>2</v>
      </c>
      <c r="I384" t="inlineStr">
        <is>
          <t>L</t>
        </is>
      </c>
      <c r="J384" t="inlineStr">
        <is>
          <t>I</t>
        </is>
      </c>
      <c r="K384" t="inlineStr"/>
      <c r="L384" t="inlineStr"/>
      <c r="M384" s="30">
        <f>0.005454*F384^2</f>
        <v/>
      </c>
      <c r="N384" s="31">
        <f>IF(D384="BAF20",20/M384,100)</f>
        <v/>
      </c>
      <c r="O384" s="31">
        <f>M384*N384</f>
        <v/>
      </c>
      <c r="P384" s="32">
        <f>186.3*N384</f>
        <v/>
      </c>
    </row>
    <row r="385">
      <c r="A385" t="inlineStr">
        <is>
          <t>U1-27</t>
        </is>
      </c>
      <c r="B385" t="n">
        <v>1</v>
      </c>
      <c r="C385" t="n">
        <v>2</v>
      </c>
      <c r="D385" t="inlineStr">
        <is>
          <t>BAF20</t>
        </is>
      </c>
      <c r="E385" t="inlineStr">
        <is>
          <t>PP</t>
        </is>
      </c>
      <c r="F385" t="n">
        <v>26</v>
      </c>
      <c r="G385" t="n">
        <v>107</v>
      </c>
      <c r="H385" t="n">
        <v>1</v>
      </c>
      <c r="I385" t="inlineStr">
        <is>
          <t>L</t>
        </is>
      </c>
      <c r="J385" t="inlineStr">
        <is>
          <t>D</t>
        </is>
      </c>
      <c r="K385" t="inlineStr"/>
      <c r="L385" t="inlineStr"/>
      <c r="M385" s="30">
        <f>0.005454*F385^2</f>
        <v/>
      </c>
      <c r="N385" s="31">
        <f>IF(D385="BAF20",20/M385,100)</f>
        <v/>
      </c>
      <c r="O385" s="31">
        <f>M385*N385</f>
        <v/>
      </c>
      <c r="P385" s="32">
        <f>773.6*N385</f>
        <v/>
      </c>
    </row>
    <row r="386">
      <c r="A386" t="inlineStr">
        <is>
          <t>U1-27</t>
        </is>
      </c>
      <c r="B386" t="n">
        <v>1</v>
      </c>
      <c r="C386" t="n">
        <v>3</v>
      </c>
      <c r="D386" t="inlineStr">
        <is>
          <t>BAF20</t>
        </is>
      </c>
      <c r="E386" t="inlineStr">
        <is>
          <t>PP</t>
        </is>
      </c>
      <c r="F386" t="n">
        <v>8.1</v>
      </c>
      <c r="G386" t="n">
        <v>38</v>
      </c>
      <c r="H386" t="n">
        <v>1</v>
      </c>
      <c r="I386" t="inlineStr">
        <is>
          <t>L</t>
        </is>
      </c>
      <c r="J386" t="inlineStr">
        <is>
          <t>S</t>
        </is>
      </c>
      <c r="K386" t="inlineStr">
        <is>
          <t>Y</t>
        </is>
      </c>
      <c r="L386" t="inlineStr"/>
      <c r="M386" s="30">
        <f>0.005454*F386^2</f>
        <v/>
      </c>
      <c r="N386" s="31">
        <f>IF(D386="BAF20",20/M386,100)</f>
        <v/>
      </c>
      <c r="O386" s="31">
        <f>M386*N386</f>
        <v/>
      </c>
      <c r="P386" s="32">
        <f>0.0*N386</f>
        <v/>
      </c>
    </row>
    <row r="387">
      <c r="A387" t="inlineStr">
        <is>
          <t>U1-27</t>
        </is>
      </c>
      <c r="B387" t="n">
        <v>1</v>
      </c>
      <c r="C387" t="n">
        <v>4</v>
      </c>
      <c r="D387" t="inlineStr">
        <is>
          <t>BAF20</t>
        </is>
      </c>
      <c r="E387" t="inlineStr">
        <is>
          <t>IC</t>
        </is>
      </c>
      <c r="F387" t="n">
        <v>16.1</v>
      </c>
      <c r="G387" t="n">
        <v>59</v>
      </c>
      <c r="H387" t="n">
        <v>14</v>
      </c>
      <c r="I387" t="inlineStr">
        <is>
          <t>L</t>
        </is>
      </c>
      <c r="J387" t="inlineStr">
        <is>
          <t>I</t>
        </is>
      </c>
      <c r="K387" t="inlineStr"/>
      <c r="L387" t="inlineStr"/>
      <c r="M387" s="30">
        <f>0.005454*F387^2</f>
        <v/>
      </c>
      <c r="N387" s="31">
        <f>IF(D387="BAF20",20/M387,100)</f>
        <v/>
      </c>
      <c r="O387" s="31">
        <f>M387*N387</f>
        <v/>
      </c>
      <c r="P387" s="32">
        <f>117.9*N387</f>
        <v/>
      </c>
    </row>
    <row r="388">
      <c r="A388" t="inlineStr">
        <is>
          <t>U1-27</t>
        </is>
      </c>
      <c r="B388" t="n">
        <v>1</v>
      </c>
      <c r="C388" t="n">
        <v>5</v>
      </c>
      <c r="D388" t="inlineStr">
        <is>
          <t>BAF20</t>
        </is>
      </c>
      <c r="E388" t="inlineStr">
        <is>
          <t>PP</t>
        </is>
      </c>
      <c r="F388" t="n">
        <v>18.2</v>
      </c>
      <c r="G388" t="n">
        <v>83</v>
      </c>
      <c r="H388" t="n">
        <v>0</v>
      </c>
      <c r="I388" t="inlineStr">
        <is>
          <t>L</t>
        </is>
      </c>
      <c r="J388" t="inlineStr">
        <is>
          <t>I</t>
        </is>
      </c>
      <c r="K388" t="inlineStr"/>
      <c r="L388" t="inlineStr"/>
      <c r="M388" s="30">
        <f>0.005454*F388^2</f>
        <v/>
      </c>
      <c r="N388" s="31">
        <f>IF(D388="BAF20",20/M388,100)</f>
        <v/>
      </c>
      <c r="O388" s="31">
        <f>M388*N388</f>
        <v/>
      </c>
      <c r="P388" s="32">
        <f>257.2*N388</f>
        <v/>
      </c>
    </row>
    <row r="389">
      <c r="A389" t="inlineStr">
        <is>
          <t>U1-27</t>
        </is>
      </c>
      <c r="B389" t="n">
        <v>1</v>
      </c>
      <c r="C389" t="n">
        <v>6</v>
      </c>
      <c r="D389" t="inlineStr">
        <is>
          <t>BAF20</t>
        </is>
      </c>
      <c r="E389" t="inlineStr">
        <is>
          <t>IC</t>
        </is>
      </c>
      <c r="F389" t="n">
        <v>16.4</v>
      </c>
      <c r="G389" t="n">
        <v>60</v>
      </c>
      <c r="H389" t="n">
        <v>10</v>
      </c>
      <c r="I389" t="inlineStr">
        <is>
          <t>L</t>
        </is>
      </c>
      <c r="J389" t="inlineStr">
        <is>
          <t>I</t>
        </is>
      </c>
      <c r="K389" t="inlineStr"/>
      <c r="L389" t="inlineStr"/>
      <c r="M389" s="30">
        <f>0.005454*F389^2</f>
        <v/>
      </c>
      <c r="N389" s="31">
        <f>IF(D389="BAF20",20/M389,100)</f>
        <v/>
      </c>
      <c r="O389" s="31">
        <f>M389*N389</f>
        <v/>
      </c>
      <c r="P389" s="32">
        <f>131.0*N389</f>
        <v/>
      </c>
    </row>
    <row r="390">
      <c r="A390" t="inlineStr">
        <is>
          <t>U1-27</t>
        </is>
      </c>
      <c r="B390" t="n">
        <v>1</v>
      </c>
      <c r="C390" t="n">
        <v>7</v>
      </c>
      <c r="D390" t="inlineStr">
        <is>
          <t>BAF20</t>
        </is>
      </c>
      <c r="E390" t="inlineStr">
        <is>
          <t>IC</t>
        </is>
      </c>
      <c r="F390" t="n">
        <v>10.2</v>
      </c>
      <c r="G390" t="n">
        <v>46</v>
      </c>
      <c r="H390" t="n">
        <v>6</v>
      </c>
      <c r="I390" t="inlineStr">
        <is>
          <t>L</t>
        </is>
      </c>
      <c r="J390" t="inlineStr">
        <is>
          <t>S</t>
        </is>
      </c>
      <c r="K390" t="inlineStr">
        <is>
          <t>Y</t>
        </is>
      </c>
      <c r="L390" t="inlineStr"/>
      <c r="M390" s="30">
        <f>0.005454*F390^2</f>
        <v/>
      </c>
      <c r="N390" s="31">
        <f>IF(D390="BAF20",20/M390,100)</f>
        <v/>
      </c>
      <c r="O390" s="31">
        <f>M390*N390</f>
        <v/>
      </c>
      <c r="P390" s="32">
        <f>35.4*N390</f>
        <v/>
      </c>
    </row>
    <row r="391">
      <c r="A391" t="inlineStr">
        <is>
          <t>U1-27</t>
        </is>
      </c>
      <c r="B391" t="n">
        <v>1</v>
      </c>
      <c r="C391" t="n">
        <v>8</v>
      </c>
      <c r="D391" t="inlineStr">
        <is>
          <t>BAF20</t>
        </is>
      </c>
      <c r="E391" t="inlineStr">
        <is>
          <t>DF</t>
        </is>
      </c>
      <c r="F391" t="n">
        <v>10.2</v>
      </c>
      <c r="G391" t="n">
        <v>58</v>
      </c>
      <c r="H391" t="n">
        <v>4</v>
      </c>
      <c r="I391" t="inlineStr">
        <is>
          <t>L</t>
        </is>
      </c>
      <c r="J391" t="inlineStr">
        <is>
          <t>S</t>
        </is>
      </c>
      <c r="K391" t="inlineStr">
        <is>
          <t>Y</t>
        </is>
      </c>
      <c r="L391" t="inlineStr"/>
      <c r="M391" s="30">
        <f>0.005454*F391^2</f>
        <v/>
      </c>
      <c r="N391" s="31">
        <f>IF(D391="BAF20",20/M391,100)</f>
        <v/>
      </c>
      <c r="O391" s="31">
        <f>M391*N391</f>
        <v/>
      </c>
      <c r="P391" s="32">
        <f>45.6*N391</f>
        <v/>
      </c>
    </row>
    <row r="392">
      <c r="A392" t="inlineStr">
        <is>
          <t>U1-27</t>
        </is>
      </c>
      <c r="B392" t="n">
        <v>1</v>
      </c>
      <c r="C392" t="n">
        <v>9</v>
      </c>
      <c r="D392" t="inlineStr">
        <is>
          <t>FIX100</t>
        </is>
      </c>
      <c r="E392" t="inlineStr">
        <is>
          <t>PP</t>
        </is>
      </c>
      <c r="F392" t="n">
        <v>2.2</v>
      </c>
      <c r="G392" t="n">
        <v>14</v>
      </c>
      <c r="H392" t="n">
        <v>0</v>
      </c>
      <c r="I392" t="inlineStr">
        <is>
          <t>L</t>
        </is>
      </c>
      <c r="J392" t="inlineStr">
        <is>
          <t>S</t>
        </is>
      </c>
      <c r="K392" t="inlineStr"/>
      <c r="L392" t="inlineStr"/>
      <c r="M392" s="30">
        <f>0.005454*F392^2</f>
        <v/>
      </c>
      <c r="N392" s="31">
        <f>IF(D392="BAF20",20/M392,100)</f>
        <v/>
      </c>
      <c r="O392" s="31">
        <f>M392*N392</f>
        <v/>
      </c>
      <c r="P392" s="32">
        <f>0.0*N392</f>
        <v/>
      </c>
    </row>
    <row r="393">
      <c r="A393" t="inlineStr">
        <is>
          <t>U1-27</t>
        </is>
      </c>
      <c r="B393" t="n">
        <v>1</v>
      </c>
      <c r="C393" t="n">
        <v>10</v>
      </c>
      <c r="D393" t="inlineStr">
        <is>
          <t>FIX100</t>
        </is>
      </c>
      <c r="E393" t="inlineStr">
        <is>
          <t>IC</t>
        </is>
      </c>
      <c r="F393" t="n">
        <v>4.8</v>
      </c>
      <c r="G393" t="n">
        <v>22</v>
      </c>
      <c r="H393" t="n">
        <v>0</v>
      </c>
      <c r="I393" t="inlineStr">
        <is>
          <t>L</t>
        </is>
      </c>
      <c r="J393" t="inlineStr">
        <is>
          <t>S</t>
        </is>
      </c>
      <c r="K393" t="inlineStr"/>
      <c r="L393" t="inlineStr"/>
      <c r="M393" s="30">
        <f>0.005454*F393^2</f>
        <v/>
      </c>
      <c r="N393" s="31">
        <f>IF(D393="BAF20",20/M393,100)</f>
        <v/>
      </c>
      <c r="O393" s="31">
        <f>M393*N393</f>
        <v/>
      </c>
      <c r="P393" s="32">
        <f>0.0*N393</f>
        <v/>
      </c>
    </row>
    <row r="394">
      <c r="A394" t="inlineStr">
        <is>
          <t>U1-27</t>
        </is>
      </c>
      <c r="B394" t="n">
        <v>1</v>
      </c>
      <c r="C394" t="n">
        <v>11</v>
      </c>
      <c r="D394" t="inlineStr">
        <is>
          <t>FIX100</t>
        </is>
      </c>
      <c r="E394" t="inlineStr">
        <is>
          <t>IC</t>
        </is>
      </c>
      <c r="F394" t="n">
        <v>4.5</v>
      </c>
      <c r="G394" t="n">
        <v>19</v>
      </c>
      <c r="H394" t="n">
        <v>0</v>
      </c>
      <c r="I394" t="inlineStr">
        <is>
          <t>L</t>
        </is>
      </c>
      <c r="J394" t="inlineStr">
        <is>
          <t>S</t>
        </is>
      </c>
      <c r="K394" t="inlineStr"/>
      <c r="L394" t="inlineStr"/>
      <c r="M394" s="30">
        <f>0.005454*F394^2</f>
        <v/>
      </c>
      <c r="N394" s="31">
        <f>IF(D394="BAF20",20/M394,100)</f>
        <v/>
      </c>
      <c r="O394" s="31">
        <f>M394*N394</f>
        <v/>
      </c>
      <c r="P394" s="32">
        <f>0.0*N394</f>
        <v/>
      </c>
    </row>
    <row r="395">
      <c r="A395" t="inlineStr">
        <is>
          <t>U1-28</t>
        </is>
      </c>
      <c r="B395" t="n">
        <v>1</v>
      </c>
      <c r="C395" t="n">
        <v>1</v>
      </c>
      <c r="D395" t="inlineStr">
        <is>
          <t>BAF20</t>
        </is>
      </c>
      <c r="E395" t="inlineStr">
        <is>
          <t>IC</t>
        </is>
      </c>
      <c r="F395" t="n">
        <v>14.5</v>
      </c>
      <c r="G395" t="n">
        <v>63</v>
      </c>
      <c r="H395" t="n">
        <v>100</v>
      </c>
      <c r="I395" t="inlineStr">
        <is>
          <t>D</t>
        </is>
      </c>
      <c r="J395" t="inlineStr">
        <is>
          <t>I</t>
        </is>
      </c>
      <c r="K395" t="inlineStr"/>
      <c r="L395" t="inlineStr"/>
      <c r="M395" s="30">
        <f>0.005454*F395^2</f>
        <v/>
      </c>
      <c r="N395" s="31">
        <f>IF(D395="BAF20",20/M395,100)</f>
        <v/>
      </c>
      <c r="O395" s="31">
        <f>M395*N395</f>
        <v/>
      </c>
      <c r="P395" s="32">
        <f>0.0*N395</f>
        <v/>
      </c>
    </row>
    <row r="396">
      <c r="A396" t="inlineStr">
        <is>
          <t>U1-28</t>
        </is>
      </c>
      <c r="B396" t="n">
        <v>1</v>
      </c>
      <c r="C396" t="n">
        <v>2</v>
      </c>
      <c r="D396" t="inlineStr">
        <is>
          <t>BAF20</t>
        </is>
      </c>
      <c r="E396" t="inlineStr">
        <is>
          <t>DF</t>
        </is>
      </c>
      <c r="F396" t="n">
        <v>6.2</v>
      </c>
      <c r="G396" t="n">
        <v>37</v>
      </c>
      <c r="H396" t="n">
        <v>0</v>
      </c>
      <c r="I396" t="inlineStr">
        <is>
          <t>L</t>
        </is>
      </c>
      <c r="J396" t="inlineStr">
        <is>
          <t>S</t>
        </is>
      </c>
      <c r="K396" t="inlineStr">
        <is>
          <t>Y</t>
        </is>
      </c>
      <c r="L396" t="inlineStr"/>
      <c r="M396" s="30">
        <f>0.005454*F396^2</f>
        <v/>
      </c>
      <c r="N396" s="31">
        <f>IF(D396="BAF20",20/M396,100)</f>
        <v/>
      </c>
      <c r="O396" s="31">
        <f>M396*N396</f>
        <v/>
      </c>
      <c r="P396" s="32">
        <f>0.0*N396</f>
        <v/>
      </c>
    </row>
    <row r="397">
      <c r="A397" t="inlineStr">
        <is>
          <t>U1-28</t>
        </is>
      </c>
      <c r="B397" t="n">
        <v>1</v>
      </c>
      <c r="C397" t="n">
        <v>3</v>
      </c>
      <c r="D397" t="inlineStr">
        <is>
          <t>BAF20</t>
        </is>
      </c>
      <c r="E397" t="inlineStr">
        <is>
          <t>WF</t>
        </is>
      </c>
      <c r="F397" t="n">
        <v>17.8</v>
      </c>
      <c r="G397" t="n">
        <v>80</v>
      </c>
      <c r="H397" t="n">
        <v>6</v>
      </c>
      <c r="I397" t="inlineStr">
        <is>
          <t>L</t>
        </is>
      </c>
      <c r="J397" t="inlineStr">
        <is>
          <t>I</t>
        </is>
      </c>
      <c r="K397" t="inlineStr"/>
      <c r="L397" t="inlineStr"/>
      <c r="M397" s="30">
        <f>0.005454*F397^2</f>
        <v/>
      </c>
      <c r="N397" s="31">
        <f>IF(D397="BAF20",20/M397,100)</f>
        <v/>
      </c>
      <c r="O397" s="31">
        <f>M397*N397</f>
        <v/>
      </c>
      <c r="P397" s="32">
        <f>221.1*N397</f>
        <v/>
      </c>
    </row>
    <row r="398">
      <c r="A398" t="inlineStr">
        <is>
          <t>U1-28</t>
        </is>
      </c>
      <c r="B398" t="n">
        <v>1</v>
      </c>
      <c r="C398" t="n">
        <v>4</v>
      </c>
      <c r="D398" t="inlineStr">
        <is>
          <t>BAF20</t>
        </is>
      </c>
      <c r="E398" t="inlineStr">
        <is>
          <t>PP</t>
        </is>
      </c>
      <c r="F398" t="n">
        <v>13.1</v>
      </c>
      <c r="G398" t="n">
        <v>70</v>
      </c>
      <c r="H398" t="n">
        <v>7</v>
      </c>
      <c r="I398" t="inlineStr">
        <is>
          <t>L</t>
        </is>
      </c>
      <c r="J398" t="inlineStr">
        <is>
          <t>S</t>
        </is>
      </c>
      <c r="K398" t="inlineStr">
        <is>
          <t>Y</t>
        </is>
      </c>
      <c r="L398" t="inlineStr"/>
      <c r="M398" s="30">
        <f>0.005454*F398^2</f>
        <v/>
      </c>
      <c r="N398" s="31">
        <f>IF(D398="BAF20",20/M398,100)</f>
        <v/>
      </c>
      <c r="O398" s="31">
        <f>M398*N398</f>
        <v/>
      </c>
      <c r="P398" s="32">
        <f>93.9*N398</f>
        <v/>
      </c>
    </row>
    <row r="399">
      <c r="A399" t="inlineStr">
        <is>
          <t>U1-28</t>
        </is>
      </c>
      <c r="B399" t="n">
        <v>1</v>
      </c>
      <c r="C399" t="n">
        <v>5</v>
      </c>
      <c r="D399" t="inlineStr">
        <is>
          <t>BAF20</t>
        </is>
      </c>
      <c r="E399" t="inlineStr">
        <is>
          <t>BO</t>
        </is>
      </c>
      <c r="F399" t="n">
        <v>28</v>
      </c>
      <c r="G399" t="n">
        <v>67</v>
      </c>
      <c r="H399" t="n">
        <v>26</v>
      </c>
      <c r="I399" t="inlineStr">
        <is>
          <t>L</t>
        </is>
      </c>
      <c r="J399" t="inlineStr">
        <is>
          <t>D</t>
        </is>
      </c>
      <c r="K399" t="inlineStr"/>
      <c r="L399" t="inlineStr"/>
      <c r="M399" s="30">
        <f>0.005454*F399^2</f>
        <v/>
      </c>
      <c r="N399" s="31">
        <f>IF(D399="BAF20",20/M399,100)</f>
        <v/>
      </c>
      <c r="O399" s="31">
        <f>M399*N399</f>
        <v/>
      </c>
      <c r="P399" s="32">
        <f>393.0*N399</f>
        <v/>
      </c>
    </row>
    <row r="400">
      <c r="A400" t="inlineStr">
        <is>
          <t>U1-28</t>
        </is>
      </c>
      <c r="B400" t="n">
        <v>1</v>
      </c>
      <c r="C400" t="n">
        <v>6</v>
      </c>
      <c r="D400" t="inlineStr">
        <is>
          <t>BAF20</t>
        </is>
      </c>
      <c r="E400" t="inlineStr">
        <is>
          <t>DF</t>
        </is>
      </c>
      <c r="F400" t="n">
        <v>42.1</v>
      </c>
      <c r="G400" t="n">
        <v>138</v>
      </c>
      <c r="H400" t="n">
        <v>1</v>
      </c>
      <c r="I400" t="inlineStr">
        <is>
          <t>L</t>
        </is>
      </c>
      <c r="J400" t="inlineStr">
        <is>
          <t>D</t>
        </is>
      </c>
      <c r="K400" t="inlineStr"/>
      <c r="L400" t="inlineStr"/>
      <c r="M400" s="30">
        <f>0.005454*F400^2</f>
        <v/>
      </c>
      <c r="N400" s="31">
        <f>IF(D400="BAF20",20/M400,100)</f>
        <v/>
      </c>
      <c r="O400" s="31">
        <f>M400*N400</f>
        <v/>
      </c>
      <c r="P400" s="32">
        <f>3095.1*N400</f>
        <v/>
      </c>
    </row>
    <row r="401">
      <c r="A401" t="inlineStr">
        <is>
          <t>U1-28</t>
        </is>
      </c>
      <c r="B401" t="n">
        <v>1</v>
      </c>
      <c r="C401" t="n">
        <v>7</v>
      </c>
      <c r="D401" t="inlineStr">
        <is>
          <t>BAF20</t>
        </is>
      </c>
      <c r="E401" t="inlineStr">
        <is>
          <t>IC</t>
        </is>
      </c>
      <c r="F401" t="n">
        <v>24.8</v>
      </c>
      <c r="G401" t="n">
        <v>93</v>
      </c>
      <c r="H401" t="n">
        <v>2</v>
      </c>
      <c r="I401" t="inlineStr">
        <is>
          <t>L</t>
        </is>
      </c>
      <c r="J401" t="inlineStr">
        <is>
          <t>D</t>
        </is>
      </c>
      <c r="K401" t="inlineStr"/>
      <c r="L401" t="inlineStr"/>
      <c r="M401" s="30">
        <f>0.005454*F401^2</f>
        <v/>
      </c>
      <c r="N401" s="31">
        <f>IF(D401="BAF20",20/M401,100)</f>
        <v/>
      </c>
      <c r="O401" s="31">
        <f>M401*N401</f>
        <v/>
      </c>
      <c r="P401" s="32">
        <f>593.1*N401</f>
        <v/>
      </c>
    </row>
    <row r="402">
      <c r="A402" t="inlineStr">
        <is>
          <t>U1-28</t>
        </is>
      </c>
      <c r="B402" t="n">
        <v>1</v>
      </c>
      <c r="C402" t="n">
        <v>8</v>
      </c>
      <c r="D402" t="inlineStr">
        <is>
          <t>BAF20</t>
        </is>
      </c>
      <c r="E402" t="inlineStr">
        <is>
          <t>IC</t>
        </is>
      </c>
      <c r="F402" t="n">
        <v>12.2</v>
      </c>
      <c r="G402" t="n">
        <v>52</v>
      </c>
      <c r="H402" t="n">
        <v>9</v>
      </c>
      <c r="I402" t="inlineStr">
        <is>
          <t>L</t>
        </is>
      </c>
      <c r="J402" t="inlineStr">
        <is>
          <t>S</t>
        </is>
      </c>
      <c r="K402" t="inlineStr">
        <is>
          <t>Y</t>
        </is>
      </c>
      <c r="L402" t="inlineStr"/>
      <c r="M402" s="30">
        <f>0.005454*F402^2</f>
        <v/>
      </c>
      <c r="N402" s="31">
        <f>IF(D402="BAF20",20/M402,100)</f>
        <v/>
      </c>
      <c r="O402" s="31">
        <f>M402*N402</f>
        <v/>
      </c>
      <c r="P402" s="32">
        <f>58.1*N402</f>
        <v/>
      </c>
    </row>
    <row r="403">
      <c r="A403" t="inlineStr">
        <is>
          <t>U1-28</t>
        </is>
      </c>
      <c r="B403" t="n">
        <v>1</v>
      </c>
      <c r="C403" t="n">
        <v>9</v>
      </c>
      <c r="D403" t="inlineStr">
        <is>
          <t>BAF20</t>
        </is>
      </c>
      <c r="E403" t="inlineStr">
        <is>
          <t>BO</t>
        </is>
      </c>
      <c r="F403" t="n">
        <v>8</v>
      </c>
      <c r="G403" t="n">
        <v>33</v>
      </c>
      <c r="H403" t="n">
        <v>4</v>
      </c>
      <c r="I403" t="inlineStr">
        <is>
          <t>L</t>
        </is>
      </c>
      <c r="J403" t="inlineStr">
        <is>
          <t>S</t>
        </is>
      </c>
      <c r="K403" t="inlineStr">
        <is>
          <t>Y</t>
        </is>
      </c>
      <c r="L403" t="inlineStr"/>
      <c r="M403" s="30">
        <f>0.005454*F403^2</f>
        <v/>
      </c>
      <c r="N403" s="31">
        <f>IF(D403="BAF20",20/M403,100)</f>
        <v/>
      </c>
      <c r="O403" s="31">
        <f>M403*N403</f>
        <v/>
      </c>
      <c r="P403" s="32">
        <f>0.0*N403</f>
        <v/>
      </c>
    </row>
    <row r="404">
      <c r="A404" t="inlineStr">
        <is>
          <t>U1-28</t>
        </is>
      </c>
      <c r="B404" t="n">
        <v>1</v>
      </c>
      <c r="C404" t="n">
        <v>10</v>
      </c>
      <c r="D404" t="inlineStr">
        <is>
          <t>BAF20</t>
        </is>
      </c>
      <c r="E404" t="inlineStr">
        <is>
          <t>IC</t>
        </is>
      </c>
      <c r="F404" t="n">
        <v>9.6</v>
      </c>
      <c r="G404" t="n">
        <v>38</v>
      </c>
      <c r="H404" t="n">
        <v>0</v>
      </c>
      <c r="I404" t="inlineStr">
        <is>
          <t>L</t>
        </is>
      </c>
      <c r="J404" t="inlineStr">
        <is>
          <t>S</t>
        </is>
      </c>
      <c r="K404" t="inlineStr">
        <is>
          <t>Y</t>
        </is>
      </c>
      <c r="L404" t="inlineStr"/>
      <c r="M404" s="30">
        <f>0.005454*F404^2</f>
        <v/>
      </c>
      <c r="N404" s="31">
        <f>IF(D404="BAF20",20/M404,100)</f>
        <v/>
      </c>
      <c r="O404" s="31">
        <f>M404*N404</f>
        <v/>
      </c>
      <c r="P404" s="32">
        <f>0.0*N404</f>
        <v/>
      </c>
    </row>
    <row r="405">
      <c r="A405" t="inlineStr">
        <is>
          <t>U1-28</t>
        </is>
      </c>
      <c r="B405" t="n">
        <v>1</v>
      </c>
      <c r="C405" t="n">
        <v>11</v>
      </c>
      <c r="D405" t="inlineStr">
        <is>
          <t>BAF20</t>
        </is>
      </c>
      <c r="E405" t="inlineStr">
        <is>
          <t>IC</t>
        </is>
      </c>
      <c r="F405" t="n">
        <v>17.1</v>
      </c>
      <c r="G405" t="n">
        <v>66</v>
      </c>
      <c r="H405" t="n">
        <v>5</v>
      </c>
      <c r="I405" t="inlineStr">
        <is>
          <t>L</t>
        </is>
      </c>
      <c r="J405" t="inlineStr">
        <is>
          <t>I</t>
        </is>
      </c>
      <c r="K405" t="inlineStr"/>
      <c r="L405" t="inlineStr"/>
      <c r="M405" s="30">
        <f>0.005454*F405^2</f>
        <v/>
      </c>
      <c r="N405" s="31">
        <f>IF(D405="BAF20",20/M405,100)</f>
        <v/>
      </c>
      <c r="O405" s="31">
        <f>M405*N405</f>
        <v/>
      </c>
      <c r="P405" s="32">
        <f>167.8*N405</f>
        <v/>
      </c>
    </row>
    <row r="406">
      <c r="A406" t="inlineStr">
        <is>
          <t>U1-28</t>
        </is>
      </c>
      <c r="B406" t="n">
        <v>1</v>
      </c>
      <c r="C406" t="n">
        <v>12</v>
      </c>
      <c r="D406" t="inlineStr">
        <is>
          <t>BAF20</t>
        </is>
      </c>
      <c r="E406" t="inlineStr">
        <is>
          <t>IC</t>
        </is>
      </c>
      <c r="F406" t="n">
        <v>24.3</v>
      </c>
      <c r="G406" t="n">
        <v>83</v>
      </c>
      <c r="H406" t="n">
        <v>1</v>
      </c>
      <c r="I406" t="inlineStr">
        <is>
          <t>L</t>
        </is>
      </c>
      <c r="J406" t="inlineStr">
        <is>
          <t>C</t>
        </is>
      </c>
      <c r="K406" t="inlineStr"/>
      <c r="L406" t="inlineStr"/>
      <c r="M406" s="30">
        <f>0.005454*F406^2</f>
        <v/>
      </c>
      <c r="N406" s="31">
        <f>IF(D406="BAF20",20/M406,100)</f>
        <v/>
      </c>
      <c r="O406" s="31">
        <f>M406*N406</f>
        <v/>
      </c>
      <c r="P406" s="32">
        <f>508.9*N406</f>
        <v/>
      </c>
    </row>
    <row r="407">
      <c r="A407" t="inlineStr">
        <is>
          <t>U1-28</t>
        </is>
      </c>
      <c r="B407" t="n">
        <v>1</v>
      </c>
      <c r="C407" t="n">
        <v>13</v>
      </c>
      <c r="D407" t="inlineStr">
        <is>
          <t>BAF20</t>
        </is>
      </c>
      <c r="E407" t="inlineStr">
        <is>
          <t>PP</t>
        </is>
      </c>
      <c r="F407" t="n">
        <v>11.3</v>
      </c>
      <c r="G407" t="n">
        <v>62</v>
      </c>
      <c r="H407" t="n">
        <v>1</v>
      </c>
      <c r="I407" t="inlineStr">
        <is>
          <t>L</t>
        </is>
      </c>
      <c r="J407" t="inlineStr">
        <is>
          <t>S</t>
        </is>
      </c>
      <c r="K407" t="inlineStr">
        <is>
          <t>Y</t>
        </is>
      </c>
      <c r="L407" t="inlineStr"/>
      <c r="M407" s="30">
        <f>0.005454*F407^2</f>
        <v/>
      </c>
      <c r="N407" s="31">
        <f>IF(D407="BAF20",20/M407,100)</f>
        <v/>
      </c>
      <c r="O407" s="31">
        <f>M407*N407</f>
        <v/>
      </c>
      <c r="P407" s="32">
        <f>63.3*N407</f>
        <v/>
      </c>
    </row>
    <row r="408">
      <c r="A408" t="inlineStr">
        <is>
          <t>U1-28</t>
        </is>
      </c>
      <c r="B408" t="n">
        <v>1</v>
      </c>
      <c r="C408" t="n">
        <v>14</v>
      </c>
      <c r="D408" t="inlineStr">
        <is>
          <t>FIX100</t>
        </is>
      </c>
      <c r="E408" t="inlineStr">
        <is>
          <t>BO</t>
        </is>
      </c>
      <c r="F408" t="n">
        <v>3.4</v>
      </c>
      <c r="G408" t="n">
        <v>15</v>
      </c>
      <c r="H408" t="n">
        <v>0</v>
      </c>
      <c r="I408" t="inlineStr">
        <is>
          <t>L</t>
        </is>
      </c>
      <c r="J408" t="inlineStr">
        <is>
          <t>S</t>
        </is>
      </c>
      <c r="K408" t="inlineStr"/>
      <c r="L408" t="inlineStr"/>
      <c r="M408" s="30">
        <f>0.005454*F408^2</f>
        <v/>
      </c>
      <c r="N408" s="31">
        <f>IF(D408="BAF20",20/M408,100)</f>
        <v/>
      </c>
      <c r="O408" s="31">
        <f>M408*N408</f>
        <v/>
      </c>
      <c r="P408" s="32">
        <f>0.0*N408</f>
        <v/>
      </c>
    </row>
    <row r="409">
      <c r="A409" t="inlineStr">
        <is>
          <t>U1-28</t>
        </is>
      </c>
      <c r="B409" t="n">
        <v>1</v>
      </c>
      <c r="C409" t="n">
        <v>15</v>
      </c>
      <c r="D409" t="inlineStr">
        <is>
          <t>FIX100</t>
        </is>
      </c>
      <c r="E409" t="inlineStr">
        <is>
          <t>DF</t>
        </is>
      </c>
      <c r="F409" t="n">
        <v>4.9</v>
      </c>
      <c r="G409" t="n">
        <v>31</v>
      </c>
      <c r="H409" t="n">
        <v>0</v>
      </c>
      <c r="I409" t="inlineStr">
        <is>
          <t>L</t>
        </is>
      </c>
      <c r="J409" t="inlineStr">
        <is>
          <t>S</t>
        </is>
      </c>
      <c r="K409" t="inlineStr"/>
      <c r="L409" t="inlineStr"/>
      <c r="M409" s="30">
        <f>0.005454*F409^2</f>
        <v/>
      </c>
      <c r="N409" s="31">
        <f>IF(D409="BAF20",20/M409,100)</f>
        <v/>
      </c>
      <c r="O409" s="31">
        <f>M409*N409</f>
        <v/>
      </c>
      <c r="P409" s="32">
        <f>0.0*N409</f>
        <v/>
      </c>
    </row>
    <row r="410">
      <c r="A410" t="inlineStr">
        <is>
          <t>U1-29</t>
        </is>
      </c>
      <c r="B410" t="n">
        <v>1</v>
      </c>
      <c r="C410" t="n">
        <v>1</v>
      </c>
      <c r="D410" t="inlineStr">
        <is>
          <t>BAF20</t>
        </is>
      </c>
      <c r="E410" t="inlineStr">
        <is>
          <t>PP</t>
        </is>
      </c>
      <c r="F410" t="n">
        <v>9.699999999999999</v>
      </c>
      <c r="G410" t="n">
        <v>55</v>
      </c>
      <c r="H410" t="n">
        <v>0</v>
      </c>
      <c r="I410" t="inlineStr">
        <is>
          <t>L</t>
        </is>
      </c>
      <c r="J410" t="inlineStr">
        <is>
          <t>S</t>
        </is>
      </c>
      <c r="K410" t="inlineStr">
        <is>
          <t>Y</t>
        </is>
      </c>
      <c r="L410" t="inlineStr"/>
      <c r="M410" s="30">
        <f>0.005454*F410^2</f>
        <v/>
      </c>
      <c r="N410" s="31">
        <f>IF(D410="BAF20",20/M410,100)</f>
        <v/>
      </c>
      <c r="O410" s="31">
        <f>M410*N410</f>
        <v/>
      </c>
      <c r="P410" s="32">
        <f>0.0*N410</f>
        <v/>
      </c>
    </row>
    <row r="411">
      <c r="A411" t="inlineStr">
        <is>
          <t>U1-29</t>
        </is>
      </c>
      <c r="B411" t="n">
        <v>1</v>
      </c>
      <c r="C411" t="n">
        <v>2</v>
      </c>
      <c r="D411" t="inlineStr">
        <is>
          <t>BAF20</t>
        </is>
      </c>
      <c r="E411" t="inlineStr">
        <is>
          <t>WF</t>
        </is>
      </c>
      <c r="F411" t="n">
        <v>10.9</v>
      </c>
      <c r="G411" t="n">
        <v>60</v>
      </c>
      <c r="H411" t="n">
        <v>10</v>
      </c>
      <c r="I411" t="inlineStr">
        <is>
          <t>L</t>
        </is>
      </c>
      <c r="J411" t="inlineStr">
        <is>
          <t>S</t>
        </is>
      </c>
      <c r="K411" t="inlineStr">
        <is>
          <t>Y</t>
        </is>
      </c>
      <c r="L411" t="inlineStr"/>
      <c r="M411" s="30">
        <f>0.005454*F411^2</f>
        <v/>
      </c>
      <c r="N411" s="31">
        <f>IF(D411="BAF20",20/M411,100)</f>
        <v/>
      </c>
      <c r="O411" s="31">
        <f>M411*N411</f>
        <v/>
      </c>
      <c r="P411" s="32">
        <f>51.3*N411</f>
        <v/>
      </c>
    </row>
    <row r="412">
      <c r="A412" t="inlineStr">
        <is>
          <t>U1-29</t>
        </is>
      </c>
      <c r="B412" t="n">
        <v>1</v>
      </c>
      <c r="C412" t="n">
        <v>3</v>
      </c>
      <c r="D412" t="inlineStr">
        <is>
          <t>BAF20</t>
        </is>
      </c>
      <c r="E412" t="inlineStr">
        <is>
          <t>WF</t>
        </is>
      </c>
      <c r="F412" t="n">
        <v>13.3</v>
      </c>
      <c r="G412" t="n">
        <v>60</v>
      </c>
      <c r="H412" t="n">
        <v>11</v>
      </c>
      <c r="I412" t="inlineStr">
        <is>
          <t>L</t>
        </is>
      </c>
      <c r="J412" t="inlineStr">
        <is>
          <t>I</t>
        </is>
      </c>
      <c r="K412" t="inlineStr">
        <is>
          <t>Y</t>
        </is>
      </c>
      <c r="L412" t="inlineStr"/>
      <c r="M412" s="30">
        <f>0.005454*F412^2</f>
        <v/>
      </c>
      <c r="N412" s="31">
        <f>IF(D412="BAF20",20/M412,100)</f>
        <v/>
      </c>
      <c r="O412" s="31">
        <f>M412*N412</f>
        <v/>
      </c>
      <c r="P412" s="32">
        <f>79.8*N412</f>
        <v/>
      </c>
    </row>
    <row r="413">
      <c r="A413" t="inlineStr">
        <is>
          <t>U1-29</t>
        </is>
      </c>
      <c r="B413" t="n">
        <v>1</v>
      </c>
      <c r="C413" t="n">
        <v>4</v>
      </c>
      <c r="D413" t="inlineStr">
        <is>
          <t>BAF20</t>
        </is>
      </c>
      <c r="E413" t="inlineStr">
        <is>
          <t>BO</t>
        </is>
      </c>
      <c r="F413" t="n">
        <v>23.5</v>
      </c>
      <c r="G413" t="n">
        <v>70</v>
      </c>
      <c r="H413" t="n">
        <v>15</v>
      </c>
      <c r="I413" t="inlineStr">
        <is>
          <t>L</t>
        </is>
      </c>
      <c r="J413" t="inlineStr">
        <is>
          <t>C</t>
        </is>
      </c>
      <c r="K413" t="inlineStr"/>
      <c r="L413" t="inlineStr"/>
      <c r="M413" s="30">
        <f>0.005454*F413^2</f>
        <v/>
      </c>
      <c r="N413" s="31">
        <f>IF(D413="BAF20",20/M413,100)</f>
        <v/>
      </c>
      <c r="O413" s="31">
        <f>M413*N413</f>
        <v/>
      </c>
      <c r="P413" s="32">
        <f>307.4*N413</f>
        <v/>
      </c>
    </row>
    <row r="414">
      <c r="A414" t="inlineStr">
        <is>
          <t>U1-29</t>
        </is>
      </c>
      <c r="B414" t="n">
        <v>1</v>
      </c>
      <c r="C414" t="n">
        <v>5</v>
      </c>
      <c r="D414" t="inlineStr">
        <is>
          <t>BAF20</t>
        </is>
      </c>
      <c r="E414" t="inlineStr">
        <is>
          <t>DF</t>
        </is>
      </c>
      <c r="F414" t="n">
        <v>19.6</v>
      </c>
      <c r="G414" t="n">
        <v>96</v>
      </c>
      <c r="H414" t="n">
        <v>1</v>
      </c>
      <c r="I414" t="inlineStr">
        <is>
          <t>L</t>
        </is>
      </c>
      <c r="J414" t="inlineStr">
        <is>
          <t>C</t>
        </is>
      </c>
      <c r="K414" t="inlineStr"/>
      <c r="L414" t="inlineStr"/>
      <c r="M414" s="30">
        <f>0.005454*F414^2</f>
        <v/>
      </c>
      <c r="N414" s="31">
        <f>IF(D414="BAF20",20/M414,100)</f>
        <v/>
      </c>
      <c r="O414" s="31">
        <f>M414*N414</f>
        <v/>
      </c>
      <c r="P414" s="32">
        <f>351.1*N414</f>
        <v/>
      </c>
    </row>
    <row r="415">
      <c r="A415" t="inlineStr">
        <is>
          <t>U1-29</t>
        </is>
      </c>
      <c r="B415" t="n">
        <v>1</v>
      </c>
      <c r="C415" t="n">
        <v>6</v>
      </c>
      <c r="D415" t="inlineStr">
        <is>
          <t>BAF20</t>
        </is>
      </c>
      <c r="E415" t="inlineStr">
        <is>
          <t>BO</t>
        </is>
      </c>
      <c r="F415" t="n">
        <v>17</v>
      </c>
      <c r="G415" t="n">
        <v>59</v>
      </c>
      <c r="H415" t="n">
        <v>3</v>
      </c>
      <c r="I415" t="inlineStr">
        <is>
          <t>L</t>
        </is>
      </c>
      <c r="J415" t="inlineStr">
        <is>
          <t>I</t>
        </is>
      </c>
      <c r="K415" t="inlineStr"/>
      <c r="L415" t="inlineStr"/>
      <c r="M415" s="30">
        <f>0.005454*F415^2</f>
        <v/>
      </c>
      <c r="N415" s="31">
        <f>IF(D415="BAF20",20/M415,100)</f>
        <v/>
      </c>
      <c r="O415" s="31">
        <f>M415*N415</f>
        <v/>
      </c>
      <c r="P415" s="32">
        <f>136.7*N415</f>
        <v/>
      </c>
    </row>
    <row r="416">
      <c r="A416" t="inlineStr">
        <is>
          <t>U1-29</t>
        </is>
      </c>
      <c r="B416" t="n">
        <v>1</v>
      </c>
      <c r="C416" t="n">
        <v>7</v>
      </c>
      <c r="D416" t="inlineStr">
        <is>
          <t>BAF20</t>
        </is>
      </c>
      <c r="E416" t="inlineStr">
        <is>
          <t>PP</t>
        </is>
      </c>
      <c r="F416" t="n">
        <v>28</v>
      </c>
      <c r="G416" t="n">
        <v>113</v>
      </c>
      <c r="H416" t="n">
        <v>1</v>
      </c>
      <c r="I416" t="inlineStr">
        <is>
          <t>L</t>
        </is>
      </c>
      <c r="J416" t="inlineStr">
        <is>
          <t>D</t>
        </is>
      </c>
      <c r="K416" t="inlineStr"/>
      <c r="L416" t="inlineStr"/>
      <c r="M416" s="30">
        <f>0.005454*F416^2</f>
        <v/>
      </c>
      <c r="N416" s="31">
        <f>IF(D416="BAF20",20/M416,100)</f>
        <v/>
      </c>
      <c r="O416" s="31">
        <f>M416*N416</f>
        <v/>
      </c>
      <c r="P416" s="32">
        <f>980.0*N416</f>
        <v/>
      </c>
    </row>
    <row r="417">
      <c r="A417" t="inlineStr">
        <is>
          <t>U1-29</t>
        </is>
      </c>
      <c r="B417" t="n">
        <v>1</v>
      </c>
      <c r="C417" t="n">
        <v>8</v>
      </c>
      <c r="D417" t="inlineStr">
        <is>
          <t>BAF20</t>
        </is>
      </c>
      <c r="E417" t="inlineStr">
        <is>
          <t>IC</t>
        </is>
      </c>
      <c r="F417" t="n">
        <v>20.8</v>
      </c>
      <c r="G417" t="n">
        <v>84</v>
      </c>
      <c r="H417" t="n">
        <v>8</v>
      </c>
      <c r="I417" t="inlineStr">
        <is>
          <t>L</t>
        </is>
      </c>
      <c r="J417" t="inlineStr">
        <is>
          <t>C</t>
        </is>
      </c>
      <c r="K417" t="inlineStr"/>
      <c r="L417" t="inlineStr"/>
      <c r="M417" s="30">
        <f>0.005454*F417^2</f>
        <v/>
      </c>
      <c r="N417" s="31">
        <f>IF(D417="BAF20",20/M417,100)</f>
        <v/>
      </c>
      <c r="O417" s="31">
        <f>M417*N417</f>
        <v/>
      </c>
      <c r="P417" s="32">
        <f>328.9*N417</f>
        <v/>
      </c>
    </row>
    <row r="418">
      <c r="A418" t="inlineStr">
        <is>
          <t>U1-29</t>
        </is>
      </c>
      <c r="B418" t="n">
        <v>1</v>
      </c>
      <c r="C418" t="n">
        <v>9</v>
      </c>
      <c r="D418" t="inlineStr">
        <is>
          <t>BAF20</t>
        </is>
      </c>
      <c r="E418" t="inlineStr">
        <is>
          <t>BO</t>
        </is>
      </c>
      <c r="F418" t="n">
        <v>10</v>
      </c>
      <c r="G418" t="n">
        <v>39</v>
      </c>
      <c r="H418" t="n">
        <v>58</v>
      </c>
      <c r="I418" t="inlineStr">
        <is>
          <t>L</t>
        </is>
      </c>
      <c r="J418" t="inlineStr">
        <is>
          <t>S</t>
        </is>
      </c>
      <c r="K418" t="inlineStr">
        <is>
          <t>Y</t>
        </is>
      </c>
      <c r="L418" t="inlineStr"/>
      <c r="M418" s="30">
        <f>0.005454*F418^2</f>
        <v/>
      </c>
      <c r="N418" s="31">
        <f>IF(D418="BAF20",20/M418,100)</f>
        <v/>
      </c>
      <c r="O418" s="31">
        <f>M418*N418</f>
        <v/>
      </c>
      <c r="P418" s="32">
        <f>11.6*N418</f>
        <v/>
      </c>
    </row>
    <row r="419">
      <c r="A419" t="inlineStr">
        <is>
          <t>U1-29</t>
        </is>
      </c>
      <c r="B419" t="n">
        <v>1</v>
      </c>
      <c r="C419" t="n">
        <v>10</v>
      </c>
      <c r="D419" t="inlineStr">
        <is>
          <t>BAF20</t>
        </is>
      </c>
      <c r="E419" t="inlineStr">
        <is>
          <t>IC</t>
        </is>
      </c>
      <c r="F419" t="n">
        <v>23.5</v>
      </c>
      <c r="G419" t="n">
        <v>77</v>
      </c>
      <c r="H419" t="n">
        <v>2</v>
      </c>
      <c r="I419" t="inlineStr">
        <is>
          <t>L</t>
        </is>
      </c>
      <c r="J419" t="inlineStr">
        <is>
          <t>C</t>
        </is>
      </c>
      <c r="K419" t="inlineStr"/>
      <c r="L419" t="inlineStr"/>
      <c r="M419" s="30">
        <f>0.005454*F419^2</f>
        <v/>
      </c>
      <c r="N419" s="31">
        <f>IF(D419="BAF20",20/M419,100)</f>
        <v/>
      </c>
      <c r="O419" s="31">
        <f>M419*N419</f>
        <v/>
      </c>
      <c r="P419" s="32">
        <f>430.9*N419</f>
        <v/>
      </c>
    </row>
    <row r="420">
      <c r="A420" t="inlineStr">
        <is>
          <t>U1-29</t>
        </is>
      </c>
      <c r="B420" t="n">
        <v>1</v>
      </c>
      <c r="C420" t="n">
        <v>11</v>
      </c>
      <c r="D420" t="inlineStr">
        <is>
          <t>BAF20</t>
        </is>
      </c>
      <c r="E420" t="inlineStr">
        <is>
          <t>WF</t>
        </is>
      </c>
      <c r="F420" t="n">
        <v>30.8</v>
      </c>
      <c r="G420" t="n">
        <v>121</v>
      </c>
      <c r="H420" t="n">
        <v>3</v>
      </c>
      <c r="I420" t="inlineStr">
        <is>
          <t>L</t>
        </is>
      </c>
      <c r="J420" t="inlineStr">
        <is>
          <t>D</t>
        </is>
      </c>
      <c r="K420" t="inlineStr"/>
      <c r="L420" t="inlineStr"/>
      <c r="M420" s="30">
        <f>0.005454*F420^2</f>
        <v/>
      </c>
      <c r="N420" s="31">
        <f>IF(D420="BAF20",20/M420,100)</f>
        <v/>
      </c>
      <c r="O420" s="31">
        <f>M420*N420</f>
        <v/>
      </c>
      <c r="P420" s="32">
        <f>1302.0*N420</f>
        <v/>
      </c>
    </row>
    <row r="421">
      <c r="A421" t="inlineStr">
        <is>
          <t>U1-29</t>
        </is>
      </c>
      <c r="B421" t="n">
        <v>1</v>
      </c>
      <c r="C421" t="n">
        <v>12</v>
      </c>
      <c r="D421" t="inlineStr">
        <is>
          <t>FIX100</t>
        </is>
      </c>
      <c r="E421" t="inlineStr">
        <is>
          <t>SP</t>
        </is>
      </c>
      <c r="F421" t="n">
        <v>1.4</v>
      </c>
      <c r="G421" t="n">
        <v>10</v>
      </c>
      <c r="H421" t="n">
        <v>0</v>
      </c>
      <c r="I421" t="inlineStr">
        <is>
          <t>L</t>
        </is>
      </c>
      <c r="J421" t="inlineStr">
        <is>
          <t>S</t>
        </is>
      </c>
      <c r="K421" t="inlineStr"/>
      <c r="L421" t="inlineStr"/>
      <c r="M421" s="30">
        <f>0.005454*F421^2</f>
        <v/>
      </c>
      <c r="N421" s="31">
        <f>IF(D421="BAF20",20/M421,100)</f>
        <v/>
      </c>
      <c r="O421" s="31">
        <f>M421*N421</f>
        <v/>
      </c>
      <c r="P421" s="32">
        <f>0.0*N421</f>
        <v/>
      </c>
    </row>
    <row r="422">
      <c r="A422" t="inlineStr">
        <is>
          <t>U1-30</t>
        </is>
      </c>
      <c r="B422" t="n">
        <v>1</v>
      </c>
      <c r="C422" t="n">
        <v>1</v>
      </c>
      <c r="D422" t="inlineStr">
        <is>
          <t>BAF20</t>
        </is>
      </c>
      <c r="E422" t="inlineStr">
        <is>
          <t>PP</t>
        </is>
      </c>
      <c r="F422" t="n">
        <v>6.3</v>
      </c>
      <c r="G422" t="n">
        <v>38</v>
      </c>
      <c r="H422" t="n">
        <v>1</v>
      </c>
      <c r="I422" t="inlineStr">
        <is>
          <t>L</t>
        </is>
      </c>
      <c r="J422" t="inlineStr">
        <is>
          <t>S</t>
        </is>
      </c>
      <c r="K422" t="inlineStr">
        <is>
          <t>Y</t>
        </is>
      </c>
      <c r="L422" t="inlineStr"/>
      <c r="M422" s="30">
        <f>0.005454*F422^2</f>
        <v/>
      </c>
      <c r="N422" s="31">
        <f>IF(D422="BAF20",20/M422,100)</f>
        <v/>
      </c>
      <c r="O422" s="31">
        <f>M422*N422</f>
        <v/>
      </c>
      <c r="P422" s="32">
        <f>0.0*N422</f>
        <v/>
      </c>
    </row>
    <row r="423">
      <c r="A423" t="inlineStr">
        <is>
          <t>U1-30</t>
        </is>
      </c>
      <c r="B423" t="n">
        <v>1</v>
      </c>
      <c r="C423" t="n">
        <v>2</v>
      </c>
      <c r="D423" t="inlineStr">
        <is>
          <t>BAF20</t>
        </is>
      </c>
      <c r="E423" t="inlineStr">
        <is>
          <t>WF</t>
        </is>
      </c>
      <c r="F423" t="n">
        <v>16.2</v>
      </c>
      <c r="G423" t="n">
        <v>83</v>
      </c>
      <c r="H423" t="n">
        <v>11</v>
      </c>
      <c r="I423" t="inlineStr">
        <is>
          <t>L</t>
        </is>
      </c>
      <c r="J423" t="inlineStr">
        <is>
          <t>I</t>
        </is>
      </c>
      <c r="K423" t="inlineStr"/>
      <c r="L423" t="inlineStr"/>
      <c r="M423" s="30">
        <f>0.005454*F423^2</f>
        <v/>
      </c>
      <c r="N423" s="31">
        <f>IF(D423="BAF20",20/M423,100)</f>
        <v/>
      </c>
      <c r="O423" s="31">
        <f>M423*N423</f>
        <v/>
      </c>
      <c r="P423" s="32">
        <f>174.2*N423</f>
        <v/>
      </c>
    </row>
    <row r="424">
      <c r="A424" t="inlineStr">
        <is>
          <t>U1-30</t>
        </is>
      </c>
      <c r="B424" t="n">
        <v>1</v>
      </c>
      <c r="C424" t="n">
        <v>3</v>
      </c>
      <c r="D424" t="inlineStr">
        <is>
          <t>BAF20</t>
        </is>
      </c>
      <c r="E424" t="inlineStr">
        <is>
          <t>DF</t>
        </is>
      </c>
      <c r="F424" t="n">
        <v>34.9</v>
      </c>
      <c r="G424" t="n">
        <v>127</v>
      </c>
      <c r="H424" t="n">
        <v>5</v>
      </c>
      <c r="I424" t="inlineStr">
        <is>
          <t>L</t>
        </is>
      </c>
      <c r="J424" t="inlineStr">
        <is>
          <t>D</t>
        </is>
      </c>
      <c r="K424" t="inlineStr"/>
      <c r="L424" t="inlineStr"/>
      <c r="M424" s="30">
        <f>0.005454*F424^2</f>
        <v/>
      </c>
      <c r="N424" s="31">
        <f>IF(D424="BAF20",20/M424,100)</f>
        <v/>
      </c>
      <c r="O424" s="31">
        <f>M424*N424</f>
        <v/>
      </c>
      <c r="P424" s="32">
        <f>1830.2*N424</f>
        <v/>
      </c>
    </row>
    <row r="425">
      <c r="A425" t="inlineStr">
        <is>
          <t>U1-30</t>
        </is>
      </c>
      <c r="B425" t="n">
        <v>1</v>
      </c>
      <c r="C425" t="n">
        <v>4</v>
      </c>
      <c r="D425" t="inlineStr">
        <is>
          <t>BAF20</t>
        </is>
      </c>
      <c r="E425" t="inlineStr">
        <is>
          <t>PP</t>
        </is>
      </c>
      <c r="F425" t="n">
        <v>27</v>
      </c>
      <c r="G425" t="n">
        <v>107</v>
      </c>
      <c r="H425" t="n">
        <v>4</v>
      </c>
      <c r="I425" t="inlineStr">
        <is>
          <t>L</t>
        </is>
      </c>
      <c r="J425" t="inlineStr">
        <is>
          <t>D</t>
        </is>
      </c>
      <c r="K425" t="inlineStr"/>
      <c r="L425" t="inlineStr"/>
      <c r="M425" s="30">
        <f>0.005454*F425^2</f>
        <v/>
      </c>
      <c r="N425" s="31">
        <f>IF(D425="BAF20",20/M425,100)</f>
        <v/>
      </c>
      <c r="O425" s="31">
        <f>M425*N425</f>
        <v/>
      </c>
      <c r="P425" s="32">
        <f>822.8*N425</f>
        <v/>
      </c>
    </row>
    <row r="426">
      <c r="A426" t="inlineStr">
        <is>
          <t>U1-30</t>
        </is>
      </c>
      <c r="B426" t="n">
        <v>1</v>
      </c>
      <c r="C426" t="n">
        <v>5</v>
      </c>
      <c r="D426" t="inlineStr">
        <is>
          <t>BAF20</t>
        </is>
      </c>
      <c r="E426" t="inlineStr">
        <is>
          <t>IC</t>
        </is>
      </c>
      <c r="F426" t="n">
        <v>5</v>
      </c>
      <c r="G426" t="n">
        <v>21</v>
      </c>
      <c r="H426" t="n">
        <v>5</v>
      </c>
      <c r="I426" t="inlineStr">
        <is>
          <t>L</t>
        </is>
      </c>
      <c r="J426" t="inlineStr">
        <is>
          <t>S</t>
        </is>
      </c>
      <c r="K426" t="inlineStr">
        <is>
          <t>Y</t>
        </is>
      </c>
      <c r="L426" t="inlineStr"/>
      <c r="M426" s="30">
        <f>0.005454*F426^2</f>
        <v/>
      </c>
      <c r="N426" s="31">
        <f>IF(D426="BAF20",20/M426,100)</f>
        <v/>
      </c>
      <c r="O426" s="31">
        <f>M426*N426</f>
        <v/>
      </c>
      <c r="P426" s="32">
        <f>0.0*N426</f>
        <v/>
      </c>
    </row>
    <row r="427">
      <c r="A427" t="inlineStr">
        <is>
          <t>U1-30</t>
        </is>
      </c>
      <c r="B427" t="n">
        <v>1</v>
      </c>
      <c r="C427" t="n">
        <v>6</v>
      </c>
      <c r="D427" t="inlineStr">
        <is>
          <t>BAF20</t>
        </is>
      </c>
      <c r="E427" t="inlineStr">
        <is>
          <t>BO</t>
        </is>
      </c>
      <c r="F427" t="n">
        <v>17.5</v>
      </c>
      <c r="G427" t="n">
        <v>58</v>
      </c>
      <c r="H427" t="n">
        <v>29</v>
      </c>
      <c r="I427" t="inlineStr">
        <is>
          <t>L</t>
        </is>
      </c>
      <c r="J427" t="inlineStr">
        <is>
          <t>I</t>
        </is>
      </c>
      <c r="K427" t="inlineStr"/>
      <c r="L427" t="inlineStr"/>
      <c r="M427" s="30">
        <f>0.005454*F427^2</f>
        <v/>
      </c>
      <c r="N427" s="31">
        <f>IF(D427="BAF20",20/M427,100)</f>
        <v/>
      </c>
      <c r="O427" s="31">
        <f>M427*N427</f>
        <v/>
      </c>
      <c r="P427" s="32">
        <f>105.3*N427</f>
        <v/>
      </c>
    </row>
    <row r="428">
      <c r="A428" t="inlineStr">
        <is>
          <t>U1-30</t>
        </is>
      </c>
      <c r="B428" t="n">
        <v>1</v>
      </c>
      <c r="C428" t="n">
        <v>7</v>
      </c>
      <c r="D428" t="inlineStr">
        <is>
          <t>BAF20</t>
        </is>
      </c>
      <c r="E428" t="inlineStr">
        <is>
          <t>WF</t>
        </is>
      </c>
      <c r="F428" t="n">
        <v>23</v>
      </c>
      <c r="G428" t="n">
        <v>112</v>
      </c>
      <c r="H428" t="n">
        <v>18</v>
      </c>
      <c r="I428" t="inlineStr">
        <is>
          <t>L</t>
        </is>
      </c>
      <c r="J428" t="inlineStr">
        <is>
          <t>C</t>
        </is>
      </c>
      <c r="K428" t="inlineStr"/>
      <c r="L428" t="inlineStr"/>
      <c r="M428" s="30">
        <f>0.005454*F428^2</f>
        <v/>
      </c>
      <c r="N428" s="31">
        <f>IF(D428="BAF20",20/M428,100)</f>
        <v/>
      </c>
      <c r="O428" s="31">
        <f>M428*N428</f>
        <v/>
      </c>
      <c r="P428" s="32">
        <f>497.8*N428</f>
        <v/>
      </c>
    </row>
    <row r="429">
      <c r="A429" t="inlineStr">
        <is>
          <t>U1-30</t>
        </is>
      </c>
      <c r="B429" t="n">
        <v>1</v>
      </c>
      <c r="C429" t="n">
        <v>8</v>
      </c>
      <c r="D429" t="inlineStr">
        <is>
          <t>BAF20</t>
        </is>
      </c>
      <c r="E429" t="inlineStr">
        <is>
          <t>PP</t>
        </is>
      </c>
      <c r="F429" t="n">
        <v>5</v>
      </c>
      <c r="G429" t="n">
        <v>25</v>
      </c>
      <c r="H429" t="n">
        <v>5</v>
      </c>
      <c r="I429" t="inlineStr">
        <is>
          <t>L</t>
        </is>
      </c>
      <c r="J429" t="inlineStr">
        <is>
          <t>S</t>
        </is>
      </c>
      <c r="K429" t="inlineStr">
        <is>
          <t>Y</t>
        </is>
      </c>
      <c r="L429" t="inlineStr"/>
      <c r="M429" s="30">
        <f>0.005454*F429^2</f>
        <v/>
      </c>
      <c r="N429" s="31">
        <f>IF(D429="BAF20",20/M429,100)</f>
        <v/>
      </c>
      <c r="O429" s="31">
        <f>M429*N429</f>
        <v/>
      </c>
      <c r="P429" s="32">
        <f>0.0*N429</f>
        <v/>
      </c>
    </row>
    <row r="430">
      <c r="A430" t="inlineStr">
        <is>
          <t>U1-30</t>
        </is>
      </c>
      <c r="B430" t="n">
        <v>1</v>
      </c>
      <c r="C430" t="n">
        <v>9</v>
      </c>
      <c r="D430" t="inlineStr">
        <is>
          <t>BAF20</t>
        </is>
      </c>
      <c r="E430" t="inlineStr">
        <is>
          <t>WF</t>
        </is>
      </c>
      <c r="F430" t="n">
        <v>7.2</v>
      </c>
      <c r="G430" t="n">
        <v>32</v>
      </c>
      <c r="H430" t="n">
        <v>8</v>
      </c>
      <c r="I430" t="inlineStr">
        <is>
          <t>L</t>
        </is>
      </c>
      <c r="J430" t="inlineStr">
        <is>
          <t>S</t>
        </is>
      </c>
      <c r="K430" t="inlineStr">
        <is>
          <t>Y</t>
        </is>
      </c>
      <c r="L430" t="inlineStr"/>
      <c r="M430" s="30">
        <f>0.005454*F430^2</f>
        <v/>
      </c>
      <c r="N430" s="31">
        <f>IF(D430="BAF20",20/M430,100)</f>
        <v/>
      </c>
      <c r="O430" s="31">
        <f>M430*N430</f>
        <v/>
      </c>
      <c r="P430" s="32">
        <f>0.0*N430</f>
        <v/>
      </c>
    </row>
    <row r="431">
      <c r="A431" t="inlineStr">
        <is>
          <t>U1-30</t>
        </is>
      </c>
      <c r="B431" t="n">
        <v>1</v>
      </c>
      <c r="C431" t="n">
        <v>10</v>
      </c>
      <c r="D431" t="inlineStr">
        <is>
          <t>BAF20</t>
        </is>
      </c>
      <c r="E431" t="inlineStr">
        <is>
          <t>SP</t>
        </is>
      </c>
      <c r="F431" t="n">
        <v>25.9</v>
      </c>
      <c r="G431" t="n">
        <v>111</v>
      </c>
      <c r="H431" t="n">
        <v>6</v>
      </c>
      <c r="I431" t="inlineStr">
        <is>
          <t>L</t>
        </is>
      </c>
      <c r="J431" t="inlineStr">
        <is>
          <t>D</t>
        </is>
      </c>
      <c r="K431" t="inlineStr"/>
      <c r="L431" t="inlineStr"/>
      <c r="M431" s="30">
        <f>0.005454*F431^2</f>
        <v/>
      </c>
      <c r="N431" s="31">
        <f>IF(D431="BAF20",20/M431,100)</f>
        <v/>
      </c>
      <c r="O431" s="31">
        <f>M431*N431</f>
        <v/>
      </c>
      <c r="P431" s="32">
        <f>754.8*N431</f>
        <v/>
      </c>
    </row>
    <row r="432">
      <c r="A432" t="inlineStr">
        <is>
          <t>U1-30</t>
        </is>
      </c>
      <c r="B432" t="n">
        <v>1</v>
      </c>
      <c r="C432" t="n">
        <v>11</v>
      </c>
      <c r="D432" t="inlineStr">
        <is>
          <t>BAF20</t>
        </is>
      </c>
      <c r="E432" t="inlineStr">
        <is>
          <t>PP</t>
        </is>
      </c>
      <c r="F432" t="n">
        <v>10.2</v>
      </c>
      <c r="G432" t="n">
        <v>48</v>
      </c>
      <c r="H432" t="n">
        <v>2</v>
      </c>
      <c r="I432" t="inlineStr">
        <is>
          <t>L</t>
        </is>
      </c>
      <c r="J432" t="inlineStr">
        <is>
          <t>S</t>
        </is>
      </c>
      <c r="K432" t="inlineStr">
        <is>
          <t>Y</t>
        </is>
      </c>
      <c r="L432" t="inlineStr"/>
      <c r="M432" s="30">
        <f>0.005454*F432^2</f>
        <v/>
      </c>
      <c r="N432" s="31">
        <f>IF(D432="BAF20",20/M432,100)</f>
        <v/>
      </c>
      <c r="O432" s="31">
        <f>M432*N432</f>
        <v/>
      </c>
      <c r="P432" s="32">
        <f>38.5*N432</f>
        <v/>
      </c>
    </row>
    <row r="433">
      <c r="A433" t="inlineStr">
        <is>
          <t>U1-30</t>
        </is>
      </c>
      <c r="B433" t="n">
        <v>1</v>
      </c>
      <c r="C433" t="n">
        <v>12</v>
      </c>
      <c r="D433" t="inlineStr">
        <is>
          <t>BAF20</t>
        </is>
      </c>
      <c r="E433" t="inlineStr">
        <is>
          <t>BO</t>
        </is>
      </c>
      <c r="F433" t="n">
        <v>5.6</v>
      </c>
      <c r="G433" t="n">
        <v>23</v>
      </c>
      <c r="H433" t="n">
        <v>5</v>
      </c>
      <c r="I433" t="inlineStr">
        <is>
          <t>L</t>
        </is>
      </c>
      <c r="J433" t="inlineStr">
        <is>
          <t>S</t>
        </is>
      </c>
      <c r="K433" t="inlineStr">
        <is>
          <t>Y</t>
        </is>
      </c>
      <c r="L433" t="inlineStr"/>
      <c r="M433" s="30">
        <f>0.005454*F433^2</f>
        <v/>
      </c>
      <c r="N433" s="31">
        <f>IF(D433="BAF20",20/M433,100)</f>
        <v/>
      </c>
      <c r="O433" s="31">
        <f>M433*N433</f>
        <v/>
      </c>
      <c r="P433" s="32">
        <f>0.0*N433</f>
        <v/>
      </c>
    </row>
    <row r="434">
      <c r="A434" t="inlineStr">
        <is>
          <t>U1-30</t>
        </is>
      </c>
      <c r="B434" t="n">
        <v>1</v>
      </c>
      <c r="C434" t="n">
        <v>13</v>
      </c>
      <c r="D434" t="inlineStr">
        <is>
          <t>BAF20</t>
        </is>
      </c>
      <c r="E434" t="inlineStr">
        <is>
          <t>IC</t>
        </is>
      </c>
      <c r="F434" t="n">
        <v>15.2</v>
      </c>
      <c r="G434" t="n">
        <v>61</v>
      </c>
      <c r="H434" t="n">
        <v>6</v>
      </c>
      <c r="I434" t="inlineStr">
        <is>
          <t>L</t>
        </is>
      </c>
      <c r="J434" t="inlineStr">
        <is>
          <t>I</t>
        </is>
      </c>
      <c r="K434" t="inlineStr"/>
      <c r="L434" t="inlineStr"/>
      <c r="M434" s="30">
        <f>0.005454*F434^2</f>
        <v/>
      </c>
      <c r="N434" s="31">
        <f>IF(D434="BAF20",20/M434,100)</f>
        <v/>
      </c>
      <c r="O434" s="31">
        <f>M434*N434</f>
        <v/>
      </c>
      <c r="P434" s="32">
        <f>116.6*N434</f>
        <v/>
      </c>
    </row>
    <row r="435">
      <c r="A435" t="inlineStr">
        <is>
          <t>U1-30</t>
        </is>
      </c>
      <c r="B435" t="n">
        <v>1</v>
      </c>
      <c r="C435" t="n">
        <v>14</v>
      </c>
      <c r="D435" t="inlineStr">
        <is>
          <t>FIX100</t>
        </is>
      </c>
      <c r="E435" t="inlineStr">
        <is>
          <t>WF</t>
        </is>
      </c>
      <c r="F435" t="n">
        <v>1.8</v>
      </c>
      <c r="G435" t="n">
        <v>12</v>
      </c>
      <c r="H435" t="n">
        <v>0</v>
      </c>
      <c r="I435" t="inlineStr">
        <is>
          <t>L</t>
        </is>
      </c>
      <c r="J435" t="inlineStr">
        <is>
          <t>S</t>
        </is>
      </c>
      <c r="K435" t="inlineStr"/>
      <c r="L435" t="inlineStr"/>
      <c r="M435" s="30">
        <f>0.005454*F435^2</f>
        <v/>
      </c>
      <c r="N435" s="31">
        <f>IF(D435="BAF20",20/M435,100)</f>
        <v/>
      </c>
      <c r="O435" s="31">
        <f>M435*N435</f>
        <v/>
      </c>
      <c r="P435" s="32">
        <f>0.0*N435</f>
        <v/>
      </c>
    </row>
    <row r="436">
      <c r="A436" t="inlineStr">
        <is>
          <t>U1-31</t>
        </is>
      </c>
      <c r="B436" t="n">
        <v>1</v>
      </c>
      <c r="C436" t="n">
        <v>1</v>
      </c>
      <c r="D436" t="inlineStr">
        <is>
          <t>BAF20</t>
        </is>
      </c>
      <c r="E436" t="inlineStr">
        <is>
          <t>IC</t>
        </is>
      </c>
      <c r="F436" t="n">
        <v>16</v>
      </c>
      <c r="G436" t="n">
        <v>62</v>
      </c>
      <c r="H436" t="n">
        <v>5</v>
      </c>
      <c r="I436" t="inlineStr">
        <is>
          <t>L</t>
        </is>
      </c>
      <c r="J436" t="inlineStr">
        <is>
          <t>I</t>
        </is>
      </c>
      <c r="K436" t="inlineStr"/>
      <c r="L436" t="inlineStr"/>
      <c r="M436" s="30">
        <f>0.005454*F436^2</f>
        <v/>
      </c>
      <c r="N436" s="31">
        <f>IF(D436="BAF20",20/M436,100)</f>
        <v/>
      </c>
      <c r="O436" s="31">
        <f>M436*N436</f>
        <v/>
      </c>
      <c r="P436" s="32">
        <f>134.9*N436</f>
        <v/>
      </c>
    </row>
    <row r="437">
      <c r="A437" t="inlineStr">
        <is>
          <t>U1-31</t>
        </is>
      </c>
      <c r="B437" t="n">
        <v>1</v>
      </c>
      <c r="C437" t="n">
        <v>2</v>
      </c>
      <c r="D437" t="inlineStr">
        <is>
          <t>BAF20</t>
        </is>
      </c>
      <c r="E437" t="inlineStr">
        <is>
          <t>BO</t>
        </is>
      </c>
      <c r="F437" t="n">
        <v>22.5</v>
      </c>
      <c r="G437" t="n">
        <v>69</v>
      </c>
      <c r="H437" t="n">
        <v>10</v>
      </c>
      <c r="I437" t="inlineStr">
        <is>
          <t>L</t>
        </is>
      </c>
      <c r="J437" t="inlineStr">
        <is>
          <t>C</t>
        </is>
      </c>
      <c r="K437" t="inlineStr"/>
      <c r="L437" t="inlineStr"/>
      <c r="M437" s="30">
        <f>0.005454*F437^2</f>
        <v/>
      </c>
      <c r="N437" s="31">
        <f>IF(D437="BAF20",20/M437,100)</f>
        <v/>
      </c>
      <c r="O437" s="31">
        <f>M437*N437</f>
        <v/>
      </c>
      <c r="P437" s="32">
        <f>288.8*N437</f>
        <v/>
      </c>
    </row>
    <row r="438">
      <c r="A438" t="inlineStr">
        <is>
          <t>U1-31</t>
        </is>
      </c>
      <c r="B438" t="n">
        <v>1</v>
      </c>
      <c r="C438" t="n">
        <v>3</v>
      </c>
      <c r="D438" t="inlineStr">
        <is>
          <t>BAF20</t>
        </is>
      </c>
      <c r="E438" t="inlineStr">
        <is>
          <t>PP</t>
        </is>
      </c>
      <c r="F438" t="n">
        <v>17.5</v>
      </c>
      <c r="G438" t="n">
        <v>76</v>
      </c>
      <c r="H438" t="n">
        <v>2</v>
      </c>
      <c r="I438" t="inlineStr">
        <is>
          <t>L</t>
        </is>
      </c>
      <c r="J438" t="inlineStr">
        <is>
          <t>I</t>
        </is>
      </c>
      <c r="K438" t="inlineStr"/>
      <c r="L438" t="inlineStr"/>
      <c r="M438" s="30">
        <f>0.005454*F438^2</f>
        <v/>
      </c>
      <c r="N438" s="31">
        <f>IF(D438="BAF20",20/M438,100)</f>
        <v/>
      </c>
      <c r="O438" s="31">
        <f>M438*N438</f>
        <v/>
      </c>
      <c r="P438" s="32">
        <f>210.4*N438</f>
        <v/>
      </c>
    </row>
    <row r="439">
      <c r="A439" t="inlineStr">
        <is>
          <t>U1-31</t>
        </is>
      </c>
      <c r="B439" t="n">
        <v>1</v>
      </c>
      <c r="C439" t="n">
        <v>4</v>
      </c>
      <c r="D439" t="inlineStr">
        <is>
          <t>BAF20</t>
        </is>
      </c>
      <c r="E439" t="inlineStr">
        <is>
          <t>IC</t>
        </is>
      </c>
      <c r="F439" t="n">
        <v>18.2</v>
      </c>
      <c r="G439" t="n">
        <v>78</v>
      </c>
      <c r="H439" t="n">
        <v>10</v>
      </c>
      <c r="I439" t="inlineStr">
        <is>
          <t>L</t>
        </is>
      </c>
      <c r="J439" t="inlineStr">
        <is>
          <t>I</t>
        </is>
      </c>
      <c r="K439" t="inlineStr"/>
      <c r="L439" t="inlineStr"/>
      <c r="M439" s="30">
        <f>0.005454*F439^2</f>
        <v/>
      </c>
      <c r="N439" s="31">
        <f>IF(D439="BAF20",20/M439,100)</f>
        <v/>
      </c>
      <c r="O439" s="31">
        <f>M439*N439</f>
        <v/>
      </c>
      <c r="P439" s="32">
        <f>217.5*N439</f>
        <v/>
      </c>
    </row>
    <row r="440">
      <c r="A440" t="inlineStr">
        <is>
          <t>U1-31</t>
        </is>
      </c>
      <c r="B440" t="n">
        <v>1</v>
      </c>
      <c r="C440" t="n">
        <v>5</v>
      </c>
      <c r="D440" t="inlineStr">
        <is>
          <t>BAF20</t>
        </is>
      </c>
      <c r="E440" t="inlineStr">
        <is>
          <t>BO</t>
        </is>
      </c>
      <c r="F440" t="n">
        <v>16.5</v>
      </c>
      <c r="G440" t="n">
        <v>47</v>
      </c>
      <c r="H440" t="n">
        <v>2</v>
      </c>
      <c r="I440" t="inlineStr">
        <is>
          <t>L</t>
        </is>
      </c>
      <c r="J440" t="inlineStr">
        <is>
          <t>I</t>
        </is>
      </c>
      <c r="K440" t="inlineStr"/>
      <c r="L440" t="inlineStr"/>
      <c r="M440" s="30">
        <f>0.005454*F440^2</f>
        <v/>
      </c>
      <c r="N440" s="31">
        <f>IF(D440="BAF20",20/M440,100)</f>
        <v/>
      </c>
      <c r="O440" s="31">
        <f>M440*N440</f>
        <v/>
      </c>
      <c r="P440" s="32">
        <f>102.6*N440</f>
        <v/>
      </c>
    </row>
    <row r="441">
      <c r="A441" t="inlineStr">
        <is>
          <t>U1-31</t>
        </is>
      </c>
      <c r="B441" t="n">
        <v>1</v>
      </c>
      <c r="C441" t="n">
        <v>6</v>
      </c>
      <c r="D441" t="inlineStr">
        <is>
          <t>BAF20</t>
        </is>
      </c>
      <c r="E441" t="inlineStr">
        <is>
          <t>IC</t>
        </is>
      </c>
      <c r="F441" t="n">
        <v>8.6</v>
      </c>
      <c r="G441" t="n">
        <v>37</v>
      </c>
      <c r="H441" t="n">
        <v>6</v>
      </c>
      <c r="I441" t="inlineStr">
        <is>
          <t>L</t>
        </is>
      </c>
      <c r="J441" t="inlineStr">
        <is>
          <t>S</t>
        </is>
      </c>
      <c r="K441" t="inlineStr">
        <is>
          <t>Y</t>
        </is>
      </c>
      <c r="L441" t="inlineStr"/>
      <c r="M441" s="30">
        <f>0.005454*F441^2</f>
        <v/>
      </c>
      <c r="N441" s="31">
        <f>IF(D441="BAF20",20/M441,100)</f>
        <v/>
      </c>
      <c r="O441" s="31">
        <f>M441*N441</f>
        <v/>
      </c>
      <c r="P441" s="32">
        <f>0.0*N441</f>
        <v/>
      </c>
    </row>
    <row r="442">
      <c r="A442" t="inlineStr">
        <is>
          <t>U1-31</t>
        </is>
      </c>
      <c r="B442" t="n">
        <v>1</v>
      </c>
      <c r="C442" t="n">
        <v>7</v>
      </c>
      <c r="D442" t="inlineStr">
        <is>
          <t>FIX100</t>
        </is>
      </c>
      <c r="E442" t="inlineStr">
        <is>
          <t>BO</t>
        </is>
      </c>
      <c r="F442" t="n">
        <v>3.8</v>
      </c>
      <c r="G442" t="n">
        <v>20</v>
      </c>
      <c r="H442" t="n">
        <v>0</v>
      </c>
      <c r="I442" t="inlineStr">
        <is>
          <t>L</t>
        </is>
      </c>
      <c r="J442" t="inlineStr">
        <is>
          <t>S</t>
        </is>
      </c>
      <c r="K442" t="inlineStr"/>
      <c r="L442" t="inlineStr"/>
      <c r="M442" s="30">
        <f>0.005454*F442^2</f>
        <v/>
      </c>
      <c r="N442" s="31">
        <f>IF(D442="BAF20",20/M442,100)</f>
        <v/>
      </c>
      <c r="O442" s="31">
        <f>M442*N442</f>
        <v/>
      </c>
      <c r="P442" s="32">
        <f>0.0*N442</f>
        <v/>
      </c>
    </row>
    <row r="443">
      <c r="A443" t="inlineStr">
        <is>
          <t>U1-32</t>
        </is>
      </c>
      <c r="B443" t="n">
        <v>1</v>
      </c>
      <c r="C443" t="n">
        <v>1</v>
      </c>
      <c r="D443" t="inlineStr">
        <is>
          <t>BAF20</t>
        </is>
      </c>
      <c r="E443" t="inlineStr">
        <is>
          <t>BO</t>
        </is>
      </c>
      <c r="F443" t="n">
        <v>17.9</v>
      </c>
      <c r="G443" t="n">
        <v>52</v>
      </c>
      <c r="H443" t="n">
        <v>6</v>
      </c>
      <c r="I443" t="inlineStr">
        <is>
          <t>L</t>
        </is>
      </c>
      <c r="J443" t="inlineStr">
        <is>
          <t>I</t>
        </is>
      </c>
      <c r="K443" t="inlineStr"/>
      <c r="L443" t="inlineStr"/>
      <c r="M443" s="30">
        <f>0.005454*F443^2</f>
        <v/>
      </c>
      <c r="N443" s="31">
        <f>IF(D443="BAF20",20/M443,100)</f>
        <v/>
      </c>
      <c r="O443" s="31">
        <f>M443*N443</f>
        <v/>
      </c>
      <c r="P443" s="32">
        <f>131.8*N443</f>
        <v/>
      </c>
    </row>
    <row r="444">
      <c r="A444" t="inlineStr">
        <is>
          <t>U1-32</t>
        </is>
      </c>
      <c r="B444" t="n">
        <v>1</v>
      </c>
      <c r="C444" t="n">
        <v>2</v>
      </c>
      <c r="D444" t="inlineStr">
        <is>
          <t>BAF20</t>
        </is>
      </c>
      <c r="E444" t="inlineStr">
        <is>
          <t>IC</t>
        </is>
      </c>
      <c r="F444" t="n">
        <v>15.8</v>
      </c>
      <c r="G444" t="n">
        <v>61</v>
      </c>
      <c r="H444" t="n">
        <v>8</v>
      </c>
      <c r="I444" t="inlineStr">
        <is>
          <t>L</t>
        </is>
      </c>
      <c r="J444" t="inlineStr">
        <is>
          <t>I</t>
        </is>
      </c>
      <c r="K444" t="inlineStr"/>
      <c r="L444" t="inlineStr"/>
      <c r="M444" s="30">
        <f>0.005454*F444^2</f>
        <v/>
      </c>
      <c r="N444" s="31">
        <f>IF(D444="BAF20",20/M444,100)</f>
        <v/>
      </c>
      <c r="O444" s="31">
        <f>M444*N444</f>
        <v/>
      </c>
      <c r="P444" s="32">
        <f>124.8*N444</f>
        <v/>
      </c>
    </row>
    <row r="445">
      <c r="A445" t="inlineStr">
        <is>
          <t>U1-32</t>
        </is>
      </c>
      <c r="B445" t="n">
        <v>1</v>
      </c>
      <c r="C445" t="n">
        <v>3</v>
      </c>
      <c r="D445" t="inlineStr">
        <is>
          <t>BAF20</t>
        </is>
      </c>
      <c r="E445" t="inlineStr">
        <is>
          <t>BO</t>
        </is>
      </c>
      <c r="F445" t="n">
        <v>17.7</v>
      </c>
      <c r="G445" t="n">
        <v>54</v>
      </c>
      <c r="H445" t="n">
        <v>35</v>
      </c>
      <c r="I445" t="inlineStr">
        <is>
          <t>L</t>
        </is>
      </c>
      <c r="J445" t="inlineStr">
        <is>
          <t>I</t>
        </is>
      </c>
      <c r="K445" t="inlineStr"/>
      <c r="L445" t="inlineStr"/>
      <c r="M445" s="30">
        <f>0.005454*F445^2</f>
        <v/>
      </c>
      <c r="N445" s="31">
        <f>IF(D445="BAF20",20/M445,100)</f>
        <v/>
      </c>
      <c r="O445" s="31">
        <f>M445*N445</f>
        <v/>
      </c>
      <c r="P445" s="32">
        <f>92.2*N445</f>
        <v/>
      </c>
    </row>
    <row r="446">
      <c r="A446" t="inlineStr">
        <is>
          <t>U1-32</t>
        </is>
      </c>
      <c r="B446" t="n">
        <v>1</v>
      </c>
      <c r="C446" t="n">
        <v>4</v>
      </c>
      <c r="D446" t="inlineStr">
        <is>
          <t>BAF20</t>
        </is>
      </c>
      <c r="E446" t="inlineStr">
        <is>
          <t>DF</t>
        </is>
      </c>
      <c r="F446" t="n">
        <v>27.9</v>
      </c>
      <c r="G446" t="n">
        <v>109</v>
      </c>
      <c r="H446" t="n">
        <v>6</v>
      </c>
      <c r="I446" t="inlineStr">
        <is>
          <t>L</t>
        </is>
      </c>
      <c r="J446" t="inlineStr">
        <is>
          <t>D</t>
        </is>
      </c>
      <c r="K446" t="inlineStr"/>
      <c r="L446" t="inlineStr"/>
      <c r="M446" s="30">
        <f>0.005454*F446^2</f>
        <v/>
      </c>
      <c r="N446" s="31">
        <f>IF(D446="BAF20",20/M446,100)</f>
        <v/>
      </c>
      <c r="O446" s="31">
        <f>M446*N446</f>
        <v/>
      </c>
      <c r="P446" s="32">
        <f>889.7*N446</f>
        <v/>
      </c>
    </row>
    <row r="447">
      <c r="A447" t="inlineStr">
        <is>
          <t>U1-32</t>
        </is>
      </c>
      <c r="B447" t="n">
        <v>1</v>
      </c>
      <c r="C447" t="n">
        <v>5</v>
      </c>
      <c r="D447" t="inlineStr">
        <is>
          <t>BAF20</t>
        </is>
      </c>
      <c r="E447" t="inlineStr">
        <is>
          <t>PP</t>
        </is>
      </c>
      <c r="F447" t="n">
        <v>30.2</v>
      </c>
      <c r="G447" t="n">
        <v>111</v>
      </c>
      <c r="H447" t="n">
        <v>3</v>
      </c>
      <c r="I447" t="inlineStr">
        <is>
          <t>L</t>
        </is>
      </c>
      <c r="J447" t="inlineStr">
        <is>
          <t>D</t>
        </is>
      </c>
      <c r="K447" t="inlineStr"/>
      <c r="L447" t="inlineStr"/>
      <c r="M447" s="30">
        <f>0.005454*F447^2</f>
        <v/>
      </c>
      <c r="N447" s="31">
        <f>IF(D447="BAF20",20/M447,100)</f>
        <v/>
      </c>
      <c r="O447" s="31">
        <f>M447*N447</f>
        <v/>
      </c>
      <c r="P447" s="32">
        <f>1137.4*N447</f>
        <v/>
      </c>
    </row>
    <row r="448">
      <c r="A448" t="inlineStr">
        <is>
          <t>U1-32</t>
        </is>
      </c>
      <c r="B448" t="n">
        <v>1</v>
      </c>
      <c r="C448" t="n">
        <v>6</v>
      </c>
      <c r="D448" t="inlineStr">
        <is>
          <t>BAF20</t>
        </is>
      </c>
      <c r="E448" t="inlineStr">
        <is>
          <t>WF</t>
        </is>
      </c>
      <c r="F448" t="n">
        <v>17.1</v>
      </c>
      <c r="G448" t="n">
        <v>84</v>
      </c>
      <c r="H448" t="n">
        <v>5</v>
      </c>
      <c r="I448" t="inlineStr">
        <is>
          <t>L</t>
        </is>
      </c>
      <c r="J448" t="inlineStr">
        <is>
          <t>I</t>
        </is>
      </c>
      <c r="K448" t="inlineStr"/>
      <c r="L448" t="inlineStr"/>
      <c r="M448" s="30">
        <f>0.005454*F448^2</f>
        <v/>
      </c>
      <c r="N448" s="31">
        <f>IF(D448="BAF20",20/M448,100)</f>
        <v/>
      </c>
      <c r="O448" s="31">
        <f>M448*N448</f>
        <v/>
      </c>
      <c r="P448" s="32">
        <f>213.5*N448</f>
        <v/>
      </c>
    </row>
    <row r="449">
      <c r="A449" t="inlineStr">
        <is>
          <t>U1-32</t>
        </is>
      </c>
      <c r="B449" t="n">
        <v>1</v>
      </c>
      <c r="C449" t="n">
        <v>7</v>
      </c>
      <c r="D449" t="inlineStr">
        <is>
          <t>BAF20</t>
        </is>
      </c>
      <c r="E449" t="inlineStr">
        <is>
          <t>IC</t>
        </is>
      </c>
      <c r="F449" t="n">
        <v>21.4</v>
      </c>
      <c r="G449" t="n">
        <v>76</v>
      </c>
      <c r="H449" t="n">
        <v>5</v>
      </c>
      <c r="I449" t="inlineStr">
        <is>
          <t>L</t>
        </is>
      </c>
      <c r="J449" t="inlineStr">
        <is>
          <t>C</t>
        </is>
      </c>
      <c r="K449" t="inlineStr"/>
      <c r="L449" t="inlineStr"/>
      <c r="M449" s="30">
        <f>0.005454*F449^2</f>
        <v/>
      </c>
      <c r="N449" s="31">
        <f>IF(D449="BAF20",20/M449,100)</f>
        <v/>
      </c>
      <c r="O449" s="31">
        <f>M449*N449</f>
        <v/>
      </c>
      <c r="P449" s="32">
        <f>329.0*N449</f>
        <v/>
      </c>
    </row>
    <row r="450">
      <c r="A450" t="inlineStr">
        <is>
          <t>U1-32</t>
        </is>
      </c>
      <c r="B450" t="n">
        <v>1</v>
      </c>
      <c r="C450" t="n">
        <v>8</v>
      </c>
      <c r="D450" t="inlineStr">
        <is>
          <t>FIX100</t>
        </is>
      </c>
      <c r="E450" t="inlineStr">
        <is>
          <t>PP</t>
        </is>
      </c>
      <c r="F450" t="n">
        <v>3.3</v>
      </c>
      <c r="G450" t="n">
        <v>20</v>
      </c>
      <c r="H450" t="n">
        <v>0</v>
      </c>
      <c r="I450" t="inlineStr">
        <is>
          <t>L</t>
        </is>
      </c>
      <c r="J450" t="inlineStr">
        <is>
          <t>S</t>
        </is>
      </c>
      <c r="K450" t="inlineStr"/>
      <c r="L450" t="inlineStr"/>
      <c r="M450" s="30">
        <f>0.005454*F450^2</f>
        <v/>
      </c>
      <c r="N450" s="31">
        <f>IF(D450="BAF20",20/M450,100)</f>
        <v/>
      </c>
      <c r="O450" s="31">
        <f>M450*N450</f>
        <v/>
      </c>
      <c r="P450" s="32">
        <f>0.0*N450</f>
        <v/>
      </c>
    </row>
    <row r="451">
      <c r="A451" t="inlineStr">
        <is>
          <t>U1-32</t>
        </is>
      </c>
      <c r="B451" t="n">
        <v>1</v>
      </c>
      <c r="C451" t="n">
        <v>9</v>
      </c>
      <c r="D451" t="inlineStr">
        <is>
          <t>FIX100</t>
        </is>
      </c>
      <c r="E451" t="inlineStr">
        <is>
          <t>DF</t>
        </is>
      </c>
      <c r="F451" t="n">
        <v>1.5</v>
      </c>
      <c r="G451" t="n">
        <v>12</v>
      </c>
      <c r="H451" t="n">
        <v>0</v>
      </c>
      <c r="I451" t="inlineStr">
        <is>
          <t>L</t>
        </is>
      </c>
      <c r="J451" t="inlineStr">
        <is>
          <t>S</t>
        </is>
      </c>
      <c r="K451" t="inlineStr"/>
      <c r="L451" t="inlineStr"/>
      <c r="M451" s="30">
        <f>0.005454*F451^2</f>
        <v/>
      </c>
      <c r="N451" s="31">
        <f>IF(D451="BAF20",20/M451,100)</f>
        <v/>
      </c>
      <c r="O451" s="31">
        <f>M451*N451</f>
        <v/>
      </c>
      <c r="P451" s="32">
        <f>0.0*N451</f>
        <v/>
      </c>
    </row>
    <row r="452">
      <c r="A452" t="inlineStr">
        <is>
          <t>U1-32</t>
        </is>
      </c>
      <c r="B452" t="n">
        <v>1</v>
      </c>
      <c r="C452" t="n">
        <v>10</v>
      </c>
      <c r="D452" t="inlineStr">
        <is>
          <t>FIX100</t>
        </is>
      </c>
      <c r="E452" t="inlineStr">
        <is>
          <t>DF</t>
        </is>
      </c>
      <c r="F452" t="n">
        <v>4.2</v>
      </c>
      <c r="G452" t="n">
        <v>25</v>
      </c>
      <c r="H452" t="n">
        <v>0</v>
      </c>
      <c r="I452" t="inlineStr">
        <is>
          <t>L</t>
        </is>
      </c>
      <c r="J452" t="inlineStr">
        <is>
          <t>S</t>
        </is>
      </c>
      <c r="K452" t="inlineStr"/>
      <c r="L452" t="inlineStr"/>
      <c r="M452" s="30">
        <f>0.005454*F452^2</f>
        <v/>
      </c>
      <c r="N452" s="31">
        <f>IF(D452="BAF20",20/M452,100)</f>
        <v/>
      </c>
      <c r="O452" s="31">
        <f>M452*N452</f>
        <v/>
      </c>
      <c r="P452" s="32">
        <f>0.0*N452</f>
        <v/>
      </c>
    </row>
    <row r="453">
      <c r="A453" t="inlineStr">
        <is>
          <t>U1-32</t>
        </is>
      </c>
      <c r="B453" t="n">
        <v>1</v>
      </c>
      <c r="C453" t="n">
        <v>11</v>
      </c>
      <c r="D453" t="inlineStr">
        <is>
          <t>FIX100</t>
        </is>
      </c>
      <c r="E453" t="inlineStr">
        <is>
          <t>PP</t>
        </is>
      </c>
      <c r="F453" t="n">
        <v>2.2</v>
      </c>
      <c r="G453" t="n">
        <v>14</v>
      </c>
      <c r="H453" t="n">
        <v>0</v>
      </c>
      <c r="I453" t="inlineStr">
        <is>
          <t>L</t>
        </is>
      </c>
      <c r="J453" t="inlineStr">
        <is>
          <t>S</t>
        </is>
      </c>
      <c r="K453" t="inlineStr"/>
      <c r="L453" t="inlineStr"/>
      <c r="M453" s="30">
        <f>0.005454*F453^2</f>
        <v/>
      </c>
      <c r="N453" s="31">
        <f>IF(D453="BAF20",20/M453,100)</f>
        <v/>
      </c>
      <c r="O453" s="31">
        <f>M453*N453</f>
        <v/>
      </c>
      <c r="P453" s="32">
        <f>0.0*N453</f>
        <v/>
      </c>
    </row>
    <row r="454">
      <c r="A454" t="inlineStr">
        <is>
          <t>U1-33</t>
        </is>
      </c>
      <c r="B454" t="n">
        <v>1</v>
      </c>
      <c r="C454" t="n">
        <v>1</v>
      </c>
      <c r="D454" t="inlineStr">
        <is>
          <t>BAF20</t>
        </is>
      </c>
      <c r="E454" t="inlineStr">
        <is>
          <t>PP</t>
        </is>
      </c>
      <c r="F454" t="n">
        <v>6.9</v>
      </c>
      <c r="G454" t="n">
        <v>43</v>
      </c>
      <c r="H454" t="n">
        <v>100</v>
      </c>
      <c r="I454" t="inlineStr">
        <is>
          <t>D</t>
        </is>
      </c>
      <c r="J454" t="inlineStr">
        <is>
          <t>S</t>
        </is>
      </c>
      <c r="K454" t="inlineStr"/>
      <c r="L454" t="inlineStr"/>
      <c r="M454" s="30">
        <f>0.005454*F454^2</f>
        <v/>
      </c>
      <c r="N454" s="31">
        <f>IF(D454="BAF20",20/M454,100)</f>
        <v/>
      </c>
      <c r="O454" s="31">
        <f>M454*N454</f>
        <v/>
      </c>
      <c r="P454" s="32">
        <f>0.0*N454</f>
        <v/>
      </c>
    </row>
    <row r="455">
      <c r="A455" t="inlineStr">
        <is>
          <t>U1-33</t>
        </is>
      </c>
      <c r="B455" t="n">
        <v>1</v>
      </c>
      <c r="C455" t="n">
        <v>2</v>
      </c>
      <c r="D455" t="inlineStr">
        <is>
          <t>BAF20</t>
        </is>
      </c>
      <c r="E455" t="inlineStr">
        <is>
          <t>PP</t>
        </is>
      </c>
      <c r="F455" t="n">
        <v>21.6</v>
      </c>
      <c r="G455" t="n">
        <v>96</v>
      </c>
      <c r="H455" t="n">
        <v>4</v>
      </c>
      <c r="I455" t="inlineStr">
        <is>
          <t>L</t>
        </is>
      </c>
      <c r="J455" t="inlineStr">
        <is>
          <t>C</t>
        </is>
      </c>
      <c r="K455" t="inlineStr"/>
      <c r="L455" t="inlineStr"/>
      <c r="M455" s="30">
        <f>0.005454*F455^2</f>
        <v/>
      </c>
      <c r="N455" s="31">
        <f>IF(D455="BAF20",20/M455,100)</f>
        <v/>
      </c>
      <c r="O455" s="31">
        <f>M455*N455</f>
        <v/>
      </c>
      <c r="P455" s="32">
        <f>429.4*N455</f>
        <v/>
      </c>
    </row>
    <row r="456">
      <c r="A456" t="inlineStr">
        <is>
          <t>U1-33</t>
        </is>
      </c>
      <c r="B456" t="n">
        <v>1</v>
      </c>
      <c r="C456" t="n">
        <v>3</v>
      </c>
      <c r="D456" t="inlineStr">
        <is>
          <t>BAF20</t>
        </is>
      </c>
      <c r="E456" t="inlineStr">
        <is>
          <t>DF</t>
        </is>
      </c>
      <c r="F456" t="n">
        <v>12.6</v>
      </c>
      <c r="G456" t="n">
        <v>66</v>
      </c>
      <c r="H456" t="n">
        <v>5</v>
      </c>
      <c r="I456" t="inlineStr">
        <is>
          <t>L</t>
        </is>
      </c>
      <c r="J456" t="inlineStr">
        <is>
          <t>S</t>
        </is>
      </c>
      <c r="K456" t="inlineStr">
        <is>
          <t>Y</t>
        </is>
      </c>
      <c r="L456" t="inlineStr"/>
      <c r="M456" s="30">
        <f>0.005454*F456^2</f>
        <v/>
      </c>
      <c r="N456" s="31">
        <f>IF(D456="BAF20",20/M456,100)</f>
        <v/>
      </c>
      <c r="O456" s="31">
        <f>M456*N456</f>
        <v/>
      </c>
      <c r="P456" s="32">
        <f>82.8*N456</f>
        <v/>
      </c>
    </row>
    <row r="457">
      <c r="A457" t="inlineStr">
        <is>
          <t>U1-33</t>
        </is>
      </c>
      <c r="B457" t="n">
        <v>1</v>
      </c>
      <c r="C457" t="n">
        <v>4</v>
      </c>
      <c r="D457" t="inlineStr">
        <is>
          <t>BAF20</t>
        </is>
      </c>
      <c r="E457" t="inlineStr">
        <is>
          <t>BO</t>
        </is>
      </c>
      <c r="F457" t="n">
        <v>8</v>
      </c>
      <c r="G457" t="n">
        <v>37</v>
      </c>
      <c r="H457" t="n">
        <v>16</v>
      </c>
      <c r="I457" t="inlineStr">
        <is>
          <t>L</t>
        </is>
      </c>
      <c r="J457" t="inlineStr">
        <is>
          <t>S</t>
        </is>
      </c>
      <c r="K457" t="inlineStr">
        <is>
          <t>Y</t>
        </is>
      </c>
      <c r="L457" t="inlineStr"/>
      <c r="M457" s="30">
        <f>0.005454*F457^2</f>
        <v/>
      </c>
      <c r="N457" s="31">
        <f>IF(D457="BAF20",20/M457,100)</f>
        <v/>
      </c>
      <c r="O457" s="31">
        <f>M457*N457</f>
        <v/>
      </c>
      <c r="P457" s="32">
        <f>0.0*N457</f>
        <v/>
      </c>
    </row>
    <row r="458">
      <c r="A458" t="inlineStr">
        <is>
          <t>U1-33</t>
        </is>
      </c>
      <c r="B458" t="n">
        <v>1</v>
      </c>
      <c r="C458" t="n">
        <v>5</v>
      </c>
      <c r="D458" t="inlineStr">
        <is>
          <t>BAF20</t>
        </is>
      </c>
      <c r="E458" t="inlineStr">
        <is>
          <t>IC</t>
        </is>
      </c>
      <c r="F458" t="n">
        <v>20.7</v>
      </c>
      <c r="G458" t="n">
        <v>83</v>
      </c>
      <c r="H458" t="n">
        <v>9</v>
      </c>
      <c r="I458" t="inlineStr">
        <is>
          <t>L</t>
        </is>
      </c>
      <c r="J458" t="inlineStr">
        <is>
          <t>C</t>
        </is>
      </c>
      <c r="K458" t="inlineStr"/>
      <c r="L458" t="inlineStr"/>
      <c r="M458" s="30">
        <f>0.005454*F458^2</f>
        <v/>
      </c>
      <c r="N458" s="31">
        <f>IF(D458="BAF20",20/M458,100)</f>
        <v/>
      </c>
      <c r="O458" s="31">
        <f>M458*N458</f>
        <v/>
      </c>
      <c r="P458" s="32">
        <f>317.8*N458</f>
        <v/>
      </c>
    </row>
    <row r="459">
      <c r="A459" t="inlineStr">
        <is>
          <t>U1-33</t>
        </is>
      </c>
      <c r="B459" t="n">
        <v>1</v>
      </c>
      <c r="C459" t="n">
        <v>6</v>
      </c>
      <c r="D459" t="inlineStr">
        <is>
          <t>BAF20</t>
        </is>
      </c>
      <c r="E459" t="inlineStr">
        <is>
          <t>DF</t>
        </is>
      </c>
      <c r="F459" t="n">
        <v>21.3</v>
      </c>
      <c r="G459" t="n">
        <v>98</v>
      </c>
      <c r="H459" t="n">
        <v>7</v>
      </c>
      <c r="I459" t="inlineStr">
        <is>
          <t>L</t>
        </is>
      </c>
      <c r="J459" t="inlineStr">
        <is>
          <t>C</t>
        </is>
      </c>
      <c r="K459" t="inlineStr"/>
      <c r="L459" t="inlineStr"/>
      <c r="M459" s="30">
        <f>0.005454*F459^2</f>
        <v/>
      </c>
      <c r="N459" s="31">
        <f>IF(D459="BAF20",20/M459,100)</f>
        <v/>
      </c>
      <c r="O459" s="31">
        <f>M459*N459</f>
        <v/>
      </c>
      <c r="P459" s="32">
        <f>410.6*N459</f>
        <v/>
      </c>
    </row>
    <row r="460">
      <c r="A460" t="inlineStr">
        <is>
          <t>U1-33</t>
        </is>
      </c>
      <c r="B460" t="n">
        <v>1</v>
      </c>
      <c r="C460" t="n">
        <v>7</v>
      </c>
      <c r="D460" t="inlineStr">
        <is>
          <t>BAF20</t>
        </is>
      </c>
      <c r="E460" t="inlineStr">
        <is>
          <t>WF</t>
        </is>
      </c>
      <c r="F460" t="n">
        <v>24.1</v>
      </c>
      <c r="G460" t="n">
        <v>96</v>
      </c>
      <c r="H460" t="n">
        <v>6</v>
      </c>
      <c r="I460" t="inlineStr">
        <is>
          <t>L</t>
        </is>
      </c>
      <c r="J460" t="inlineStr">
        <is>
          <t>C</t>
        </is>
      </c>
      <c r="K460" t="inlineStr"/>
      <c r="L460" t="inlineStr"/>
      <c r="M460" s="30">
        <f>0.005454*F460^2</f>
        <v/>
      </c>
      <c r="N460" s="31">
        <f>IF(D460="BAF20",20/M460,100)</f>
        <v/>
      </c>
      <c r="O460" s="31">
        <f>M460*N460</f>
        <v/>
      </c>
      <c r="P460" s="32">
        <f>547.7*N460</f>
        <v/>
      </c>
    </row>
    <row r="461">
      <c r="A461" t="inlineStr">
        <is>
          <t>U1-33</t>
        </is>
      </c>
      <c r="B461" t="n">
        <v>1</v>
      </c>
      <c r="C461" t="n">
        <v>8</v>
      </c>
      <c r="D461" t="inlineStr">
        <is>
          <t>BAF20</t>
        </is>
      </c>
      <c r="E461" t="inlineStr">
        <is>
          <t>IC</t>
        </is>
      </c>
      <c r="F461" t="n">
        <v>15.3</v>
      </c>
      <c r="G461" t="n">
        <v>63</v>
      </c>
      <c r="H461" t="n">
        <v>1</v>
      </c>
      <c r="I461" t="inlineStr">
        <is>
          <t>L</t>
        </is>
      </c>
      <c r="J461" t="inlineStr">
        <is>
          <t>I</t>
        </is>
      </c>
      <c r="K461" t="inlineStr"/>
      <c r="L461" t="inlineStr"/>
      <c r="M461" s="30">
        <f>0.005454*F461^2</f>
        <v/>
      </c>
      <c r="N461" s="31">
        <f>IF(D461="BAF20",20/M461,100)</f>
        <v/>
      </c>
      <c r="O461" s="31">
        <f>M461*N461</f>
        <v/>
      </c>
      <c r="P461" s="32">
        <f>128.7*N461</f>
        <v/>
      </c>
    </row>
    <row r="462">
      <c r="A462" t="inlineStr">
        <is>
          <t>U1-33</t>
        </is>
      </c>
      <c r="B462" t="n">
        <v>1</v>
      </c>
      <c r="C462" t="n">
        <v>9</v>
      </c>
      <c r="D462" t="inlineStr">
        <is>
          <t>BAF20</t>
        </is>
      </c>
      <c r="E462" t="inlineStr">
        <is>
          <t>WF</t>
        </is>
      </c>
      <c r="F462" t="n">
        <v>17.2</v>
      </c>
      <c r="G462" t="n">
        <v>82</v>
      </c>
      <c r="H462" t="n">
        <v>2</v>
      </c>
      <c r="I462" t="inlineStr">
        <is>
          <t>L</t>
        </is>
      </c>
      <c r="J462" t="inlineStr">
        <is>
          <t>I</t>
        </is>
      </c>
      <c r="K462" t="inlineStr"/>
      <c r="L462" t="inlineStr"/>
      <c r="M462" s="30">
        <f>0.005454*F462^2</f>
        <v/>
      </c>
      <c r="N462" s="31">
        <f>IF(D462="BAF20",20/M462,100)</f>
        <v/>
      </c>
      <c r="O462" s="31">
        <f>M462*N462</f>
        <v/>
      </c>
      <c r="P462" s="32">
        <f>218.0*N462</f>
        <v/>
      </c>
    </row>
    <row r="463">
      <c r="A463" t="inlineStr">
        <is>
          <t>U1-33</t>
        </is>
      </c>
      <c r="B463" t="n">
        <v>1</v>
      </c>
      <c r="C463" t="n">
        <v>10</v>
      </c>
      <c r="D463" t="inlineStr">
        <is>
          <t>BAF20</t>
        </is>
      </c>
      <c r="E463" t="inlineStr">
        <is>
          <t>BO</t>
        </is>
      </c>
      <c r="F463" t="n">
        <v>30.5</v>
      </c>
      <c r="G463" t="n">
        <v>72</v>
      </c>
      <c r="H463" t="n">
        <v>9</v>
      </c>
      <c r="I463" t="inlineStr">
        <is>
          <t>L</t>
        </is>
      </c>
      <c r="J463" t="inlineStr">
        <is>
          <t>D</t>
        </is>
      </c>
      <c r="K463" t="inlineStr"/>
      <c r="L463" t="inlineStr"/>
      <c r="M463" s="30">
        <f>0.005454*F463^2</f>
        <v/>
      </c>
      <c r="N463" s="31">
        <f>IF(D463="BAF20",20/M463,100)</f>
        <v/>
      </c>
      <c r="O463" s="31">
        <f>M463*N463</f>
        <v/>
      </c>
      <c r="P463" s="32">
        <f>641.8*N463</f>
        <v/>
      </c>
    </row>
    <row r="464">
      <c r="A464" t="inlineStr">
        <is>
          <t>U1-33</t>
        </is>
      </c>
      <c r="B464" t="n">
        <v>1</v>
      </c>
      <c r="C464" t="n">
        <v>11</v>
      </c>
      <c r="D464" t="inlineStr">
        <is>
          <t>BAF20</t>
        </is>
      </c>
      <c r="E464" t="inlineStr">
        <is>
          <t>SP</t>
        </is>
      </c>
      <c r="F464" t="n">
        <v>9.800000000000001</v>
      </c>
      <c r="G464" t="n">
        <v>57</v>
      </c>
      <c r="H464" t="n">
        <v>9</v>
      </c>
      <c r="I464" t="inlineStr">
        <is>
          <t>L</t>
        </is>
      </c>
      <c r="J464" t="inlineStr">
        <is>
          <t>S</t>
        </is>
      </c>
      <c r="K464" t="inlineStr"/>
      <c r="L464" t="inlineStr"/>
      <c r="M464" s="30">
        <f>0.005454*F464^2</f>
        <v/>
      </c>
      <c r="N464" s="31">
        <f>IF(D464="BAF20",20/M464,100)</f>
        <v/>
      </c>
      <c r="O464" s="31">
        <f>M464*N464</f>
        <v/>
      </c>
      <c r="P464" s="32">
        <f>0.0*N464</f>
        <v/>
      </c>
    </row>
    <row r="465">
      <c r="A465" t="inlineStr">
        <is>
          <t>U1-33</t>
        </is>
      </c>
      <c r="B465" t="n">
        <v>1</v>
      </c>
      <c r="C465" t="n">
        <v>12</v>
      </c>
      <c r="D465" t="inlineStr">
        <is>
          <t>BAF20</t>
        </is>
      </c>
      <c r="E465" t="inlineStr">
        <is>
          <t>WF</t>
        </is>
      </c>
      <c r="F465" t="n">
        <v>22.4</v>
      </c>
      <c r="G465" t="n">
        <v>103</v>
      </c>
      <c r="H465" t="n">
        <v>21</v>
      </c>
      <c r="I465" t="inlineStr">
        <is>
          <t>L</t>
        </is>
      </c>
      <c r="J465" t="inlineStr">
        <is>
          <t>C</t>
        </is>
      </c>
      <c r="K465" t="inlineStr"/>
      <c r="L465" t="inlineStr"/>
      <c r="M465" s="30">
        <f>0.005454*F465^2</f>
        <v/>
      </c>
      <c r="N465" s="31">
        <f>IF(D465="BAF20",20/M465,100)</f>
        <v/>
      </c>
      <c r="O465" s="31">
        <f>M465*N465</f>
        <v/>
      </c>
      <c r="P465" s="32">
        <f>413.8*N465</f>
        <v/>
      </c>
    </row>
    <row r="466">
      <c r="A466" t="inlineStr">
        <is>
          <t>U1-33</t>
        </is>
      </c>
      <c r="B466" t="n">
        <v>1</v>
      </c>
      <c r="C466" t="n">
        <v>13</v>
      </c>
      <c r="D466" t="inlineStr">
        <is>
          <t>BAF20</t>
        </is>
      </c>
      <c r="E466" t="inlineStr">
        <is>
          <t>BO</t>
        </is>
      </c>
      <c r="F466" t="n">
        <v>7.8</v>
      </c>
      <c r="G466" t="n">
        <v>29</v>
      </c>
      <c r="H466" t="n">
        <v>3</v>
      </c>
      <c r="I466" t="inlineStr">
        <is>
          <t>L</t>
        </is>
      </c>
      <c r="J466" t="inlineStr">
        <is>
          <t>S</t>
        </is>
      </c>
      <c r="K466" t="inlineStr">
        <is>
          <t>Y</t>
        </is>
      </c>
      <c r="L466" t="inlineStr"/>
      <c r="M466" s="30">
        <f>0.005454*F466^2</f>
        <v/>
      </c>
      <c r="N466" s="31">
        <f>IF(D466="BAF20",20/M466,100)</f>
        <v/>
      </c>
      <c r="O466" s="31">
        <f>M466*N466</f>
        <v/>
      </c>
      <c r="P466" s="32">
        <f>0.0*N466</f>
        <v/>
      </c>
    </row>
    <row r="467">
      <c r="A467" t="inlineStr">
        <is>
          <t>U1-33</t>
        </is>
      </c>
      <c r="B467" t="n">
        <v>1</v>
      </c>
      <c r="C467" t="n">
        <v>14</v>
      </c>
      <c r="D467" t="inlineStr">
        <is>
          <t>BAF20</t>
        </is>
      </c>
      <c r="E467" t="inlineStr">
        <is>
          <t>WF</t>
        </is>
      </c>
      <c r="F467" t="n">
        <v>16.1</v>
      </c>
      <c r="G467" t="n">
        <v>77</v>
      </c>
      <c r="H467" t="n">
        <v>7</v>
      </c>
      <c r="I467" t="inlineStr">
        <is>
          <t>L</t>
        </is>
      </c>
      <c r="J467" t="inlineStr">
        <is>
          <t>I</t>
        </is>
      </c>
      <c r="K467" t="inlineStr"/>
      <c r="L467" t="inlineStr"/>
      <c r="M467" s="30">
        <f>0.005454*F467^2</f>
        <v/>
      </c>
      <c r="N467" s="31">
        <f>IF(D467="BAF20",20/M467,100)</f>
        <v/>
      </c>
      <c r="O467" s="31">
        <f>M467*N467</f>
        <v/>
      </c>
      <c r="P467" s="32">
        <f>166.4*N467</f>
        <v/>
      </c>
    </row>
    <row r="468">
      <c r="A468" t="inlineStr">
        <is>
          <t>U1-33</t>
        </is>
      </c>
      <c r="B468" t="n">
        <v>1</v>
      </c>
      <c r="C468" t="n">
        <v>15</v>
      </c>
      <c r="D468" t="inlineStr">
        <is>
          <t>BAF20</t>
        </is>
      </c>
      <c r="E468" t="inlineStr">
        <is>
          <t>IC</t>
        </is>
      </c>
      <c r="F468" t="n">
        <v>5</v>
      </c>
      <c r="G468" t="n">
        <v>20</v>
      </c>
      <c r="H468" t="n">
        <v>7</v>
      </c>
      <c r="I468" t="inlineStr">
        <is>
          <t>L</t>
        </is>
      </c>
      <c r="J468" t="inlineStr">
        <is>
          <t>S</t>
        </is>
      </c>
      <c r="K468" t="inlineStr">
        <is>
          <t>Y</t>
        </is>
      </c>
      <c r="L468" t="inlineStr"/>
      <c r="M468" s="30">
        <f>0.005454*F468^2</f>
        <v/>
      </c>
      <c r="N468" s="31">
        <f>IF(D468="BAF20",20/M468,100)</f>
        <v/>
      </c>
      <c r="O468" s="31">
        <f>M468*N468</f>
        <v/>
      </c>
      <c r="P468" s="32">
        <f>0.0*N468</f>
        <v/>
      </c>
    </row>
    <row r="469">
      <c r="A469" t="inlineStr">
        <is>
          <t>U1-33</t>
        </is>
      </c>
      <c r="B469" t="n">
        <v>1</v>
      </c>
      <c r="C469" t="n">
        <v>16</v>
      </c>
      <c r="D469" t="inlineStr">
        <is>
          <t>BAF20</t>
        </is>
      </c>
      <c r="E469" t="inlineStr">
        <is>
          <t>DF</t>
        </is>
      </c>
      <c r="F469" t="n">
        <v>22.6</v>
      </c>
      <c r="G469" t="n">
        <v>97</v>
      </c>
      <c r="H469" t="n">
        <v>100</v>
      </c>
      <c r="I469" t="inlineStr">
        <is>
          <t>D</t>
        </is>
      </c>
      <c r="J469" t="inlineStr">
        <is>
          <t>C</t>
        </is>
      </c>
      <c r="K469" t="inlineStr"/>
      <c r="L469" t="inlineStr"/>
      <c r="M469" s="30">
        <f>0.005454*F469^2</f>
        <v/>
      </c>
      <c r="N469" s="31">
        <f>IF(D469="BAF20",20/M469,100)</f>
        <v/>
      </c>
      <c r="O469" s="31">
        <f>M469*N469</f>
        <v/>
      </c>
      <c r="P469" s="32">
        <f>0.0*N469</f>
        <v/>
      </c>
    </row>
    <row r="470">
      <c r="A470" t="inlineStr">
        <is>
          <t>U1-33</t>
        </is>
      </c>
      <c r="B470" t="n">
        <v>1</v>
      </c>
      <c r="C470" t="n">
        <v>17</v>
      </c>
      <c r="D470" t="inlineStr">
        <is>
          <t>BAF20</t>
        </is>
      </c>
      <c r="E470" t="inlineStr">
        <is>
          <t>DF</t>
        </is>
      </c>
      <c r="F470" t="n">
        <v>17.9</v>
      </c>
      <c r="G470" t="n">
        <v>83</v>
      </c>
      <c r="H470" t="n">
        <v>3</v>
      </c>
      <c r="I470" t="inlineStr">
        <is>
          <t>L</t>
        </is>
      </c>
      <c r="J470" t="inlineStr">
        <is>
          <t>I</t>
        </is>
      </c>
      <c r="K470" t="inlineStr"/>
      <c r="L470" t="inlineStr"/>
      <c r="M470" s="30">
        <f>0.005454*F470^2</f>
        <v/>
      </c>
      <c r="N470" s="31">
        <f>IF(D470="BAF20",20/M470,100)</f>
        <v/>
      </c>
      <c r="O470" s="31">
        <f>M470*N470</f>
        <v/>
      </c>
      <c r="P470" s="32">
        <f>239.9*N470</f>
        <v/>
      </c>
    </row>
    <row r="471">
      <c r="A471" t="inlineStr">
        <is>
          <t>U1-33</t>
        </is>
      </c>
      <c r="B471" t="n">
        <v>1</v>
      </c>
      <c r="C471" t="n">
        <v>18</v>
      </c>
      <c r="D471" t="inlineStr">
        <is>
          <t>BAF20</t>
        </is>
      </c>
      <c r="E471" t="inlineStr">
        <is>
          <t>PP</t>
        </is>
      </c>
      <c r="F471" t="n">
        <v>8.300000000000001</v>
      </c>
      <c r="G471" t="n">
        <v>47</v>
      </c>
      <c r="H471" t="n">
        <v>3</v>
      </c>
      <c r="I471" t="inlineStr">
        <is>
          <t>L</t>
        </is>
      </c>
      <c r="J471" t="inlineStr">
        <is>
          <t>S</t>
        </is>
      </c>
      <c r="K471" t="inlineStr">
        <is>
          <t>Y</t>
        </is>
      </c>
      <c r="L471" t="inlineStr"/>
      <c r="M471" s="30">
        <f>0.005454*F471^2</f>
        <v/>
      </c>
      <c r="N471" s="31">
        <f>IF(D471="BAF20",20/M471,100)</f>
        <v/>
      </c>
      <c r="O471" s="31">
        <f>M471*N471</f>
        <v/>
      </c>
      <c r="P471" s="32">
        <f>0.0*N471</f>
        <v/>
      </c>
    </row>
    <row r="472">
      <c r="A472" t="inlineStr">
        <is>
          <t>U1-33</t>
        </is>
      </c>
      <c r="B472" t="n">
        <v>1</v>
      </c>
      <c r="C472" t="n">
        <v>19</v>
      </c>
      <c r="D472" t="inlineStr">
        <is>
          <t>BAF20</t>
        </is>
      </c>
      <c r="E472" t="inlineStr">
        <is>
          <t>PP</t>
        </is>
      </c>
      <c r="F472" t="n">
        <v>19.8</v>
      </c>
      <c r="G472" t="n">
        <v>94</v>
      </c>
      <c r="H472" t="n">
        <v>100</v>
      </c>
      <c r="I472" t="inlineStr">
        <is>
          <t>D</t>
        </is>
      </c>
      <c r="J472" t="inlineStr">
        <is>
          <t>C</t>
        </is>
      </c>
      <c r="K472" t="inlineStr"/>
      <c r="L472" t="inlineStr"/>
      <c r="M472" s="30">
        <f>0.005454*F472^2</f>
        <v/>
      </c>
      <c r="N472" s="31">
        <f>IF(D472="BAF20",20/M472,100)</f>
        <v/>
      </c>
      <c r="O472" s="31">
        <f>M472*N472</f>
        <v/>
      </c>
      <c r="P472" s="32">
        <f>0.0*N472</f>
        <v/>
      </c>
    </row>
    <row r="473">
      <c r="A473" t="inlineStr">
        <is>
          <t>U1-33</t>
        </is>
      </c>
      <c r="B473" t="n">
        <v>1</v>
      </c>
      <c r="C473" t="n">
        <v>20</v>
      </c>
      <c r="D473" t="inlineStr">
        <is>
          <t>BAF20</t>
        </is>
      </c>
      <c r="E473" t="inlineStr">
        <is>
          <t>PP</t>
        </is>
      </c>
      <c r="F473" t="n">
        <v>34.5</v>
      </c>
      <c r="G473" t="n">
        <v>135</v>
      </c>
      <c r="H473" t="n">
        <v>1</v>
      </c>
      <c r="I473" t="inlineStr">
        <is>
          <t>L</t>
        </is>
      </c>
      <c r="J473" t="inlineStr">
        <is>
          <t>D</t>
        </is>
      </c>
      <c r="K473" t="inlineStr"/>
      <c r="L473" t="inlineStr"/>
      <c r="M473" s="30">
        <f>0.005454*F473^2</f>
        <v/>
      </c>
      <c r="N473" s="31">
        <f>IF(D473="BAF20",20/M473,100)</f>
        <v/>
      </c>
      <c r="O473" s="31">
        <f>M473*N473</f>
        <v/>
      </c>
      <c r="P473" s="32">
        <f>1969.4*N473</f>
        <v/>
      </c>
    </row>
    <row r="474">
      <c r="A474" t="inlineStr">
        <is>
          <t>U1-33</t>
        </is>
      </c>
      <c r="B474" t="n">
        <v>1</v>
      </c>
      <c r="C474" t="n">
        <v>21</v>
      </c>
      <c r="D474" t="inlineStr">
        <is>
          <t>BAF20</t>
        </is>
      </c>
      <c r="E474" t="inlineStr">
        <is>
          <t>PP</t>
        </is>
      </c>
      <c r="F474" t="n">
        <v>25.6</v>
      </c>
      <c r="G474" t="n">
        <v>105</v>
      </c>
      <c r="H474" t="n">
        <v>1</v>
      </c>
      <c r="I474" t="inlineStr">
        <is>
          <t>L</t>
        </is>
      </c>
      <c r="J474" t="inlineStr">
        <is>
          <t>D</t>
        </is>
      </c>
      <c r="K474" t="inlineStr"/>
      <c r="L474" t="inlineStr"/>
      <c r="M474" s="30">
        <f>0.005454*F474^2</f>
        <v/>
      </c>
      <c r="N474" s="31">
        <f>IF(D474="BAF20",20/M474,100)</f>
        <v/>
      </c>
      <c r="O474" s="31">
        <f>M474*N474</f>
        <v/>
      </c>
      <c r="P474" s="32">
        <f>730.9*N474</f>
        <v/>
      </c>
    </row>
    <row r="475">
      <c r="A475" t="inlineStr">
        <is>
          <t>U1-33</t>
        </is>
      </c>
      <c r="B475" t="n">
        <v>1</v>
      </c>
      <c r="C475" t="n">
        <v>22</v>
      </c>
      <c r="D475" t="inlineStr">
        <is>
          <t>BAF20</t>
        </is>
      </c>
      <c r="E475" t="inlineStr">
        <is>
          <t>BO</t>
        </is>
      </c>
      <c r="F475" t="n">
        <v>18.2</v>
      </c>
      <c r="G475" t="n">
        <v>46</v>
      </c>
      <c r="H475" t="n">
        <v>15</v>
      </c>
      <c r="I475" t="inlineStr">
        <is>
          <t>L</t>
        </is>
      </c>
      <c r="J475" t="inlineStr">
        <is>
          <t>I</t>
        </is>
      </c>
      <c r="K475" t="inlineStr"/>
      <c r="L475" t="inlineStr"/>
      <c r="M475" s="30">
        <f>0.005454*F475^2</f>
        <v/>
      </c>
      <c r="N475" s="31">
        <f>IF(D475="BAF20",20/M475,100)</f>
        <v/>
      </c>
      <c r="O475" s="31">
        <f>M475*N475</f>
        <v/>
      </c>
      <c r="P475" s="32">
        <f>109.6*N475</f>
        <v/>
      </c>
    </row>
    <row r="476">
      <c r="A476" t="inlineStr">
        <is>
          <t>U1-33</t>
        </is>
      </c>
      <c r="B476" t="n">
        <v>1</v>
      </c>
      <c r="C476" t="n">
        <v>23</v>
      </c>
      <c r="D476" t="inlineStr">
        <is>
          <t>BAF20</t>
        </is>
      </c>
      <c r="E476" t="inlineStr">
        <is>
          <t>BO</t>
        </is>
      </c>
      <c r="F476" t="n">
        <v>5</v>
      </c>
      <c r="G476" t="n">
        <v>23</v>
      </c>
      <c r="H476" t="n">
        <v>16</v>
      </c>
      <c r="I476" t="inlineStr">
        <is>
          <t>L</t>
        </is>
      </c>
      <c r="J476" t="inlineStr">
        <is>
          <t>S</t>
        </is>
      </c>
      <c r="K476" t="inlineStr">
        <is>
          <t>Y</t>
        </is>
      </c>
      <c r="L476" t="inlineStr"/>
      <c r="M476" s="30">
        <f>0.005454*F476^2</f>
        <v/>
      </c>
      <c r="N476" s="31">
        <f>IF(D476="BAF20",20/M476,100)</f>
        <v/>
      </c>
      <c r="O476" s="31">
        <f>M476*N476</f>
        <v/>
      </c>
      <c r="P476" s="32">
        <f>0.0*N476</f>
        <v/>
      </c>
    </row>
    <row r="477">
      <c r="A477" t="inlineStr">
        <is>
          <t>U1-33</t>
        </is>
      </c>
      <c r="B477" t="n">
        <v>1</v>
      </c>
      <c r="C477" t="n">
        <v>24</v>
      </c>
      <c r="D477" t="inlineStr">
        <is>
          <t>BAF20</t>
        </is>
      </c>
      <c r="E477" t="inlineStr">
        <is>
          <t>PP</t>
        </is>
      </c>
      <c r="F477" t="n">
        <v>5.5</v>
      </c>
      <c r="G477" t="n">
        <v>30</v>
      </c>
      <c r="H477" t="n">
        <v>2</v>
      </c>
      <c r="I477" t="inlineStr">
        <is>
          <t>L</t>
        </is>
      </c>
      <c r="J477" t="inlineStr">
        <is>
          <t>S</t>
        </is>
      </c>
      <c r="K477" t="inlineStr">
        <is>
          <t>Y</t>
        </is>
      </c>
      <c r="L477" t="inlineStr"/>
      <c r="M477" s="30">
        <f>0.005454*F477^2</f>
        <v/>
      </c>
      <c r="N477" s="31">
        <f>IF(D477="BAF20",20/M477,100)</f>
        <v/>
      </c>
      <c r="O477" s="31">
        <f>M477*N477</f>
        <v/>
      </c>
      <c r="P477" s="32">
        <f>0.0*N477</f>
        <v/>
      </c>
    </row>
    <row r="478">
      <c r="A478" t="inlineStr">
        <is>
          <t>U1-33</t>
        </is>
      </c>
      <c r="B478" t="n">
        <v>1</v>
      </c>
      <c r="C478" t="n">
        <v>25</v>
      </c>
      <c r="D478" t="inlineStr">
        <is>
          <t>FIX100</t>
        </is>
      </c>
      <c r="E478" t="inlineStr">
        <is>
          <t>DF</t>
        </is>
      </c>
      <c r="F478" t="n">
        <v>4</v>
      </c>
      <c r="G478" t="n">
        <v>26</v>
      </c>
      <c r="H478" t="n">
        <v>0</v>
      </c>
      <c r="I478" t="inlineStr">
        <is>
          <t>L</t>
        </is>
      </c>
      <c r="J478" t="inlineStr">
        <is>
          <t>S</t>
        </is>
      </c>
      <c r="K478" t="inlineStr"/>
      <c r="L478" t="inlineStr"/>
      <c r="M478" s="30">
        <f>0.005454*F478^2</f>
        <v/>
      </c>
      <c r="N478" s="31">
        <f>IF(D478="BAF20",20/M478,100)</f>
        <v/>
      </c>
      <c r="O478" s="31">
        <f>M478*N478</f>
        <v/>
      </c>
      <c r="P478" s="32">
        <f>0.0*N478</f>
        <v/>
      </c>
    </row>
    <row r="479">
      <c r="A479" t="inlineStr">
        <is>
          <t>U1-33</t>
        </is>
      </c>
      <c r="B479" t="n">
        <v>1</v>
      </c>
      <c r="C479" t="n">
        <v>26</v>
      </c>
      <c r="D479" t="inlineStr">
        <is>
          <t>FIX100</t>
        </is>
      </c>
      <c r="E479" t="inlineStr">
        <is>
          <t>IC</t>
        </is>
      </c>
      <c r="F479" t="n">
        <v>1.3</v>
      </c>
      <c r="G479" t="n">
        <v>8</v>
      </c>
      <c r="H479" t="n">
        <v>0</v>
      </c>
      <c r="I479" t="inlineStr">
        <is>
          <t>L</t>
        </is>
      </c>
      <c r="J479" t="inlineStr">
        <is>
          <t>S</t>
        </is>
      </c>
      <c r="K479" t="inlineStr"/>
      <c r="L479" t="inlineStr"/>
      <c r="M479" s="30">
        <f>0.005454*F479^2</f>
        <v/>
      </c>
      <c r="N479" s="31">
        <f>IF(D479="BAF20",20/M479,100)</f>
        <v/>
      </c>
      <c r="O479" s="31">
        <f>M479*N479</f>
        <v/>
      </c>
      <c r="P479" s="32">
        <f>0.0*N479</f>
        <v/>
      </c>
    </row>
    <row r="480">
      <c r="A480" t="inlineStr">
        <is>
          <t>U1-34</t>
        </is>
      </c>
      <c r="B480" t="n">
        <v>1</v>
      </c>
      <c r="C480" t="n">
        <v>1</v>
      </c>
      <c r="D480" t="inlineStr">
        <is>
          <t>BAF20</t>
        </is>
      </c>
      <c r="E480" t="inlineStr">
        <is>
          <t>PP</t>
        </is>
      </c>
      <c r="F480" t="n">
        <v>9.199999999999999</v>
      </c>
      <c r="G480" t="n">
        <v>44</v>
      </c>
      <c r="H480" t="n">
        <v>8</v>
      </c>
      <c r="I480" t="inlineStr">
        <is>
          <t>L</t>
        </is>
      </c>
      <c r="J480" t="inlineStr">
        <is>
          <t>S</t>
        </is>
      </c>
      <c r="K480" t="inlineStr">
        <is>
          <t>Y</t>
        </is>
      </c>
      <c r="L480" t="inlineStr"/>
      <c r="M480" s="30">
        <f>0.005454*F480^2</f>
        <v/>
      </c>
      <c r="N480" s="31">
        <f>IF(D480="BAF20",20/M480,100)</f>
        <v/>
      </c>
      <c r="O480" s="31">
        <f>M480*N480</f>
        <v/>
      </c>
      <c r="P480" s="32">
        <f>0.0*N480</f>
        <v/>
      </c>
    </row>
    <row r="481">
      <c r="A481" t="inlineStr">
        <is>
          <t>U1-34</t>
        </is>
      </c>
      <c r="B481" t="n">
        <v>1</v>
      </c>
      <c r="C481" t="n">
        <v>2</v>
      </c>
      <c r="D481" t="inlineStr">
        <is>
          <t>BAF20</t>
        </is>
      </c>
      <c r="E481" t="inlineStr">
        <is>
          <t>SP</t>
        </is>
      </c>
      <c r="F481" t="n">
        <v>13.5</v>
      </c>
      <c r="G481" t="n">
        <v>63</v>
      </c>
      <c r="H481" t="n">
        <v>2</v>
      </c>
      <c r="I481" t="inlineStr">
        <is>
          <t>L</t>
        </is>
      </c>
      <c r="J481" t="inlineStr">
        <is>
          <t>I</t>
        </is>
      </c>
      <c r="K481" t="inlineStr"/>
      <c r="L481" t="inlineStr"/>
      <c r="M481" s="30">
        <f>0.005454*F481^2</f>
        <v/>
      </c>
      <c r="N481" s="31">
        <f>IF(D481="BAF20",20/M481,100)</f>
        <v/>
      </c>
      <c r="O481" s="31">
        <f>M481*N481</f>
        <v/>
      </c>
      <c r="P481" s="32">
        <f>95.5*N481</f>
        <v/>
      </c>
    </row>
    <row r="482">
      <c r="A482" t="inlineStr">
        <is>
          <t>U1-34</t>
        </is>
      </c>
      <c r="B482" t="n">
        <v>1</v>
      </c>
      <c r="C482" t="n">
        <v>3</v>
      </c>
      <c r="D482" t="inlineStr">
        <is>
          <t>BAF20</t>
        </is>
      </c>
      <c r="E482" t="inlineStr">
        <is>
          <t>DF</t>
        </is>
      </c>
      <c r="F482" t="n">
        <v>12.5</v>
      </c>
      <c r="G482" t="n">
        <v>63</v>
      </c>
      <c r="H482" t="n">
        <v>4</v>
      </c>
      <c r="I482" t="inlineStr">
        <is>
          <t>L</t>
        </is>
      </c>
      <c r="J482" t="inlineStr">
        <is>
          <t>S</t>
        </is>
      </c>
      <c r="K482" t="inlineStr">
        <is>
          <t>Y</t>
        </is>
      </c>
      <c r="L482" t="inlineStr"/>
      <c r="M482" s="30">
        <f>0.005454*F482^2</f>
        <v/>
      </c>
      <c r="N482" s="31">
        <f>IF(D482="BAF20",20/M482,100)</f>
        <v/>
      </c>
      <c r="O482" s="31">
        <f>M482*N482</f>
        <v/>
      </c>
      <c r="P482" s="32">
        <f>78.4*N482</f>
        <v/>
      </c>
    </row>
    <row r="483">
      <c r="A483" t="inlineStr">
        <is>
          <t>U1-34</t>
        </is>
      </c>
      <c r="B483" t="n">
        <v>1</v>
      </c>
      <c r="C483" t="n">
        <v>4</v>
      </c>
      <c r="D483" t="inlineStr">
        <is>
          <t>BAF20</t>
        </is>
      </c>
      <c r="E483" t="inlineStr">
        <is>
          <t>PP</t>
        </is>
      </c>
      <c r="F483" t="n">
        <v>22.1</v>
      </c>
      <c r="G483" t="n">
        <v>101</v>
      </c>
      <c r="H483" t="n">
        <v>7</v>
      </c>
      <c r="I483" t="inlineStr">
        <is>
          <t>L</t>
        </is>
      </c>
      <c r="J483" t="inlineStr">
        <is>
          <t>C</t>
        </is>
      </c>
      <c r="K483" t="inlineStr"/>
      <c r="L483" t="inlineStr"/>
      <c r="M483" s="30">
        <f>0.005454*F483^2</f>
        <v/>
      </c>
      <c r="N483" s="31">
        <f>IF(D483="BAF20",20/M483,100)</f>
        <v/>
      </c>
      <c r="O483" s="31">
        <f>M483*N483</f>
        <v/>
      </c>
      <c r="P483" s="32">
        <f>462.4*N483</f>
        <v/>
      </c>
    </row>
    <row r="484">
      <c r="A484" t="inlineStr">
        <is>
          <t>U1-34</t>
        </is>
      </c>
      <c r="B484" t="n">
        <v>1</v>
      </c>
      <c r="C484" t="n">
        <v>5</v>
      </c>
      <c r="D484" t="inlineStr">
        <is>
          <t>BAF20</t>
        </is>
      </c>
      <c r="E484" t="inlineStr">
        <is>
          <t>BO</t>
        </is>
      </c>
      <c r="F484" t="n">
        <v>15.8</v>
      </c>
      <c r="G484" t="n">
        <v>50</v>
      </c>
      <c r="H484" t="n">
        <v>7</v>
      </c>
      <c r="I484" t="inlineStr">
        <is>
          <t>L</t>
        </is>
      </c>
      <c r="J484" t="inlineStr">
        <is>
          <t>I</t>
        </is>
      </c>
      <c r="K484" t="inlineStr"/>
      <c r="L484" t="inlineStr"/>
      <c r="M484" s="30">
        <f>0.005454*F484^2</f>
        <v/>
      </c>
      <c r="N484" s="31">
        <f>IF(D484="BAF20",20/M484,100)</f>
        <v/>
      </c>
      <c r="O484" s="31">
        <f>M484*N484</f>
        <v/>
      </c>
      <c r="P484" s="32">
        <f>93.6*N484</f>
        <v/>
      </c>
    </row>
    <row r="485">
      <c r="A485" t="inlineStr">
        <is>
          <t>U1-34</t>
        </is>
      </c>
      <c r="B485" t="n">
        <v>1</v>
      </c>
      <c r="C485" t="n">
        <v>6</v>
      </c>
      <c r="D485" t="inlineStr">
        <is>
          <t>BAF20</t>
        </is>
      </c>
      <c r="E485" t="inlineStr">
        <is>
          <t>PP</t>
        </is>
      </c>
      <c r="F485" t="n">
        <v>14.5</v>
      </c>
      <c r="G485" t="n">
        <v>60</v>
      </c>
      <c r="H485" t="n">
        <v>1</v>
      </c>
      <c r="I485" t="inlineStr">
        <is>
          <t>L</t>
        </is>
      </c>
      <c r="J485" t="inlineStr">
        <is>
          <t>I</t>
        </is>
      </c>
      <c r="K485" t="inlineStr"/>
      <c r="L485" t="inlineStr"/>
      <c r="M485" s="30">
        <f>0.005454*F485^2</f>
        <v/>
      </c>
      <c r="N485" s="31">
        <f>IF(D485="BAF20",20/M485,100)</f>
        <v/>
      </c>
      <c r="O485" s="31">
        <f>M485*N485</f>
        <v/>
      </c>
      <c r="P485" s="32">
        <f>108.3*N485</f>
        <v/>
      </c>
    </row>
    <row r="486">
      <c r="A486" t="inlineStr">
        <is>
          <t>U1-34</t>
        </is>
      </c>
      <c r="B486" t="n">
        <v>1</v>
      </c>
      <c r="C486" t="n">
        <v>7</v>
      </c>
      <c r="D486" t="inlineStr">
        <is>
          <t>BAF20</t>
        </is>
      </c>
      <c r="E486" t="inlineStr">
        <is>
          <t>SP</t>
        </is>
      </c>
      <c r="F486" t="n">
        <v>35.2</v>
      </c>
      <c r="G486" t="n">
        <v>141</v>
      </c>
      <c r="H486" t="n">
        <v>15</v>
      </c>
      <c r="I486" t="inlineStr">
        <is>
          <t>L</t>
        </is>
      </c>
      <c r="J486" t="inlineStr">
        <is>
          <t>D</t>
        </is>
      </c>
      <c r="K486" t="inlineStr"/>
      <c r="L486" t="inlineStr">
        <is>
          <t>Y</t>
        </is>
      </c>
      <c r="M486" s="30">
        <f>0.005454*F486^2</f>
        <v/>
      </c>
      <c r="N486" s="31">
        <f>IF(D486="BAF20",20/M486,100)</f>
        <v/>
      </c>
      <c r="O486" s="31">
        <f>M486*N486</f>
        <v/>
      </c>
      <c r="P486" s="32">
        <f>1857.7*N486</f>
        <v/>
      </c>
    </row>
    <row r="487">
      <c r="A487" t="inlineStr">
        <is>
          <t>U1-34</t>
        </is>
      </c>
      <c r="B487" t="n">
        <v>1</v>
      </c>
      <c r="C487" t="n">
        <v>8</v>
      </c>
      <c r="D487" t="inlineStr">
        <is>
          <t>BAF20</t>
        </is>
      </c>
      <c r="E487" t="inlineStr">
        <is>
          <t>DF</t>
        </is>
      </c>
      <c r="F487" t="n">
        <v>16.1</v>
      </c>
      <c r="G487" t="n">
        <v>75</v>
      </c>
      <c r="H487" t="n">
        <v>0</v>
      </c>
      <c r="I487" t="inlineStr">
        <is>
          <t>L</t>
        </is>
      </c>
      <c r="J487" t="inlineStr">
        <is>
          <t>I</t>
        </is>
      </c>
      <c r="K487" t="inlineStr"/>
      <c r="L487" t="inlineStr"/>
      <c r="M487" s="30">
        <f>0.005454*F487^2</f>
        <v/>
      </c>
      <c r="N487" s="31">
        <f>IF(D487="BAF20",20/M487,100)</f>
        <v/>
      </c>
      <c r="O487" s="31">
        <f>M487*N487</f>
        <v/>
      </c>
      <c r="P487" s="32">
        <f>174.3*N487</f>
        <v/>
      </c>
    </row>
    <row r="488">
      <c r="A488" t="inlineStr">
        <is>
          <t>U1-34</t>
        </is>
      </c>
      <c r="B488" t="n">
        <v>1</v>
      </c>
      <c r="C488" t="n">
        <v>9</v>
      </c>
      <c r="D488" t="inlineStr">
        <is>
          <t>BAF20</t>
        </is>
      </c>
      <c r="E488" t="inlineStr">
        <is>
          <t>BO</t>
        </is>
      </c>
      <c r="F488" t="n">
        <v>23.8</v>
      </c>
      <c r="G488" t="n">
        <v>64</v>
      </c>
      <c r="H488" t="n">
        <v>6</v>
      </c>
      <c r="I488" t="inlineStr">
        <is>
          <t>L</t>
        </is>
      </c>
      <c r="J488" t="inlineStr">
        <is>
          <t>C</t>
        </is>
      </c>
      <c r="K488" t="inlineStr"/>
      <c r="L488" t="inlineStr"/>
      <c r="M488" s="30">
        <f>0.005454*F488^2</f>
        <v/>
      </c>
      <c r="N488" s="31">
        <f>IF(D488="BAF20",20/M488,100)</f>
        <v/>
      </c>
      <c r="O488" s="31">
        <f>M488*N488</f>
        <v/>
      </c>
      <c r="P488" s="32">
        <f>320.5*N488</f>
        <v/>
      </c>
    </row>
    <row r="489">
      <c r="A489" t="inlineStr">
        <is>
          <t>U1-34</t>
        </is>
      </c>
      <c r="B489" t="n">
        <v>1</v>
      </c>
      <c r="C489" t="n">
        <v>10</v>
      </c>
      <c r="D489" t="inlineStr">
        <is>
          <t>BAF20</t>
        </is>
      </c>
      <c r="E489" t="inlineStr">
        <is>
          <t>PP</t>
        </is>
      </c>
      <c r="F489" t="n">
        <v>21.1</v>
      </c>
      <c r="G489" t="n">
        <v>87</v>
      </c>
      <c r="H489" t="n">
        <v>2</v>
      </c>
      <c r="I489" t="inlineStr">
        <is>
          <t>L</t>
        </is>
      </c>
      <c r="J489" t="inlineStr">
        <is>
          <t>C</t>
        </is>
      </c>
      <c r="K489" t="inlineStr"/>
      <c r="L489" t="inlineStr"/>
      <c r="M489" s="30">
        <f>0.005454*F489^2</f>
        <v/>
      </c>
      <c r="N489" s="31">
        <f>IF(D489="BAF20",20/M489,100)</f>
        <v/>
      </c>
      <c r="O489" s="31">
        <f>M489*N489</f>
        <v/>
      </c>
      <c r="P489" s="32">
        <f>375.6*N489</f>
        <v/>
      </c>
    </row>
    <row r="490">
      <c r="A490" t="inlineStr">
        <is>
          <t>U1-34</t>
        </is>
      </c>
      <c r="B490" t="n">
        <v>1</v>
      </c>
      <c r="C490" t="n">
        <v>11</v>
      </c>
      <c r="D490" t="inlineStr">
        <is>
          <t>BAF20</t>
        </is>
      </c>
      <c r="E490" t="inlineStr">
        <is>
          <t>DF</t>
        </is>
      </c>
      <c r="F490" t="n">
        <v>19.2</v>
      </c>
      <c r="G490" t="n">
        <v>84</v>
      </c>
      <c r="H490" t="n">
        <v>4</v>
      </c>
      <c r="I490" t="inlineStr">
        <is>
          <t>L</t>
        </is>
      </c>
      <c r="J490" t="inlineStr">
        <is>
          <t>C</t>
        </is>
      </c>
      <c r="K490" t="inlineStr"/>
      <c r="L490" t="inlineStr"/>
      <c r="M490" s="30">
        <f>0.005454*F490^2</f>
        <v/>
      </c>
      <c r="N490" s="31">
        <f>IF(D490="BAF20",20/M490,100)</f>
        <v/>
      </c>
      <c r="O490" s="31">
        <f>M490*N490</f>
        <v/>
      </c>
      <c r="P490" s="32">
        <f>283.6*N490</f>
        <v/>
      </c>
    </row>
    <row r="491">
      <c r="A491" t="inlineStr">
        <is>
          <t>U1-34</t>
        </is>
      </c>
      <c r="B491" t="n">
        <v>1</v>
      </c>
      <c r="C491" t="n">
        <v>12</v>
      </c>
      <c r="D491" t="inlineStr">
        <is>
          <t>BAF20</t>
        </is>
      </c>
      <c r="E491" t="inlineStr">
        <is>
          <t>PP</t>
        </is>
      </c>
      <c r="F491" t="n">
        <v>29.1</v>
      </c>
      <c r="G491" t="n">
        <v>106</v>
      </c>
      <c r="H491" t="n">
        <v>1</v>
      </c>
      <c r="I491" t="inlineStr">
        <is>
          <t>L</t>
        </is>
      </c>
      <c r="J491" t="inlineStr">
        <is>
          <t>D</t>
        </is>
      </c>
      <c r="K491" t="inlineStr"/>
      <c r="L491" t="inlineStr"/>
      <c r="M491" s="30">
        <f>0.005454*F491^2</f>
        <v/>
      </c>
      <c r="N491" s="31">
        <f>IF(D491="BAF20",20/M491,100)</f>
        <v/>
      </c>
      <c r="O491" s="31">
        <f>M491*N491</f>
        <v/>
      </c>
      <c r="P491" s="32">
        <f>1011.1*N491</f>
        <v/>
      </c>
    </row>
    <row r="492">
      <c r="A492" t="inlineStr">
        <is>
          <t>U1-34</t>
        </is>
      </c>
      <c r="B492" t="n">
        <v>1</v>
      </c>
      <c r="C492" t="n">
        <v>13</v>
      </c>
      <c r="D492" t="inlineStr">
        <is>
          <t>BAF20</t>
        </is>
      </c>
      <c r="E492" t="inlineStr">
        <is>
          <t>IC</t>
        </is>
      </c>
      <c r="F492" t="n">
        <v>13.9</v>
      </c>
      <c r="G492" t="n">
        <v>60</v>
      </c>
      <c r="H492" t="n">
        <v>6</v>
      </c>
      <c r="I492" t="inlineStr">
        <is>
          <t>L</t>
        </is>
      </c>
      <c r="J492" t="inlineStr">
        <is>
          <t>I</t>
        </is>
      </c>
      <c r="K492" t="inlineStr">
        <is>
          <t>Y</t>
        </is>
      </c>
      <c r="L492" t="inlineStr"/>
      <c r="M492" s="30">
        <f>0.005454*F492^2</f>
        <v/>
      </c>
      <c r="N492" s="31">
        <f>IF(D492="BAF20",20/M492,100)</f>
        <v/>
      </c>
      <c r="O492" s="31">
        <f>M492*N492</f>
        <v/>
      </c>
      <c r="P492" s="32">
        <f>93.3*N492</f>
        <v/>
      </c>
    </row>
    <row r="493">
      <c r="A493" t="inlineStr">
        <is>
          <t>U1-34</t>
        </is>
      </c>
      <c r="B493" t="n">
        <v>1</v>
      </c>
      <c r="C493" t="n">
        <v>14</v>
      </c>
      <c r="D493" t="inlineStr">
        <is>
          <t>BAF20</t>
        </is>
      </c>
      <c r="E493" t="inlineStr">
        <is>
          <t>IC</t>
        </is>
      </c>
      <c r="F493" t="n">
        <v>19.9</v>
      </c>
      <c r="G493" t="n">
        <v>72</v>
      </c>
      <c r="H493" t="n">
        <v>1</v>
      </c>
      <c r="I493" t="inlineStr">
        <is>
          <t>L</t>
        </is>
      </c>
      <c r="J493" t="inlineStr">
        <is>
          <t>C</t>
        </is>
      </c>
      <c r="K493" t="inlineStr"/>
      <c r="L493" t="inlineStr"/>
      <c r="M493" s="30">
        <f>0.005454*F493^2</f>
        <v/>
      </c>
      <c r="N493" s="31">
        <f>IF(D493="BAF20",20/M493,100)</f>
        <v/>
      </c>
      <c r="O493" s="31">
        <f>M493*N493</f>
        <v/>
      </c>
      <c r="P493" s="32">
        <f>273.0*N493</f>
        <v/>
      </c>
    </row>
    <row r="494">
      <c r="A494" t="inlineStr">
        <is>
          <t>U1-34</t>
        </is>
      </c>
      <c r="B494" t="n">
        <v>1</v>
      </c>
      <c r="C494" t="n">
        <v>15</v>
      </c>
      <c r="D494" t="inlineStr">
        <is>
          <t>BAF20</t>
        </is>
      </c>
      <c r="E494" t="inlineStr">
        <is>
          <t>IC</t>
        </is>
      </c>
      <c r="F494" t="n">
        <v>20.2</v>
      </c>
      <c r="G494" t="n">
        <v>73</v>
      </c>
      <c r="H494" t="n">
        <v>8</v>
      </c>
      <c r="I494" t="inlineStr">
        <is>
          <t>L</t>
        </is>
      </c>
      <c r="J494" t="inlineStr">
        <is>
          <t>C</t>
        </is>
      </c>
      <c r="K494" t="inlineStr"/>
      <c r="L494" t="inlineStr"/>
      <c r="M494" s="30">
        <f>0.005454*F494^2</f>
        <v/>
      </c>
      <c r="N494" s="31">
        <f>IF(D494="BAF20",20/M494,100)</f>
        <v/>
      </c>
      <c r="O494" s="31">
        <f>M494*N494</f>
        <v/>
      </c>
      <c r="P494" s="32">
        <f>266.5*N494</f>
        <v/>
      </c>
    </row>
    <row r="495">
      <c r="A495" t="inlineStr">
        <is>
          <t>U1-34</t>
        </is>
      </c>
      <c r="B495" t="n">
        <v>1</v>
      </c>
      <c r="C495" t="n">
        <v>16</v>
      </c>
      <c r="D495" t="inlineStr">
        <is>
          <t>BAF20</t>
        </is>
      </c>
      <c r="E495" t="inlineStr">
        <is>
          <t>IC</t>
        </is>
      </c>
      <c r="F495" t="n">
        <v>12.1</v>
      </c>
      <c r="G495" t="n">
        <v>50</v>
      </c>
      <c r="H495" t="n">
        <v>9</v>
      </c>
      <c r="I495" t="inlineStr">
        <is>
          <t>L</t>
        </is>
      </c>
      <c r="J495" t="inlineStr">
        <is>
          <t>S</t>
        </is>
      </c>
      <c r="K495" t="inlineStr">
        <is>
          <t>Y</t>
        </is>
      </c>
      <c r="L495" t="inlineStr"/>
      <c r="M495" s="30">
        <f>0.005454*F495^2</f>
        <v/>
      </c>
      <c r="N495" s="31">
        <f>IF(D495="BAF20",20/M495,100)</f>
        <v/>
      </c>
      <c r="O495" s="31">
        <f>M495*N495</f>
        <v/>
      </c>
      <c r="P495" s="32">
        <f>54.8*N495</f>
        <v/>
      </c>
    </row>
    <row r="496">
      <c r="A496" t="inlineStr">
        <is>
          <t>U1-34</t>
        </is>
      </c>
      <c r="B496" t="n">
        <v>1</v>
      </c>
      <c r="C496" t="n">
        <v>17</v>
      </c>
      <c r="D496" t="inlineStr">
        <is>
          <t>BAF20</t>
        </is>
      </c>
      <c r="E496" t="inlineStr">
        <is>
          <t>WF</t>
        </is>
      </c>
      <c r="F496" t="n">
        <v>22</v>
      </c>
      <c r="G496" t="n">
        <v>106</v>
      </c>
      <c r="H496" t="n">
        <v>3</v>
      </c>
      <c r="I496" t="inlineStr">
        <is>
          <t>L</t>
        </is>
      </c>
      <c r="J496" t="inlineStr">
        <is>
          <t>C</t>
        </is>
      </c>
      <c r="K496" t="inlineStr"/>
      <c r="L496" t="inlineStr"/>
      <c r="M496" s="30">
        <f>0.005454*F496^2</f>
        <v/>
      </c>
      <c r="N496" s="31">
        <f>IF(D496="BAF20",20/M496,100)</f>
        <v/>
      </c>
      <c r="O496" s="31">
        <f>M496*N496</f>
        <v/>
      </c>
      <c r="P496" s="32">
        <f>500.7*N496</f>
        <v/>
      </c>
    </row>
    <row r="497">
      <c r="A497" t="inlineStr">
        <is>
          <t>U1-34</t>
        </is>
      </c>
      <c r="B497" t="n">
        <v>1</v>
      </c>
      <c r="C497" t="n">
        <v>18</v>
      </c>
      <c r="D497" t="inlineStr">
        <is>
          <t>BAF20</t>
        </is>
      </c>
      <c r="E497" t="inlineStr">
        <is>
          <t>IC</t>
        </is>
      </c>
      <c r="F497" t="n">
        <v>10.1</v>
      </c>
      <c r="G497" t="n">
        <v>42</v>
      </c>
      <c r="H497" t="n">
        <v>19</v>
      </c>
      <c r="I497" t="inlineStr">
        <is>
          <t>L</t>
        </is>
      </c>
      <c r="J497" t="inlineStr">
        <is>
          <t>S</t>
        </is>
      </c>
      <c r="K497" t="inlineStr">
        <is>
          <t>Y</t>
        </is>
      </c>
      <c r="L497" t="inlineStr"/>
      <c r="M497" s="30">
        <f>0.005454*F497^2</f>
        <v/>
      </c>
      <c r="N497" s="31">
        <f>IF(D497="BAF20",20/M497,100)</f>
        <v/>
      </c>
      <c r="O497" s="31">
        <f>M497*N497</f>
        <v/>
      </c>
      <c r="P497" s="32">
        <f>27.3*N497</f>
        <v/>
      </c>
    </row>
    <row r="498">
      <c r="A498" t="inlineStr">
        <is>
          <t>U1-34</t>
        </is>
      </c>
      <c r="B498" t="n">
        <v>1</v>
      </c>
      <c r="C498" t="n">
        <v>19</v>
      </c>
      <c r="D498" t="inlineStr">
        <is>
          <t>BAF20</t>
        </is>
      </c>
      <c r="E498" t="inlineStr">
        <is>
          <t>PP</t>
        </is>
      </c>
      <c r="F498" t="n">
        <v>9</v>
      </c>
      <c r="G498" t="n">
        <v>45</v>
      </c>
      <c r="H498" t="n">
        <v>0</v>
      </c>
      <c r="I498" t="inlineStr">
        <is>
          <t>L</t>
        </is>
      </c>
      <c r="J498" t="inlineStr">
        <is>
          <t>S</t>
        </is>
      </c>
      <c r="K498" t="inlineStr">
        <is>
          <t>Y</t>
        </is>
      </c>
      <c r="L498" t="inlineStr"/>
      <c r="M498" s="30">
        <f>0.005454*F498^2</f>
        <v/>
      </c>
      <c r="N498" s="31">
        <f>IF(D498="BAF20",20/M498,100)</f>
        <v/>
      </c>
      <c r="O498" s="31">
        <f>M498*N498</f>
        <v/>
      </c>
      <c r="P498" s="32">
        <f>0.0*N498</f>
        <v/>
      </c>
    </row>
    <row r="499">
      <c r="A499" t="inlineStr">
        <is>
          <t>U1-34</t>
        </is>
      </c>
      <c r="B499" t="n">
        <v>1</v>
      </c>
      <c r="C499" t="n">
        <v>20</v>
      </c>
      <c r="D499" t="inlineStr">
        <is>
          <t>BAF20</t>
        </is>
      </c>
      <c r="E499" t="inlineStr">
        <is>
          <t>IC</t>
        </is>
      </c>
      <c r="F499" t="n">
        <v>23.9</v>
      </c>
      <c r="G499" t="n">
        <v>83</v>
      </c>
      <c r="H499" t="n">
        <v>1</v>
      </c>
      <c r="I499" t="inlineStr">
        <is>
          <t>L</t>
        </is>
      </c>
      <c r="J499" t="inlineStr">
        <is>
          <t>C</t>
        </is>
      </c>
      <c r="K499" t="inlineStr"/>
      <c r="L499" t="inlineStr"/>
      <c r="M499" s="30">
        <f>0.005454*F499^2</f>
        <v/>
      </c>
      <c r="N499" s="31">
        <f>IF(D499="BAF20",20/M499,100)</f>
        <v/>
      </c>
      <c r="O499" s="31">
        <f>M499*N499</f>
        <v/>
      </c>
      <c r="P499" s="32">
        <f>488.8*N499</f>
        <v/>
      </c>
    </row>
    <row r="500">
      <c r="A500" t="inlineStr">
        <is>
          <t>U1-34</t>
        </is>
      </c>
      <c r="B500" t="n">
        <v>1</v>
      </c>
      <c r="C500" t="n">
        <v>21</v>
      </c>
      <c r="D500" t="inlineStr">
        <is>
          <t>BAF20</t>
        </is>
      </c>
      <c r="E500" t="inlineStr">
        <is>
          <t>WF</t>
        </is>
      </c>
      <c r="F500" t="n">
        <v>9.300000000000001</v>
      </c>
      <c r="G500" t="n">
        <v>49</v>
      </c>
      <c r="H500" t="n">
        <v>11</v>
      </c>
      <c r="I500" t="inlineStr">
        <is>
          <t>L</t>
        </is>
      </c>
      <c r="J500" t="inlineStr">
        <is>
          <t>S</t>
        </is>
      </c>
      <c r="K500" t="inlineStr">
        <is>
          <t>Y</t>
        </is>
      </c>
      <c r="L500" t="inlineStr"/>
      <c r="M500" s="30">
        <f>0.005454*F500^2</f>
        <v/>
      </c>
      <c r="N500" s="31">
        <f>IF(D500="BAF20",20/M500,100)</f>
        <v/>
      </c>
      <c r="O500" s="31">
        <f>M500*N500</f>
        <v/>
      </c>
      <c r="P500" s="32">
        <f>0.0*N500</f>
        <v/>
      </c>
    </row>
    <row r="501">
      <c r="A501" t="inlineStr">
        <is>
          <t>U1-34</t>
        </is>
      </c>
      <c r="B501" t="n">
        <v>1</v>
      </c>
      <c r="C501" t="n">
        <v>22</v>
      </c>
      <c r="D501" t="inlineStr">
        <is>
          <t>BAF20</t>
        </is>
      </c>
      <c r="E501" t="inlineStr">
        <is>
          <t>IC</t>
        </is>
      </c>
      <c r="F501" t="n">
        <v>15.5</v>
      </c>
      <c r="G501" t="n">
        <v>55</v>
      </c>
      <c r="H501" t="n">
        <v>10</v>
      </c>
      <c r="I501" t="inlineStr">
        <is>
          <t>L</t>
        </is>
      </c>
      <c r="J501" t="inlineStr">
        <is>
          <t>I</t>
        </is>
      </c>
      <c r="K501" t="inlineStr"/>
      <c r="L501" t="inlineStr"/>
      <c r="M501" s="30">
        <f>0.005454*F501^2</f>
        <v/>
      </c>
      <c r="N501" s="31">
        <f>IF(D501="BAF20",20/M501,100)</f>
        <v/>
      </c>
      <c r="O501" s="31">
        <f>M501*N501</f>
        <v/>
      </c>
      <c r="P501" s="32">
        <f>105.3*N501</f>
        <v/>
      </c>
    </row>
    <row r="502">
      <c r="A502" t="inlineStr">
        <is>
          <t>U1-34</t>
        </is>
      </c>
      <c r="B502" t="n">
        <v>1</v>
      </c>
      <c r="C502" t="n">
        <v>23</v>
      </c>
      <c r="D502" t="inlineStr">
        <is>
          <t>BAF20</t>
        </is>
      </c>
      <c r="E502" t="inlineStr">
        <is>
          <t>PP</t>
        </is>
      </c>
      <c r="F502" t="n">
        <v>21.9</v>
      </c>
      <c r="G502" t="n">
        <v>102</v>
      </c>
      <c r="H502" t="n">
        <v>1</v>
      </c>
      <c r="I502" t="inlineStr">
        <is>
          <t>L</t>
        </is>
      </c>
      <c r="J502" t="inlineStr">
        <is>
          <t>C</t>
        </is>
      </c>
      <c r="K502" t="inlineStr"/>
      <c r="L502" t="inlineStr"/>
      <c r="M502" s="30">
        <f>0.005454*F502^2</f>
        <v/>
      </c>
      <c r="N502" s="31">
        <f>IF(D502="BAF20",20/M502,100)</f>
        <v/>
      </c>
      <c r="O502" s="31">
        <f>M502*N502</f>
        <v/>
      </c>
      <c r="P502" s="32">
        <f>486.3*N502</f>
        <v/>
      </c>
    </row>
    <row r="503">
      <c r="A503" t="inlineStr">
        <is>
          <t>U1-34</t>
        </is>
      </c>
      <c r="B503" t="n">
        <v>1</v>
      </c>
      <c r="C503" t="n">
        <v>24</v>
      </c>
      <c r="D503" t="inlineStr">
        <is>
          <t>BAF20</t>
        </is>
      </c>
      <c r="E503" t="inlineStr">
        <is>
          <t>PP</t>
        </is>
      </c>
      <c r="F503" t="n">
        <v>12.9</v>
      </c>
      <c r="G503" t="n">
        <v>58</v>
      </c>
      <c r="H503" t="n">
        <v>2</v>
      </c>
      <c r="I503" t="inlineStr">
        <is>
          <t>L</t>
        </is>
      </c>
      <c r="J503" t="inlineStr">
        <is>
          <t>S</t>
        </is>
      </c>
      <c r="K503" t="inlineStr">
        <is>
          <t>Y</t>
        </is>
      </c>
      <c r="L503" t="inlineStr"/>
      <c r="M503" s="30">
        <f>0.005454*F503^2</f>
        <v/>
      </c>
      <c r="N503" s="31">
        <f>IF(D503="BAF20",20/M503,100)</f>
        <v/>
      </c>
      <c r="O503" s="31">
        <f>M503*N503</f>
        <v/>
      </c>
      <c r="P503" s="32">
        <f>79.2*N503</f>
        <v/>
      </c>
    </row>
    <row r="504">
      <c r="A504" t="inlineStr">
        <is>
          <t>U1-34</t>
        </is>
      </c>
      <c r="B504" t="n">
        <v>1</v>
      </c>
      <c r="C504" t="n">
        <v>25</v>
      </c>
      <c r="D504" t="inlineStr">
        <is>
          <t>FIX100</t>
        </is>
      </c>
      <c r="E504" t="inlineStr">
        <is>
          <t>PP</t>
        </is>
      </c>
      <c r="F504" t="n">
        <v>1.8</v>
      </c>
      <c r="G504" t="n">
        <v>13</v>
      </c>
      <c r="H504" t="n">
        <v>0</v>
      </c>
      <c r="I504" t="inlineStr">
        <is>
          <t>L</t>
        </is>
      </c>
      <c r="J504" t="inlineStr">
        <is>
          <t>S</t>
        </is>
      </c>
      <c r="K504" t="inlineStr"/>
      <c r="L504" t="inlineStr"/>
      <c r="M504" s="30">
        <f>0.005454*F504^2</f>
        <v/>
      </c>
      <c r="N504" s="31">
        <f>IF(D504="BAF20",20/M504,100)</f>
        <v/>
      </c>
      <c r="O504" s="31">
        <f>M504*N504</f>
        <v/>
      </c>
      <c r="P504" s="32">
        <f>0.0*N504</f>
        <v/>
      </c>
    </row>
    <row r="505">
      <c r="A505" t="inlineStr">
        <is>
          <t>U1-34</t>
        </is>
      </c>
      <c r="B505" t="n">
        <v>1</v>
      </c>
      <c r="C505" t="n">
        <v>26</v>
      </c>
      <c r="D505" t="inlineStr">
        <is>
          <t>FIX100</t>
        </is>
      </c>
      <c r="E505" t="inlineStr">
        <is>
          <t>BO</t>
        </is>
      </c>
      <c r="F505" t="n">
        <v>3.6</v>
      </c>
      <c r="G505" t="n">
        <v>19</v>
      </c>
      <c r="H505" t="n">
        <v>0</v>
      </c>
      <c r="I505" t="inlineStr">
        <is>
          <t>L</t>
        </is>
      </c>
      <c r="J505" t="inlineStr">
        <is>
          <t>S</t>
        </is>
      </c>
      <c r="K505" t="inlineStr"/>
      <c r="L505" t="inlineStr"/>
      <c r="M505" s="30">
        <f>0.005454*F505^2</f>
        <v/>
      </c>
      <c r="N505" s="31">
        <f>IF(D505="BAF20",20/M505,100)</f>
        <v/>
      </c>
      <c r="O505" s="31">
        <f>M505*N505</f>
        <v/>
      </c>
      <c r="P505" s="32">
        <f>0.0*N505</f>
        <v/>
      </c>
    </row>
    <row r="506">
      <c r="A506" t="inlineStr">
        <is>
          <t>U1-34</t>
        </is>
      </c>
      <c r="B506" t="n">
        <v>1</v>
      </c>
      <c r="C506" t="n">
        <v>27</v>
      </c>
      <c r="D506" t="inlineStr">
        <is>
          <t>FIX100</t>
        </is>
      </c>
      <c r="E506" t="inlineStr">
        <is>
          <t>DF</t>
        </is>
      </c>
      <c r="F506" t="n">
        <v>3.3</v>
      </c>
      <c r="G506" t="n">
        <v>22</v>
      </c>
      <c r="H506" t="n">
        <v>0</v>
      </c>
      <c r="I506" t="inlineStr">
        <is>
          <t>L</t>
        </is>
      </c>
      <c r="J506" t="inlineStr">
        <is>
          <t>S</t>
        </is>
      </c>
      <c r="K506" t="inlineStr"/>
      <c r="L506" t="inlineStr"/>
      <c r="M506" s="30">
        <f>0.005454*F506^2</f>
        <v/>
      </c>
      <c r="N506" s="31">
        <f>IF(D506="BAF20",20/M506,100)</f>
        <v/>
      </c>
      <c r="O506" s="31">
        <f>M506*N506</f>
        <v/>
      </c>
      <c r="P506" s="32">
        <f>0.0*N506</f>
        <v/>
      </c>
    </row>
    <row r="507">
      <c r="A507" t="inlineStr">
        <is>
          <t>U1-34</t>
        </is>
      </c>
      <c r="B507" t="n">
        <v>1</v>
      </c>
      <c r="C507" t="n">
        <v>28</v>
      </c>
      <c r="D507" t="inlineStr">
        <is>
          <t>FIX100</t>
        </is>
      </c>
      <c r="E507" t="inlineStr">
        <is>
          <t>PP</t>
        </is>
      </c>
      <c r="F507" t="n">
        <v>1.4</v>
      </c>
      <c r="G507" t="n">
        <v>9</v>
      </c>
      <c r="H507" t="n">
        <v>0</v>
      </c>
      <c r="I507" t="inlineStr">
        <is>
          <t>L</t>
        </is>
      </c>
      <c r="J507" t="inlineStr">
        <is>
          <t>S</t>
        </is>
      </c>
      <c r="K507" t="inlineStr"/>
      <c r="L507" t="inlineStr"/>
      <c r="M507" s="30">
        <f>0.005454*F507^2</f>
        <v/>
      </c>
      <c r="N507" s="31">
        <f>IF(D507="BAF20",20/M507,100)</f>
        <v/>
      </c>
      <c r="O507" s="31">
        <f>M507*N507</f>
        <v/>
      </c>
      <c r="P507" s="32">
        <f>0.0*N507</f>
        <v/>
      </c>
    </row>
    <row r="508">
      <c r="A508" t="inlineStr">
        <is>
          <t>U1-35</t>
        </is>
      </c>
      <c r="B508" t="n">
        <v>1</v>
      </c>
      <c r="C508" t="n">
        <v>1</v>
      </c>
      <c r="D508" t="inlineStr">
        <is>
          <t>BAF20</t>
        </is>
      </c>
      <c r="E508" t="inlineStr">
        <is>
          <t>PP</t>
        </is>
      </c>
      <c r="F508" t="n">
        <v>24.5</v>
      </c>
      <c r="G508" t="n">
        <v>97</v>
      </c>
      <c r="H508" t="n">
        <v>3</v>
      </c>
      <c r="I508" t="inlineStr">
        <is>
          <t>L</t>
        </is>
      </c>
      <c r="J508" t="inlineStr">
        <is>
          <t>C</t>
        </is>
      </c>
      <c r="K508" t="inlineStr"/>
      <c r="L508" t="inlineStr"/>
      <c r="M508" s="30">
        <f>0.005454*F508^2</f>
        <v/>
      </c>
      <c r="N508" s="31">
        <f>IF(D508="BAF20",20/M508,100)</f>
        <v/>
      </c>
      <c r="O508" s="31">
        <f>M508*N508</f>
        <v/>
      </c>
      <c r="P508" s="32">
        <f>594.4*N508</f>
        <v/>
      </c>
    </row>
    <row r="509">
      <c r="A509" t="inlineStr">
        <is>
          <t>U1-35</t>
        </is>
      </c>
      <c r="B509" t="n">
        <v>1</v>
      </c>
      <c r="C509" t="n">
        <v>2</v>
      </c>
      <c r="D509" t="inlineStr">
        <is>
          <t>BAF20</t>
        </is>
      </c>
      <c r="E509" t="inlineStr">
        <is>
          <t>BO</t>
        </is>
      </c>
      <c r="F509" t="n">
        <v>15.6</v>
      </c>
      <c r="G509" t="n">
        <v>54</v>
      </c>
      <c r="H509" t="n">
        <v>8</v>
      </c>
      <c r="I509" t="inlineStr">
        <is>
          <t>L</t>
        </is>
      </c>
      <c r="J509" t="inlineStr">
        <is>
          <t>I</t>
        </is>
      </c>
      <c r="K509" t="inlineStr"/>
      <c r="L509" t="inlineStr"/>
      <c r="M509" s="30">
        <f>0.005454*F509^2</f>
        <v/>
      </c>
      <c r="N509" s="31">
        <f>IF(D509="BAF20",20/M509,100)</f>
        <v/>
      </c>
      <c r="O509" s="31">
        <f>M509*N509</f>
        <v/>
      </c>
      <c r="P509" s="32">
        <f>97.1*N509</f>
        <v/>
      </c>
    </row>
    <row r="510">
      <c r="A510" t="inlineStr">
        <is>
          <t>U1-35</t>
        </is>
      </c>
      <c r="B510" t="n">
        <v>1</v>
      </c>
      <c r="C510" t="n">
        <v>3</v>
      </c>
      <c r="D510" t="inlineStr">
        <is>
          <t>BAF20</t>
        </is>
      </c>
      <c r="E510" t="inlineStr">
        <is>
          <t>SP</t>
        </is>
      </c>
      <c r="F510" t="n">
        <v>11.7</v>
      </c>
      <c r="G510" t="n">
        <v>63</v>
      </c>
      <c r="H510" t="n">
        <v>17</v>
      </c>
      <c r="I510" t="inlineStr">
        <is>
          <t>L</t>
        </is>
      </c>
      <c r="J510" t="inlineStr">
        <is>
          <t>S</t>
        </is>
      </c>
      <c r="K510" t="inlineStr"/>
      <c r="L510" t="inlineStr"/>
      <c r="M510" s="30">
        <f>0.005454*F510^2</f>
        <v/>
      </c>
      <c r="N510" s="31">
        <f>IF(D510="BAF20",20/M510,100)</f>
        <v/>
      </c>
      <c r="O510" s="31">
        <f>M510*N510</f>
        <v/>
      </c>
      <c r="P510" s="32">
        <f>58.3*N510</f>
        <v/>
      </c>
    </row>
    <row r="511">
      <c r="A511" t="inlineStr">
        <is>
          <t>U1-35</t>
        </is>
      </c>
      <c r="B511" t="n">
        <v>1</v>
      </c>
      <c r="C511" t="n">
        <v>4</v>
      </c>
      <c r="D511" t="inlineStr">
        <is>
          <t>BAF20</t>
        </is>
      </c>
      <c r="E511" t="inlineStr">
        <is>
          <t>PP</t>
        </is>
      </c>
      <c r="F511" t="n">
        <v>21.1</v>
      </c>
      <c r="G511" t="n">
        <v>95</v>
      </c>
      <c r="H511" t="n">
        <v>7</v>
      </c>
      <c r="I511" t="inlineStr">
        <is>
          <t>L</t>
        </is>
      </c>
      <c r="J511" t="inlineStr">
        <is>
          <t>C</t>
        </is>
      </c>
      <c r="K511" t="inlineStr"/>
      <c r="L511" t="inlineStr"/>
      <c r="M511" s="30">
        <f>0.005454*F511^2</f>
        <v/>
      </c>
      <c r="N511" s="31">
        <f>IF(D511="BAF20",20/M511,100)</f>
        <v/>
      </c>
      <c r="O511" s="31">
        <f>M511*N511</f>
        <v/>
      </c>
      <c r="P511" s="32">
        <f>389.2*N511</f>
        <v/>
      </c>
    </row>
    <row r="512">
      <c r="A512" t="inlineStr">
        <is>
          <t>U1-35</t>
        </is>
      </c>
      <c r="B512" t="n">
        <v>1</v>
      </c>
      <c r="C512" t="n">
        <v>5</v>
      </c>
      <c r="D512" t="inlineStr">
        <is>
          <t>BAF20</t>
        </is>
      </c>
      <c r="E512" t="inlineStr">
        <is>
          <t>PP</t>
        </is>
      </c>
      <c r="F512" t="n">
        <v>9.1</v>
      </c>
      <c r="G512" t="n">
        <v>48</v>
      </c>
      <c r="H512" t="n">
        <v>1</v>
      </c>
      <c r="I512" t="inlineStr">
        <is>
          <t>L</t>
        </is>
      </c>
      <c r="J512" t="inlineStr">
        <is>
          <t>S</t>
        </is>
      </c>
      <c r="K512" t="inlineStr">
        <is>
          <t>Y</t>
        </is>
      </c>
      <c r="L512" t="inlineStr"/>
      <c r="M512" s="30">
        <f>0.005454*F512^2</f>
        <v/>
      </c>
      <c r="N512" s="31">
        <f>IF(D512="BAF20",20/M512,100)</f>
        <v/>
      </c>
      <c r="O512" s="31">
        <f>M512*N512</f>
        <v/>
      </c>
      <c r="P512" s="32">
        <f>0.0*N512</f>
        <v/>
      </c>
    </row>
    <row r="513">
      <c r="A513" t="inlineStr">
        <is>
          <t>U1-35</t>
        </is>
      </c>
      <c r="B513" t="n">
        <v>1</v>
      </c>
      <c r="C513" t="n">
        <v>6</v>
      </c>
      <c r="D513" t="inlineStr">
        <is>
          <t>BAF20</t>
        </is>
      </c>
      <c r="E513" t="inlineStr">
        <is>
          <t>PP</t>
        </is>
      </c>
      <c r="F513" t="n">
        <v>20.8</v>
      </c>
      <c r="G513" t="n">
        <v>93</v>
      </c>
      <c r="H513" t="n">
        <v>2</v>
      </c>
      <c r="I513" t="inlineStr">
        <is>
          <t>L</t>
        </is>
      </c>
      <c r="J513" t="inlineStr">
        <is>
          <t>C</t>
        </is>
      </c>
      <c r="K513" t="inlineStr"/>
      <c r="L513" t="inlineStr"/>
      <c r="M513" s="30">
        <f>0.005454*F513^2</f>
        <v/>
      </c>
      <c r="N513" s="31">
        <f>IF(D513="BAF20",20/M513,100)</f>
        <v/>
      </c>
      <c r="O513" s="31">
        <f>M513*N513</f>
        <v/>
      </c>
      <c r="P513" s="32">
        <f>387.9*N513</f>
        <v/>
      </c>
    </row>
    <row r="514">
      <c r="A514" t="inlineStr">
        <is>
          <t>U1-35</t>
        </is>
      </c>
      <c r="B514" t="n">
        <v>1</v>
      </c>
      <c r="C514" t="n">
        <v>7</v>
      </c>
      <c r="D514" t="inlineStr">
        <is>
          <t>BAF20</t>
        </is>
      </c>
      <c r="E514" t="inlineStr">
        <is>
          <t>DF</t>
        </is>
      </c>
      <c r="F514" t="n">
        <v>14.6</v>
      </c>
      <c r="G514" t="n">
        <v>70</v>
      </c>
      <c r="H514" t="n">
        <v>6</v>
      </c>
      <c r="I514" t="inlineStr">
        <is>
          <t>L</t>
        </is>
      </c>
      <c r="J514" t="inlineStr">
        <is>
          <t>I</t>
        </is>
      </c>
      <c r="K514" t="inlineStr"/>
      <c r="L514" t="inlineStr"/>
      <c r="M514" s="30">
        <f>0.005454*F514^2</f>
        <v/>
      </c>
      <c r="N514" s="31">
        <f>IF(D514="BAF20",20/M514,100)</f>
        <v/>
      </c>
      <c r="O514" s="31">
        <f>M514*N514</f>
        <v/>
      </c>
      <c r="P514" s="32">
        <f>121.9*N514</f>
        <v/>
      </c>
    </row>
    <row r="515">
      <c r="A515" t="inlineStr">
        <is>
          <t>U1-35</t>
        </is>
      </c>
      <c r="B515" t="n">
        <v>1</v>
      </c>
      <c r="C515" t="n">
        <v>8</v>
      </c>
      <c r="D515" t="inlineStr">
        <is>
          <t>BAF20</t>
        </is>
      </c>
      <c r="E515" t="inlineStr">
        <is>
          <t>IC</t>
        </is>
      </c>
      <c r="F515" t="n">
        <v>23.9</v>
      </c>
      <c r="G515" t="n">
        <v>77</v>
      </c>
      <c r="H515" t="n">
        <v>12</v>
      </c>
      <c r="I515" t="inlineStr">
        <is>
          <t>L</t>
        </is>
      </c>
      <c r="J515" t="inlineStr">
        <is>
          <t>C</t>
        </is>
      </c>
      <c r="K515" t="inlineStr"/>
      <c r="L515" t="inlineStr"/>
      <c r="M515" s="30">
        <f>0.005454*F515^2</f>
        <v/>
      </c>
      <c r="N515" s="31">
        <f>IF(D515="BAF20",20/M515,100)</f>
        <v/>
      </c>
      <c r="O515" s="31">
        <f>M515*N515</f>
        <v/>
      </c>
      <c r="P515" s="32">
        <f>403.0*N515</f>
        <v/>
      </c>
    </row>
    <row r="516">
      <c r="A516" t="inlineStr">
        <is>
          <t>U1-35</t>
        </is>
      </c>
      <c r="B516" t="n">
        <v>1</v>
      </c>
      <c r="C516" t="n">
        <v>9</v>
      </c>
      <c r="D516" t="inlineStr">
        <is>
          <t>BAF20</t>
        </is>
      </c>
      <c r="E516" t="inlineStr">
        <is>
          <t>PP</t>
        </is>
      </c>
      <c r="F516" t="n">
        <v>45.6</v>
      </c>
      <c r="G516" t="n">
        <v>116</v>
      </c>
      <c r="H516" t="n">
        <v>3</v>
      </c>
      <c r="I516" t="inlineStr">
        <is>
          <t>L</t>
        </is>
      </c>
      <c r="J516" t="inlineStr">
        <is>
          <t>D</t>
        </is>
      </c>
      <c r="K516" t="inlineStr"/>
      <c r="L516" t="inlineStr"/>
      <c r="M516" s="30">
        <f>0.005454*F516^2</f>
        <v/>
      </c>
      <c r="N516" s="31">
        <f>IF(D516="BAF20",20/M516,100)</f>
        <v/>
      </c>
      <c r="O516" s="31">
        <f>M516*N516</f>
        <v/>
      </c>
      <c r="P516" s="32">
        <f>2990.6*N516</f>
        <v/>
      </c>
    </row>
    <row r="517">
      <c r="A517" t="inlineStr">
        <is>
          <t>U1-35</t>
        </is>
      </c>
      <c r="B517" t="n">
        <v>1</v>
      </c>
      <c r="C517" t="n">
        <v>10</v>
      </c>
      <c r="D517" t="inlineStr">
        <is>
          <t>BAF20</t>
        </is>
      </c>
      <c r="E517" t="inlineStr">
        <is>
          <t>PP</t>
        </is>
      </c>
      <c r="F517" t="n">
        <v>11.4</v>
      </c>
      <c r="G517" t="n">
        <v>62</v>
      </c>
      <c r="H517" t="n">
        <v>100</v>
      </c>
      <c r="I517" t="inlineStr">
        <is>
          <t>D</t>
        </is>
      </c>
      <c r="J517" t="inlineStr">
        <is>
          <t>S</t>
        </is>
      </c>
      <c r="K517" t="inlineStr"/>
      <c r="L517" t="inlineStr"/>
      <c r="M517" s="30">
        <f>0.005454*F517^2</f>
        <v/>
      </c>
      <c r="N517" s="31">
        <f>IF(D517="BAF20",20/M517,100)</f>
        <v/>
      </c>
      <c r="O517" s="31">
        <f>M517*N517</f>
        <v/>
      </c>
      <c r="P517" s="32">
        <f>0.0*N517</f>
        <v/>
      </c>
    </row>
    <row r="518">
      <c r="A518" t="inlineStr">
        <is>
          <t>U1-35</t>
        </is>
      </c>
      <c r="B518" t="n">
        <v>1</v>
      </c>
      <c r="C518" t="n">
        <v>11</v>
      </c>
      <c r="D518" t="inlineStr">
        <is>
          <t>BAF20</t>
        </is>
      </c>
      <c r="E518" t="inlineStr">
        <is>
          <t>PP</t>
        </is>
      </c>
      <c r="F518" t="n">
        <v>32.7</v>
      </c>
      <c r="G518" t="n">
        <v>116</v>
      </c>
      <c r="H518" t="n">
        <v>2</v>
      </c>
      <c r="I518" t="inlineStr">
        <is>
          <t>L</t>
        </is>
      </c>
      <c r="J518" t="inlineStr">
        <is>
          <t>D</t>
        </is>
      </c>
      <c r="K518" t="inlineStr"/>
      <c r="L518" t="inlineStr"/>
      <c r="M518" s="30">
        <f>0.005454*F518^2</f>
        <v/>
      </c>
      <c r="N518" s="31">
        <f>IF(D518="BAF20",20/M518,100)</f>
        <v/>
      </c>
      <c r="O518" s="31">
        <f>M518*N518</f>
        <v/>
      </c>
      <c r="P518" s="32">
        <f>1464.3*N518</f>
        <v/>
      </c>
    </row>
    <row r="519">
      <c r="A519" t="inlineStr">
        <is>
          <t>U1-35</t>
        </is>
      </c>
      <c r="B519" t="n">
        <v>1</v>
      </c>
      <c r="C519" t="n">
        <v>12</v>
      </c>
      <c r="D519" t="inlineStr">
        <is>
          <t>BAF20</t>
        </is>
      </c>
      <c r="E519" t="inlineStr">
        <is>
          <t>BO</t>
        </is>
      </c>
      <c r="F519" t="n">
        <v>10</v>
      </c>
      <c r="G519" t="n">
        <v>43</v>
      </c>
      <c r="H519" t="n">
        <v>18</v>
      </c>
      <c r="I519" t="inlineStr">
        <is>
          <t>L</t>
        </is>
      </c>
      <c r="J519" t="inlineStr">
        <is>
          <t>S</t>
        </is>
      </c>
      <c r="K519" t="inlineStr">
        <is>
          <t>Y</t>
        </is>
      </c>
      <c r="L519" t="inlineStr"/>
      <c r="M519" s="30">
        <f>0.005454*F519^2</f>
        <v/>
      </c>
      <c r="N519" s="31">
        <f>IF(D519="BAF20",20/M519,100)</f>
        <v/>
      </c>
      <c r="O519" s="31">
        <f>M519*N519</f>
        <v/>
      </c>
      <c r="P519" s="32">
        <f>25.0*N519</f>
        <v/>
      </c>
    </row>
    <row r="520">
      <c r="A520" t="inlineStr">
        <is>
          <t>U1-35</t>
        </is>
      </c>
      <c r="B520" t="n">
        <v>1</v>
      </c>
      <c r="C520" t="n">
        <v>13</v>
      </c>
      <c r="D520" t="inlineStr">
        <is>
          <t>BAF20</t>
        </is>
      </c>
      <c r="E520" t="inlineStr">
        <is>
          <t>DF</t>
        </is>
      </c>
      <c r="F520" t="n">
        <v>14.7</v>
      </c>
      <c r="G520" t="n">
        <v>67</v>
      </c>
      <c r="H520" t="n">
        <v>3</v>
      </c>
      <c r="I520" t="inlineStr">
        <is>
          <t>L</t>
        </is>
      </c>
      <c r="J520" t="inlineStr">
        <is>
          <t>I</t>
        </is>
      </c>
      <c r="K520" t="inlineStr"/>
      <c r="L520" t="inlineStr"/>
      <c r="M520" s="30">
        <f>0.005454*F520^2</f>
        <v/>
      </c>
      <c r="N520" s="31">
        <f>IF(D520="BAF20",20/M520,100)</f>
        <v/>
      </c>
      <c r="O520" s="31">
        <f>M520*N520</f>
        <v/>
      </c>
      <c r="P520" s="32">
        <f>122.3*N520</f>
        <v/>
      </c>
    </row>
    <row r="521">
      <c r="A521" t="inlineStr">
        <is>
          <t>U1-35</t>
        </is>
      </c>
      <c r="B521" t="n">
        <v>1</v>
      </c>
      <c r="C521" t="n">
        <v>14</v>
      </c>
      <c r="D521" t="inlineStr">
        <is>
          <t>BAF20</t>
        </is>
      </c>
      <c r="E521" t="inlineStr">
        <is>
          <t>WF</t>
        </is>
      </c>
      <c r="F521" t="n">
        <v>5</v>
      </c>
      <c r="G521" t="n">
        <v>26</v>
      </c>
      <c r="H521" t="n">
        <v>6</v>
      </c>
      <c r="I521" t="inlineStr">
        <is>
          <t>L</t>
        </is>
      </c>
      <c r="J521" t="inlineStr">
        <is>
          <t>S</t>
        </is>
      </c>
      <c r="K521" t="inlineStr">
        <is>
          <t>Y</t>
        </is>
      </c>
      <c r="L521" t="inlineStr"/>
      <c r="M521" s="30">
        <f>0.005454*F521^2</f>
        <v/>
      </c>
      <c r="N521" s="31">
        <f>IF(D521="BAF20",20/M521,100)</f>
        <v/>
      </c>
      <c r="O521" s="31">
        <f>M521*N521</f>
        <v/>
      </c>
      <c r="P521" s="32">
        <f>0.0*N521</f>
        <v/>
      </c>
    </row>
    <row r="522">
      <c r="A522" t="inlineStr">
        <is>
          <t>U1-35</t>
        </is>
      </c>
      <c r="B522" t="n">
        <v>1</v>
      </c>
      <c r="C522" t="n">
        <v>15</v>
      </c>
      <c r="D522" t="inlineStr">
        <is>
          <t>BAF20</t>
        </is>
      </c>
      <c r="E522" t="inlineStr">
        <is>
          <t>WF</t>
        </is>
      </c>
      <c r="F522" t="n">
        <v>18.9</v>
      </c>
      <c r="G522" t="n">
        <v>79</v>
      </c>
      <c r="H522" t="n">
        <v>0</v>
      </c>
      <c r="I522" t="inlineStr">
        <is>
          <t>L</t>
        </is>
      </c>
      <c r="J522" t="inlineStr">
        <is>
          <t>I</t>
        </is>
      </c>
      <c r="K522" t="inlineStr"/>
      <c r="L522" t="inlineStr"/>
      <c r="M522" s="30">
        <f>0.005454*F522^2</f>
        <v/>
      </c>
      <c r="N522" s="31">
        <f>IF(D522="BAF20",20/M522,100)</f>
        <v/>
      </c>
      <c r="O522" s="31">
        <f>M522*N522</f>
        <v/>
      </c>
      <c r="P522" s="32">
        <f>267.7*N522</f>
        <v/>
      </c>
    </row>
    <row r="523">
      <c r="A523" t="inlineStr">
        <is>
          <t>U1-35</t>
        </is>
      </c>
      <c r="B523" t="n">
        <v>1</v>
      </c>
      <c r="C523" t="n">
        <v>16</v>
      </c>
      <c r="D523" t="inlineStr">
        <is>
          <t>BAF20</t>
        </is>
      </c>
      <c r="E523" t="inlineStr">
        <is>
          <t>DF</t>
        </is>
      </c>
      <c r="F523" t="n">
        <v>23.9</v>
      </c>
      <c r="G523" t="n">
        <v>104</v>
      </c>
      <c r="H523" t="n">
        <v>100</v>
      </c>
      <c r="I523" t="inlineStr">
        <is>
          <t>D</t>
        </is>
      </c>
      <c r="J523" t="inlineStr">
        <is>
          <t>C</t>
        </is>
      </c>
      <c r="K523" t="inlineStr"/>
      <c r="L523" t="inlineStr"/>
      <c r="M523" s="30">
        <f>0.005454*F523^2</f>
        <v/>
      </c>
      <c r="N523" s="31">
        <f>IF(D523="BAF20",20/M523,100)</f>
        <v/>
      </c>
      <c r="O523" s="31">
        <f>M523*N523</f>
        <v/>
      </c>
      <c r="P523" s="32">
        <f>0.0*N523</f>
        <v/>
      </c>
    </row>
    <row r="524">
      <c r="A524" t="inlineStr">
        <is>
          <t>U1-35</t>
        </is>
      </c>
      <c r="B524" t="n">
        <v>1</v>
      </c>
      <c r="C524" t="n">
        <v>17</v>
      </c>
      <c r="D524" t="inlineStr">
        <is>
          <t>BAF20</t>
        </is>
      </c>
      <c r="E524" t="inlineStr">
        <is>
          <t>IC</t>
        </is>
      </c>
      <c r="F524" t="n">
        <v>19.3</v>
      </c>
      <c r="G524" t="n">
        <v>74</v>
      </c>
      <c r="H524" t="n">
        <v>2</v>
      </c>
      <c r="I524" t="inlineStr">
        <is>
          <t>L</t>
        </is>
      </c>
      <c r="J524" t="inlineStr">
        <is>
          <t>C</t>
        </is>
      </c>
      <c r="K524" t="inlineStr"/>
      <c r="L524" t="inlineStr"/>
      <c r="M524" s="30">
        <f>0.005454*F524^2</f>
        <v/>
      </c>
      <c r="N524" s="31">
        <f>IF(D524="BAF20",20/M524,100)</f>
        <v/>
      </c>
      <c r="O524" s="31">
        <f>M524*N524</f>
        <v/>
      </c>
      <c r="P524" s="32">
        <f>258.2*N524</f>
        <v/>
      </c>
    </row>
    <row r="525">
      <c r="A525" t="inlineStr">
        <is>
          <t>U1-35</t>
        </is>
      </c>
      <c r="B525" t="n">
        <v>1</v>
      </c>
      <c r="C525" t="n">
        <v>18</v>
      </c>
      <c r="D525" t="inlineStr">
        <is>
          <t>FIX100</t>
        </is>
      </c>
      <c r="E525" t="inlineStr">
        <is>
          <t>PP</t>
        </is>
      </c>
      <c r="F525" t="n">
        <v>4.6</v>
      </c>
      <c r="G525" t="n">
        <v>28</v>
      </c>
      <c r="H525" t="n">
        <v>0</v>
      </c>
      <c r="I525" t="inlineStr">
        <is>
          <t>L</t>
        </is>
      </c>
      <c r="J525" t="inlineStr">
        <is>
          <t>S</t>
        </is>
      </c>
      <c r="K525" t="inlineStr"/>
      <c r="L525" t="inlineStr"/>
      <c r="M525" s="30">
        <f>0.005454*F525^2</f>
        <v/>
      </c>
      <c r="N525" s="31">
        <f>IF(D525="BAF20",20/M525,100)</f>
        <v/>
      </c>
      <c r="O525" s="31">
        <f>M525*N525</f>
        <v/>
      </c>
      <c r="P525" s="32">
        <f>0.0*N525</f>
        <v/>
      </c>
    </row>
    <row r="526">
      <c r="A526" t="inlineStr">
        <is>
          <t>U1-35</t>
        </is>
      </c>
      <c r="B526" t="n">
        <v>1</v>
      </c>
      <c r="C526" t="n">
        <v>19</v>
      </c>
      <c r="D526" t="inlineStr">
        <is>
          <t>FIX100</t>
        </is>
      </c>
      <c r="E526" t="inlineStr">
        <is>
          <t>PP</t>
        </is>
      </c>
      <c r="F526" t="n">
        <v>2.5</v>
      </c>
      <c r="G526" t="n">
        <v>16</v>
      </c>
      <c r="H526" t="n">
        <v>0</v>
      </c>
      <c r="I526" t="inlineStr">
        <is>
          <t>L</t>
        </is>
      </c>
      <c r="J526" t="inlineStr">
        <is>
          <t>S</t>
        </is>
      </c>
      <c r="K526" t="inlineStr"/>
      <c r="L526" t="inlineStr"/>
      <c r="M526" s="30">
        <f>0.005454*F526^2</f>
        <v/>
      </c>
      <c r="N526" s="31">
        <f>IF(D526="BAF20",20/M526,100)</f>
        <v/>
      </c>
      <c r="O526" s="31">
        <f>M526*N526</f>
        <v/>
      </c>
      <c r="P526" s="32">
        <f>0.0*N526</f>
        <v/>
      </c>
    </row>
    <row r="527">
      <c r="A527" t="inlineStr">
        <is>
          <t>U1-36</t>
        </is>
      </c>
      <c r="B527" t="n">
        <v>1</v>
      </c>
      <c r="C527" t="n">
        <v>1</v>
      </c>
      <c r="D527" t="inlineStr">
        <is>
          <t>BAF20</t>
        </is>
      </c>
      <c r="E527" t="inlineStr">
        <is>
          <t>PP</t>
        </is>
      </c>
      <c r="F527" t="n">
        <v>11.6</v>
      </c>
      <c r="G527" t="n">
        <v>51</v>
      </c>
      <c r="H527" t="n">
        <v>6</v>
      </c>
      <c r="I527" t="inlineStr">
        <is>
          <t>L</t>
        </is>
      </c>
      <c r="J527" t="inlineStr">
        <is>
          <t>S</t>
        </is>
      </c>
      <c r="K527" t="inlineStr">
        <is>
          <t>Y</t>
        </is>
      </c>
      <c r="L527" t="inlineStr"/>
      <c r="M527" s="30">
        <f>0.005454*F527^2</f>
        <v/>
      </c>
      <c r="N527" s="31">
        <f>IF(D527="BAF20",20/M527,100)</f>
        <v/>
      </c>
      <c r="O527" s="31">
        <f>M527*N527</f>
        <v/>
      </c>
      <c r="P527" s="32">
        <f>52.5*N527</f>
        <v/>
      </c>
    </row>
    <row r="528">
      <c r="A528" t="inlineStr">
        <is>
          <t>U1-36</t>
        </is>
      </c>
      <c r="B528" t="n">
        <v>1</v>
      </c>
      <c r="C528" t="n">
        <v>2</v>
      </c>
      <c r="D528" t="inlineStr">
        <is>
          <t>BAF20</t>
        </is>
      </c>
      <c r="E528" t="inlineStr">
        <is>
          <t>IC</t>
        </is>
      </c>
      <c r="F528" t="n">
        <v>23.4</v>
      </c>
      <c r="G528" t="n">
        <v>78</v>
      </c>
      <c r="H528" t="n">
        <v>10</v>
      </c>
      <c r="I528" t="inlineStr">
        <is>
          <t>L</t>
        </is>
      </c>
      <c r="J528" t="inlineStr">
        <is>
          <t>C</t>
        </is>
      </c>
      <c r="K528" t="inlineStr"/>
      <c r="L528" t="inlineStr"/>
      <c r="M528" s="30">
        <f>0.005454*F528^2</f>
        <v/>
      </c>
      <c r="N528" s="31">
        <f>IF(D528="BAF20",20/M528,100)</f>
        <v/>
      </c>
      <c r="O528" s="31">
        <f>M528*N528</f>
        <v/>
      </c>
      <c r="P528" s="32">
        <f>396.7*N528</f>
        <v/>
      </c>
    </row>
    <row r="529">
      <c r="A529" t="inlineStr">
        <is>
          <t>U1-36</t>
        </is>
      </c>
      <c r="B529" t="n">
        <v>1</v>
      </c>
      <c r="C529" t="n">
        <v>3</v>
      </c>
      <c r="D529" t="inlineStr">
        <is>
          <t>BAF20</t>
        </is>
      </c>
      <c r="E529" t="inlineStr">
        <is>
          <t>WF</t>
        </is>
      </c>
      <c r="F529" t="n">
        <v>7.4</v>
      </c>
      <c r="G529" t="n">
        <v>39</v>
      </c>
      <c r="H529" t="n">
        <v>21</v>
      </c>
      <c r="I529" t="inlineStr">
        <is>
          <t>L</t>
        </is>
      </c>
      <c r="J529" t="inlineStr">
        <is>
          <t>S</t>
        </is>
      </c>
      <c r="K529" t="inlineStr">
        <is>
          <t>Y</t>
        </is>
      </c>
      <c r="L529" t="inlineStr"/>
      <c r="M529" s="30">
        <f>0.005454*F529^2</f>
        <v/>
      </c>
      <c r="N529" s="31">
        <f>IF(D529="BAF20",20/M529,100)</f>
        <v/>
      </c>
      <c r="O529" s="31">
        <f>M529*N529</f>
        <v/>
      </c>
      <c r="P529" s="32">
        <f>0.0*N529</f>
        <v/>
      </c>
    </row>
    <row r="530">
      <c r="A530" t="inlineStr">
        <is>
          <t>U1-36</t>
        </is>
      </c>
      <c r="B530" t="n">
        <v>1</v>
      </c>
      <c r="C530" t="n">
        <v>4</v>
      </c>
      <c r="D530" t="inlineStr">
        <is>
          <t>BAF20</t>
        </is>
      </c>
      <c r="E530" t="inlineStr">
        <is>
          <t>BO</t>
        </is>
      </c>
      <c r="F530" t="n">
        <v>7.2</v>
      </c>
      <c r="G530" t="n">
        <v>28</v>
      </c>
      <c r="H530" t="n">
        <v>27</v>
      </c>
      <c r="I530" t="inlineStr">
        <is>
          <t>L</t>
        </is>
      </c>
      <c r="J530" t="inlineStr">
        <is>
          <t>S</t>
        </is>
      </c>
      <c r="K530" t="inlineStr">
        <is>
          <t>Y</t>
        </is>
      </c>
      <c r="L530" t="inlineStr"/>
      <c r="M530" s="30">
        <f>0.005454*F530^2</f>
        <v/>
      </c>
      <c r="N530" s="31">
        <f>IF(D530="BAF20",20/M530,100)</f>
        <v/>
      </c>
      <c r="O530" s="31">
        <f>M530*N530</f>
        <v/>
      </c>
      <c r="P530" s="32">
        <f>0.0*N530</f>
        <v/>
      </c>
    </row>
    <row r="531">
      <c r="A531" t="inlineStr">
        <is>
          <t>U1-36</t>
        </is>
      </c>
      <c r="B531" t="n">
        <v>1</v>
      </c>
      <c r="C531" t="n">
        <v>5</v>
      </c>
      <c r="D531" t="inlineStr">
        <is>
          <t>BAF20</t>
        </is>
      </c>
      <c r="E531" t="inlineStr">
        <is>
          <t>DF</t>
        </is>
      </c>
      <c r="F531" t="n">
        <v>15</v>
      </c>
      <c r="G531" t="n">
        <v>67</v>
      </c>
      <c r="H531" t="n">
        <v>5</v>
      </c>
      <c r="I531" t="inlineStr">
        <is>
          <t>L</t>
        </is>
      </c>
      <c r="J531" t="inlineStr">
        <is>
          <t>I</t>
        </is>
      </c>
      <c r="K531" t="inlineStr"/>
      <c r="L531" t="inlineStr"/>
      <c r="M531" s="30">
        <f>0.005454*F531^2</f>
        <v/>
      </c>
      <c r="N531" s="31">
        <f>IF(D531="BAF20",20/M531,100)</f>
        <v/>
      </c>
      <c r="O531" s="31">
        <f>M531*N531</f>
        <v/>
      </c>
      <c r="P531" s="32">
        <f>125.5*N531</f>
        <v/>
      </c>
    </row>
    <row r="532">
      <c r="A532" t="inlineStr">
        <is>
          <t>U1-36</t>
        </is>
      </c>
      <c r="B532" t="n">
        <v>1</v>
      </c>
      <c r="C532" t="n">
        <v>6</v>
      </c>
      <c r="D532" t="inlineStr">
        <is>
          <t>BAF20</t>
        </is>
      </c>
      <c r="E532" t="inlineStr">
        <is>
          <t>DF</t>
        </is>
      </c>
      <c r="F532" t="n">
        <v>26.7</v>
      </c>
      <c r="G532" t="n">
        <v>132</v>
      </c>
      <c r="H532" t="n">
        <v>5</v>
      </c>
      <c r="I532" t="inlineStr">
        <is>
          <t>L</t>
        </is>
      </c>
      <c r="J532" t="inlineStr">
        <is>
          <t>D</t>
        </is>
      </c>
      <c r="K532" t="inlineStr"/>
      <c r="L532" t="inlineStr"/>
      <c r="M532" s="30">
        <f>0.005454*F532^2</f>
        <v/>
      </c>
      <c r="N532" s="31">
        <f>IF(D532="BAF20",20/M532,100)</f>
        <v/>
      </c>
      <c r="O532" s="31">
        <f>M532*N532</f>
        <v/>
      </c>
      <c r="P532" s="32">
        <f>977.3*N532</f>
        <v/>
      </c>
    </row>
    <row r="533">
      <c r="A533" t="inlineStr">
        <is>
          <t>U1-36</t>
        </is>
      </c>
      <c r="B533" t="n">
        <v>1</v>
      </c>
      <c r="C533" t="n">
        <v>7</v>
      </c>
      <c r="D533" t="inlineStr">
        <is>
          <t>BAF20</t>
        </is>
      </c>
      <c r="E533" t="inlineStr">
        <is>
          <t>PP</t>
        </is>
      </c>
      <c r="F533" t="n">
        <v>23.9</v>
      </c>
      <c r="G533" t="n">
        <v>108</v>
      </c>
      <c r="H533" t="n">
        <v>5</v>
      </c>
      <c r="I533" t="inlineStr">
        <is>
          <t>L</t>
        </is>
      </c>
      <c r="J533" t="inlineStr">
        <is>
          <t>C</t>
        </is>
      </c>
      <c r="K533" t="inlineStr"/>
      <c r="L533" t="inlineStr"/>
      <c r="M533" s="30">
        <f>0.005454*F533^2</f>
        <v/>
      </c>
      <c r="N533" s="31">
        <f>IF(D533="BAF20",20/M533,100)</f>
        <v/>
      </c>
      <c r="O533" s="31">
        <f>M533*N533</f>
        <v/>
      </c>
      <c r="P533" s="32">
        <f>610.3*N533</f>
        <v/>
      </c>
    </row>
    <row r="534">
      <c r="A534" t="inlineStr">
        <is>
          <t>U1-36</t>
        </is>
      </c>
      <c r="B534" t="n">
        <v>1</v>
      </c>
      <c r="C534" t="n">
        <v>8</v>
      </c>
      <c r="D534" t="inlineStr">
        <is>
          <t>BAF20</t>
        </is>
      </c>
      <c r="E534" t="inlineStr">
        <is>
          <t>WF</t>
        </is>
      </c>
      <c r="F534" t="n">
        <v>24.4</v>
      </c>
      <c r="G534" t="n">
        <v>114</v>
      </c>
      <c r="H534" t="n">
        <v>7</v>
      </c>
      <c r="I534" t="inlineStr">
        <is>
          <t>L</t>
        </is>
      </c>
      <c r="J534" t="inlineStr">
        <is>
          <t>C</t>
        </is>
      </c>
      <c r="K534" t="inlineStr"/>
      <c r="L534" t="inlineStr"/>
      <c r="M534" s="30">
        <f>0.005454*F534^2</f>
        <v/>
      </c>
      <c r="N534" s="31">
        <f>IF(D534="BAF20",20/M534,100)</f>
        <v/>
      </c>
      <c r="O534" s="31">
        <f>M534*N534</f>
        <v/>
      </c>
      <c r="P534" s="32">
        <f>663.1*N534</f>
        <v/>
      </c>
    </row>
    <row r="535">
      <c r="A535" t="inlineStr">
        <is>
          <t>U1-36</t>
        </is>
      </c>
      <c r="B535" t="n">
        <v>1</v>
      </c>
      <c r="C535" t="n">
        <v>9</v>
      </c>
      <c r="D535" t="inlineStr">
        <is>
          <t>BAF20</t>
        </is>
      </c>
      <c r="E535" t="inlineStr">
        <is>
          <t>IC</t>
        </is>
      </c>
      <c r="F535" t="n">
        <v>36.2</v>
      </c>
      <c r="G535" t="n">
        <v>100</v>
      </c>
      <c r="H535" t="n">
        <v>4</v>
      </c>
      <c r="I535" t="inlineStr">
        <is>
          <t>L</t>
        </is>
      </c>
      <c r="J535" t="inlineStr">
        <is>
          <t>D</t>
        </is>
      </c>
      <c r="K535" t="inlineStr"/>
      <c r="L535" t="inlineStr"/>
      <c r="M535" s="30">
        <f>0.005454*F535^2</f>
        <v/>
      </c>
      <c r="N535" s="31">
        <f>IF(D535="BAF20",20/M535,100)</f>
        <v/>
      </c>
      <c r="O535" s="31">
        <f>M535*N535</f>
        <v/>
      </c>
      <c r="P535" s="32">
        <f>1597.1*N535</f>
        <v/>
      </c>
    </row>
    <row r="536">
      <c r="A536" t="inlineStr">
        <is>
          <t>U1-36</t>
        </is>
      </c>
      <c r="B536" t="n">
        <v>1</v>
      </c>
      <c r="C536" t="n">
        <v>10</v>
      </c>
      <c r="D536" t="inlineStr">
        <is>
          <t>FIX100</t>
        </is>
      </c>
      <c r="E536" t="inlineStr">
        <is>
          <t>WF</t>
        </is>
      </c>
      <c r="F536" t="n">
        <v>3.5</v>
      </c>
      <c r="G536" t="n">
        <v>19</v>
      </c>
      <c r="H536" t="n">
        <v>0</v>
      </c>
      <c r="I536" t="inlineStr">
        <is>
          <t>L</t>
        </is>
      </c>
      <c r="J536" t="inlineStr">
        <is>
          <t>S</t>
        </is>
      </c>
      <c r="K536" t="inlineStr"/>
      <c r="L536" t="inlineStr"/>
      <c r="M536" s="30">
        <f>0.005454*F536^2</f>
        <v/>
      </c>
      <c r="N536" s="31">
        <f>IF(D536="BAF20",20/M536,100)</f>
        <v/>
      </c>
      <c r="O536" s="31">
        <f>M536*N536</f>
        <v/>
      </c>
      <c r="P536" s="32">
        <f>0.0*N536</f>
        <v/>
      </c>
    </row>
    <row r="537">
      <c r="A537" t="inlineStr">
        <is>
          <t>U1-37</t>
        </is>
      </c>
      <c r="B537" t="n">
        <v>1</v>
      </c>
      <c r="C537" t="n">
        <v>1</v>
      </c>
      <c r="D537" t="inlineStr">
        <is>
          <t>BAF20</t>
        </is>
      </c>
      <c r="E537" t="inlineStr">
        <is>
          <t>PP</t>
        </is>
      </c>
      <c r="F537" t="n">
        <v>23</v>
      </c>
      <c r="G537" t="n">
        <v>99</v>
      </c>
      <c r="H537" t="n">
        <v>1</v>
      </c>
      <c r="I537" t="inlineStr">
        <is>
          <t>L</t>
        </is>
      </c>
      <c r="J537" t="inlineStr">
        <is>
          <t>C</t>
        </is>
      </c>
      <c r="K537" t="inlineStr"/>
      <c r="L537" t="inlineStr"/>
      <c r="M537" s="30">
        <f>0.005454*F537^2</f>
        <v/>
      </c>
      <c r="N537" s="31">
        <f>IF(D537="BAF20",20/M537,100)</f>
        <v/>
      </c>
      <c r="O537" s="31">
        <f>M537*N537</f>
        <v/>
      </c>
      <c r="P537" s="32">
        <f>531.2*N537</f>
        <v/>
      </c>
    </row>
    <row r="538">
      <c r="A538" t="inlineStr">
        <is>
          <t>U1-37</t>
        </is>
      </c>
      <c r="B538" t="n">
        <v>1</v>
      </c>
      <c r="C538" t="n">
        <v>2</v>
      </c>
      <c r="D538" t="inlineStr">
        <is>
          <t>BAF20</t>
        </is>
      </c>
      <c r="E538" t="inlineStr">
        <is>
          <t>IC</t>
        </is>
      </c>
      <c r="F538" t="n">
        <v>13.5</v>
      </c>
      <c r="G538" t="n">
        <v>58</v>
      </c>
      <c r="H538" t="n">
        <v>9</v>
      </c>
      <c r="I538" t="inlineStr">
        <is>
          <t>L</t>
        </is>
      </c>
      <c r="J538" t="inlineStr">
        <is>
          <t>I</t>
        </is>
      </c>
      <c r="K538" t="inlineStr">
        <is>
          <t>Y</t>
        </is>
      </c>
      <c r="L538" t="inlineStr"/>
      <c r="M538" s="30">
        <f>0.005454*F538^2</f>
        <v/>
      </c>
      <c r="N538" s="31">
        <f>IF(D538="BAF20",20/M538,100)</f>
        <v/>
      </c>
      <c r="O538" s="31">
        <f>M538*N538</f>
        <v/>
      </c>
      <c r="P538" s="32">
        <f>81.6*N538</f>
        <v/>
      </c>
    </row>
    <row r="539">
      <c r="A539" t="inlineStr">
        <is>
          <t>U1-37</t>
        </is>
      </c>
      <c r="B539" t="n">
        <v>1</v>
      </c>
      <c r="C539" t="n">
        <v>3</v>
      </c>
      <c r="D539" t="inlineStr">
        <is>
          <t>BAF20</t>
        </is>
      </c>
      <c r="E539" t="inlineStr">
        <is>
          <t>WF</t>
        </is>
      </c>
      <c r="F539" t="n">
        <v>16.4</v>
      </c>
      <c r="G539" t="n">
        <v>76</v>
      </c>
      <c r="H539" t="n">
        <v>38</v>
      </c>
      <c r="I539" t="inlineStr">
        <is>
          <t>L</t>
        </is>
      </c>
      <c r="J539" t="inlineStr">
        <is>
          <t>I</t>
        </is>
      </c>
      <c r="K539" t="inlineStr"/>
      <c r="L539" t="inlineStr"/>
      <c r="M539" s="30">
        <f>0.005454*F539^2</f>
        <v/>
      </c>
      <c r="N539" s="31">
        <f>IF(D539="BAF20",20/M539,100)</f>
        <v/>
      </c>
      <c r="O539" s="31">
        <f>M539*N539</f>
        <v/>
      </c>
      <c r="P539" s="32">
        <f>114.3*N539</f>
        <v/>
      </c>
    </row>
    <row r="540">
      <c r="A540" t="inlineStr">
        <is>
          <t>U1-37</t>
        </is>
      </c>
      <c r="B540" t="n">
        <v>1</v>
      </c>
      <c r="C540" t="n">
        <v>4</v>
      </c>
      <c r="D540" t="inlineStr">
        <is>
          <t>BAF20</t>
        </is>
      </c>
      <c r="E540" t="inlineStr">
        <is>
          <t>WF</t>
        </is>
      </c>
      <c r="F540" t="n">
        <v>8.800000000000001</v>
      </c>
      <c r="G540" t="n">
        <v>43</v>
      </c>
      <c r="H540" t="n">
        <v>6</v>
      </c>
      <c r="I540" t="inlineStr">
        <is>
          <t>L</t>
        </is>
      </c>
      <c r="J540" t="inlineStr">
        <is>
          <t>S</t>
        </is>
      </c>
      <c r="K540" t="inlineStr">
        <is>
          <t>Y</t>
        </is>
      </c>
      <c r="L540" t="inlineStr"/>
      <c r="M540" s="30">
        <f>0.005454*F540^2</f>
        <v/>
      </c>
      <c r="N540" s="31">
        <f>IF(D540="BAF20",20/M540,100)</f>
        <v/>
      </c>
      <c r="O540" s="31">
        <f>M540*N540</f>
        <v/>
      </c>
      <c r="P540" s="32">
        <f>0.0*N540</f>
        <v/>
      </c>
    </row>
    <row r="541">
      <c r="A541" t="inlineStr">
        <is>
          <t>U1-37</t>
        </is>
      </c>
      <c r="B541" t="n">
        <v>1</v>
      </c>
      <c r="C541" t="n">
        <v>5</v>
      </c>
      <c r="D541" t="inlineStr">
        <is>
          <t>BAF20</t>
        </is>
      </c>
      <c r="E541" t="inlineStr">
        <is>
          <t>DF</t>
        </is>
      </c>
      <c r="F541" t="n">
        <v>27.5</v>
      </c>
      <c r="G541" t="n">
        <v>115</v>
      </c>
      <c r="H541" t="n">
        <v>100</v>
      </c>
      <c r="I541" t="inlineStr">
        <is>
          <t>D</t>
        </is>
      </c>
      <c r="J541" t="inlineStr">
        <is>
          <t>D</t>
        </is>
      </c>
      <c r="K541" t="inlineStr"/>
      <c r="L541" t="inlineStr"/>
      <c r="M541" s="30">
        <f>0.005454*F541^2</f>
        <v/>
      </c>
      <c r="N541" s="31">
        <f>IF(D541="BAF20",20/M541,100)</f>
        <v/>
      </c>
      <c r="O541" s="31">
        <f>M541*N541</f>
        <v/>
      </c>
      <c r="P541" s="32">
        <f>0.0*N541</f>
        <v/>
      </c>
    </row>
    <row r="542">
      <c r="A542" t="inlineStr">
        <is>
          <t>U1-37</t>
        </is>
      </c>
      <c r="B542" t="n">
        <v>1</v>
      </c>
      <c r="C542" t="n">
        <v>6</v>
      </c>
      <c r="D542" t="inlineStr">
        <is>
          <t>BAF20</t>
        </is>
      </c>
      <c r="E542" t="inlineStr">
        <is>
          <t>WF</t>
        </is>
      </c>
      <c r="F542" t="n">
        <v>27.5</v>
      </c>
      <c r="G542" t="n">
        <v>123</v>
      </c>
      <c r="H542" t="n">
        <v>9</v>
      </c>
      <c r="I542" t="inlineStr">
        <is>
          <t>L</t>
        </is>
      </c>
      <c r="J542" t="inlineStr">
        <is>
          <t>D</t>
        </is>
      </c>
      <c r="K542" t="inlineStr"/>
      <c r="L542" t="inlineStr"/>
      <c r="M542" s="30">
        <f>0.005454*F542^2</f>
        <v/>
      </c>
      <c r="N542" s="31">
        <f>IF(D542="BAF20",20/M542,100)</f>
        <v/>
      </c>
      <c r="O542" s="31">
        <f>M542*N542</f>
        <v/>
      </c>
      <c r="P542" s="32">
        <f>938.0*N542</f>
        <v/>
      </c>
    </row>
    <row r="543">
      <c r="A543" t="inlineStr">
        <is>
          <t>U1-37</t>
        </is>
      </c>
      <c r="B543" t="n">
        <v>1</v>
      </c>
      <c r="C543" t="n">
        <v>7</v>
      </c>
      <c r="D543" t="inlineStr">
        <is>
          <t>FIX100</t>
        </is>
      </c>
      <c r="E543" t="inlineStr">
        <is>
          <t>BO</t>
        </is>
      </c>
      <c r="F543" t="n">
        <v>1.1</v>
      </c>
      <c r="G543" t="n">
        <v>9</v>
      </c>
      <c r="H543" t="n">
        <v>0</v>
      </c>
      <c r="I543" t="inlineStr">
        <is>
          <t>L</t>
        </is>
      </c>
      <c r="J543" t="inlineStr">
        <is>
          <t>S</t>
        </is>
      </c>
      <c r="K543" t="inlineStr"/>
      <c r="L543" t="inlineStr"/>
      <c r="M543" s="30">
        <f>0.005454*F543^2</f>
        <v/>
      </c>
      <c r="N543" s="31">
        <f>IF(D543="BAF20",20/M543,100)</f>
        <v/>
      </c>
      <c r="O543" s="31">
        <f>M543*N543</f>
        <v/>
      </c>
      <c r="P543" s="32">
        <f>0.0*N543</f>
        <v/>
      </c>
    </row>
    <row r="544">
      <c r="A544" t="inlineStr">
        <is>
          <t>U1-37</t>
        </is>
      </c>
      <c r="B544" t="n">
        <v>1</v>
      </c>
      <c r="C544" t="n">
        <v>8</v>
      </c>
      <c r="D544" t="inlineStr">
        <is>
          <t>FIX100</t>
        </is>
      </c>
      <c r="E544" t="inlineStr">
        <is>
          <t>BO</t>
        </is>
      </c>
      <c r="F544" t="n">
        <v>2.7</v>
      </c>
      <c r="G544" t="n">
        <v>13</v>
      </c>
      <c r="H544" t="n">
        <v>0</v>
      </c>
      <c r="I544" t="inlineStr">
        <is>
          <t>L</t>
        </is>
      </c>
      <c r="J544" t="inlineStr">
        <is>
          <t>S</t>
        </is>
      </c>
      <c r="K544" t="inlineStr"/>
      <c r="L544" t="inlineStr"/>
      <c r="M544" s="30">
        <f>0.005454*F544^2</f>
        <v/>
      </c>
      <c r="N544" s="31">
        <f>IF(D544="BAF20",20/M544,100)</f>
        <v/>
      </c>
      <c r="O544" s="31">
        <f>M544*N544</f>
        <v/>
      </c>
      <c r="P544" s="32">
        <f>0.0*N544</f>
        <v/>
      </c>
    </row>
    <row r="545">
      <c r="A545" t="inlineStr">
        <is>
          <t>U1-37</t>
        </is>
      </c>
      <c r="B545" t="n">
        <v>1</v>
      </c>
      <c r="C545" t="n">
        <v>9</v>
      </c>
      <c r="D545" t="inlineStr">
        <is>
          <t>FIX100</t>
        </is>
      </c>
      <c r="E545" t="inlineStr">
        <is>
          <t>WF</t>
        </is>
      </c>
      <c r="F545" t="n">
        <v>1.7</v>
      </c>
      <c r="G545" t="n">
        <v>10</v>
      </c>
      <c r="H545" t="n">
        <v>0</v>
      </c>
      <c r="I545" t="inlineStr">
        <is>
          <t>L</t>
        </is>
      </c>
      <c r="J545" t="inlineStr">
        <is>
          <t>S</t>
        </is>
      </c>
      <c r="K545" t="inlineStr"/>
      <c r="L545" t="inlineStr"/>
      <c r="M545" s="30">
        <f>0.005454*F545^2</f>
        <v/>
      </c>
      <c r="N545" s="31">
        <f>IF(D545="BAF20",20/M545,100)</f>
        <v/>
      </c>
      <c r="O545" s="31">
        <f>M545*N545</f>
        <v/>
      </c>
      <c r="P545" s="32">
        <f>0.0*N545</f>
        <v/>
      </c>
    </row>
    <row r="546">
      <c r="A546" t="inlineStr">
        <is>
          <t>U1-37</t>
        </is>
      </c>
      <c r="B546" t="n">
        <v>1</v>
      </c>
      <c r="C546" t="n">
        <v>10</v>
      </c>
      <c r="D546" t="inlineStr">
        <is>
          <t>FIX100</t>
        </is>
      </c>
      <c r="E546" t="inlineStr">
        <is>
          <t>PP</t>
        </is>
      </c>
      <c r="F546" t="n">
        <v>4.9</v>
      </c>
      <c r="G546" t="n">
        <v>31</v>
      </c>
      <c r="H546" t="n">
        <v>0</v>
      </c>
      <c r="I546" t="inlineStr">
        <is>
          <t>L</t>
        </is>
      </c>
      <c r="J546" t="inlineStr">
        <is>
          <t>S</t>
        </is>
      </c>
      <c r="K546" t="inlineStr"/>
      <c r="L546" t="inlineStr"/>
      <c r="M546" s="30">
        <f>0.005454*F546^2</f>
        <v/>
      </c>
      <c r="N546" s="31">
        <f>IF(D546="BAF20",20/M546,100)</f>
        <v/>
      </c>
      <c r="O546" s="31">
        <f>M546*N546</f>
        <v/>
      </c>
      <c r="P546" s="32">
        <f>0.0*N546</f>
        <v/>
      </c>
    </row>
    <row r="547">
      <c r="A547" t="inlineStr">
        <is>
          <t>U1-37</t>
        </is>
      </c>
      <c r="B547" t="n">
        <v>1</v>
      </c>
      <c r="C547" t="n">
        <v>11</v>
      </c>
      <c r="D547" t="inlineStr">
        <is>
          <t>FIX100</t>
        </is>
      </c>
      <c r="E547" t="inlineStr">
        <is>
          <t>SP</t>
        </is>
      </c>
      <c r="F547" t="n">
        <v>2.9</v>
      </c>
      <c r="G547" t="n">
        <v>20</v>
      </c>
      <c r="H547" t="n">
        <v>0</v>
      </c>
      <c r="I547" t="inlineStr">
        <is>
          <t>L</t>
        </is>
      </c>
      <c r="J547" t="inlineStr">
        <is>
          <t>S</t>
        </is>
      </c>
      <c r="K547" t="inlineStr"/>
      <c r="L547" t="inlineStr"/>
      <c r="M547" s="30">
        <f>0.005454*F547^2</f>
        <v/>
      </c>
      <c r="N547" s="31">
        <f>IF(D547="BAF20",20/M547,100)</f>
        <v/>
      </c>
      <c r="O547" s="31">
        <f>M547*N547</f>
        <v/>
      </c>
      <c r="P547" s="32">
        <f>0.0*N547</f>
        <v/>
      </c>
    </row>
    <row r="548">
      <c r="A548" t="inlineStr">
        <is>
          <t>U1-37</t>
        </is>
      </c>
      <c r="B548" t="n">
        <v>1</v>
      </c>
      <c r="C548" t="n">
        <v>12</v>
      </c>
      <c r="D548" t="inlineStr">
        <is>
          <t>FIX100</t>
        </is>
      </c>
      <c r="E548" t="inlineStr">
        <is>
          <t>PP</t>
        </is>
      </c>
      <c r="F548" t="n">
        <v>2.6</v>
      </c>
      <c r="G548" t="n">
        <v>15</v>
      </c>
      <c r="H548" t="n">
        <v>0</v>
      </c>
      <c r="I548" t="inlineStr">
        <is>
          <t>L</t>
        </is>
      </c>
      <c r="J548" t="inlineStr">
        <is>
          <t>S</t>
        </is>
      </c>
      <c r="K548" t="inlineStr"/>
      <c r="L548" t="inlineStr"/>
      <c r="M548" s="30">
        <f>0.005454*F548^2</f>
        <v/>
      </c>
      <c r="N548" s="31">
        <f>IF(D548="BAF20",20/M548,100)</f>
        <v/>
      </c>
      <c r="O548" s="31">
        <f>M548*N548</f>
        <v/>
      </c>
      <c r="P548" s="32">
        <f>0.0*N548</f>
        <v/>
      </c>
    </row>
    <row r="549">
      <c r="A549" t="inlineStr">
        <is>
          <t>U1-38</t>
        </is>
      </c>
      <c r="B549" t="n">
        <v>1</v>
      </c>
      <c r="C549" t="n">
        <v>1</v>
      </c>
      <c r="D549" t="inlineStr">
        <is>
          <t>BAF20</t>
        </is>
      </c>
      <c r="E549" t="inlineStr">
        <is>
          <t>IC</t>
        </is>
      </c>
      <c r="F549" t="n">
        <v>8.4</v>
      </c>
      <c r="G549" t="n">
        <v>35</v>
      </c>
      <c r="H549" t="n">
        <v>6</v>
      </c>
      <c r="I549" t="inlineStr">
        <is>
          <t>L</t>
        </is>
      </c>
      <c r="J549" t="inlineStr">
        <is>
          <t>S</t>
        </is>
      </c>
      <c r="K549" t="inlineStr">
        <is>
          <t>Y</t>
        </is>
      </c>
      <c r="L549" t="inlineStr"/>
      <c r="M549" s="30">
        <f>0.005454*F549^2</f>
        <v/>
      </c>
      <c r="N549" s="31">
        <f>IF(D549="BAF20",20/M549,100)</f>
        <v/>
      </c>
      <c r="O549" s="31">
        <f>M549*N549</f>
        <v/>
      </c>
      <c r="P549" s="32">
        <f>0.0*N549</f>
        <v/>
      </c>
    </row>
    <row r="550">
      <c r="A550" t="inlineStr">
        <is>
          <t>U1-38</t>
        </is>
      </c>
      <c r="B550" t="n">
        <v>1</v>
      </c>
      <c r="C550" t="n">
        <v>2</v>
      </c>
      <c r="D550" t="inlineStr">
        <is>
          <t>BAF20</t>
        </is>
      </c>
      <c r="E550" t="inlineStr">
        <is>
          <t>WF</t>
        </is>
      </c>
      <c r="F550" t="n">
        <v>35.8</v>
      </c>
      <c r="G550" t="n">
        <v>128</v>
      </c>
      <c r="H550" t="n">
        <v>4</v>
      </c>
      <c r="I550" t="inlineStr">
        <is>
          <t>L</t>
        </is>
      </c>
      <c r="J550" t="inlineStr">
        <is>
          <t>D</t>
        </is>
      </c>
      <c r="K550" t="inlineStr"/>
      <c r="L550" t="inlineStr"/>
      <c r="M550" s="30">
        <f>0.005454*F550^2</f>
        <v/>
      </c>
      <c r="N550" s="31">
        <f>IF(D550="BAF20",20/M550,100)</f>
        <v/>
      </c>
      <c r="O550" s="31">
        <f>M550*N550</f>
        <v/>
      </c>
      <c r="P550" s="32">
        <f>1987.7*N550</f>
        <v/>
      </c>
    </row>
    <row r="551">
      <c r="A551" t="inlineStr">
        <is>
          <t>U1-38</t>
        </is>
      </c>
      <c r="B551" t="n">
        <v>1</v>
      </c>
      <c r="C551" t="n">
        <v>3</v>
      </c>
      <c r="D551" t="inlineStr">
        <is>
          <t>BAF20</t>
        </is>
      </c>
      <c r="E551" t="inlineStr">
        <is>
          <t>PP</t>
        </is>
      </c>
      <c r="F551" t="n">
        <v>16.4</v>
      </c>
      <c r="G551" t="n">
        <v>74</v>
      </c>
      <c r="H551" t="n">
        <v>1</v>
      </c>
      <c r="I551" t="inlineStr">
        <is>
          <t>L</t>
        </is>
      </c>
      <c r="J551" t="inlineStr">
        <is>
          <t>I</t>
        </is>
      </c>
      <c r="K551" t="inlineStr"/>
      <c r="L551" t="inlineStr"/>
      <c r="M551" s="30">
        <f>0.005454*F551^2</f>
        <v/>
      </c>
      <c r="N551" s="31">
        <f>IF(D551="BAF20",20/M551,100)</f>
        <v/>
      </c>
      <c r="O551" s="31">
        <f>M551*N551</f>
        <v/>
      </c>
      <c r="P551" s="32">
        <f>177.8*N551</f>
        <v/>
      </c>
    </row>
    <row r="552">
      <c r="A552" t="inlineStr">
        <is>
          <t>U1-38</t>
        </is>
      </c>
      <c r="B552" t="n">
        <v>1</v>
      </c>
      <c r="C552" t="n">
        <v>4</v>
      </c>
      <c r="D552" t="inlineStr">
        <is>
          <t>BAF20</t>
        </is>
      </c>
      <c r="E552" t="inlineStr">
        <is>
          <t>PP</t>
        </is>
      </c>
      <c r="F552" t="n">
        <v>20.6</v>
      </c>
      <c r="G552" t="n">
        <v>76</v>
      </c>
      <c r="H552" t="n">
        <v>12</v>
      </c>
      <c r="I552" t="inlineStr">
        <is>
          <t>L</t>
        </is>
      </c>
      <c r="J552" t="inlineStr">
        <is>
          <t>C</t>
        </is>
      </c>
      <c r="K552" t="inlineStr"/>
      <c r="L552" t="inlineStr"/>
      <c r="M552" s="30">
        <f>0.005454*F552^2</f>
        <v/>
      </c>
      <c r="N552" s="31">
        <f>IF(D552="BAF20",20/M552,100)</f>
        <v/>
      </c>
      <c r="O552" s="31">
        <f>M552*N552</f>
        <v/>
      </c>
      <c r="P552" s="32">
        <f>278.2*N552</f>
        <v/>
      </c>
    </row>
    <row r="553">
      <c r="A553" t="inlineStr">
        <is>
          <t>U1-38</t>
        </is>
      </c>
      <c r="B553" t="n">
        <v>1</v>
      </c>
      <c r="C553" t="n">
        <v>5</v>
      </c>
      <c r="D553" t="inlineStr">
        <is>
          <t>BAF20</t>
        </is>
      </c>
      <c r="E553" t="inlineStr">
        <is>
          <t>IC</t>
        </is>
      </c>
      <c r="F553" t="n">
        <v>16.6</v>
      </c>
      <c r="G553" t="n">
        <v>70</v>
      </c>
      <c r="H553" t="n">
        <v>11</v>
      </c>
      <c r="I553" t="inlineStr">
        <is>
          <t>L</t>
        </is>
      </c>
      <c r="J553" t="inlineStr">
        <is>
          <t>I</t>
        </is>
      </c>
      <c r="K553" t="inlineStr"/>
      <c r="L553" t="inlineStr"/>
      <c r="M553" s="30">
        <f>0.005454*F553^2</f>
        <v/>
      </c>
      <c r="N553" s="31">
        <f>IF(D553="BAF20",20/M553,100)</f>
        <v/>
      </c>
      <c r="O553" s="31">
        <f>M553*N553</f>
        <v/>
      </c>
      <c r="P553" s="32">
        <f>155.5*N553</f>
        <v/>
      </c>
    </row>
    <row r="554">
      <c r="A554" t="inlineStr">
        <is>
          <t>U1-38</t>
        </is>
      </c>
      <c r="B554" t="n">
        <v>1</v>
      </c>
      <c r="C554" t="n">
        <v>6</v>
      </c>
      <c r="D554" t="inlineStr">
        <is>
          <t>BAF20</t>
        </is>
      </c>
      <c r="E554" t="inlineStr">
        <is>
          <t>IC</t>
        </is>
      </c>
      <c r="F554" t="n">
        <v>10.4</v>
      </c>
      <c r="G554" t="n">
        <v>46</v>
      </c>
      <c r="H554" t="n">
        <v>4</v>
      </c>
      <c r="I554" t="inlineStr">
        <is>
          <t>L</t>
        </is>
      </c>
      <c r="J554" t="inlineStr">
        <is>
          <t>S</t>
        </is>
      </c>
      <c r="K554" t="inlineStr">
        <is>
          <t>Y</t>
        </is>
      </c>
      <c r="L554" t="inlineStr"/>
      <c r="M554" s="30">
        <f>0.005454*F554^2</f>
        <v/>
      </c>
      <c r="N554" s="31">
        <f>IF(D554="BAF20",20/M554,100)</f>
        <v/>
      </c>
      <c r="O554" s="31">
        <f>M554*N554</f>
        <v/>
      </c>
      <c r="P554" s="32">
        <f>37.8*N554</f>
        <v/>
      </c>
    </row>
    <row r="555">
      <c r="A555" t="inlineStr">
        <is>
          <t>U1-38</t>
        </is>
      </c>
      <c r="B555" t="n">
        <v>1</v>
      </c>
      <c r="C555" t="n">
        <v>7</v>
      </c>
      <c r="D555" t="inlineStr">
        <is>
          <t>BAF20</t>
        </is>
      </c>
      <c r="E555" t="inlineStr">
        <is>
          <t>UNK</t>
        </is>
      </c>
      <c r="F555" t="n">
        <v>12.2</v>
      </c>
      <c r="G555" t="n">
        <v>69</v>
      </c>
      <c r="H555" t="n">
        <v>7</v>
      </c>
      <c r="I555" t="inlineStr">
        <is>
          <t>L</t>
        </is>
      </c>
      <c r="J555" t="inlineStr">
        <is>
          <t>S</t>
        </is>
      </c>
      <c r="K555" t="inlineStr">
        <is>
          <t>Y</t>
        </is>
      </c>
      <c r="L555" t="inlineStr"/>
      <c r="M555" s="30">
        <f>0.005454*F555^2</f>
        <v/>
      </c>
      <c r="N555" s="31">
        <f>IF(D555="BAF20",20/M555,100)</f>
        <v/>
      </c>
      <c r="O555" s="31">
        <f>M555*N555</f>
        <v/>
      </c>
      <c r="P555" s="32">
        <f>78.7*N555</f>
        <v/>
      </c>
    </row>
    <row r="556">
      <c r="A556" t="inlineStr">
        <is>
          <t>U1-38</t>
        </is>
      </c>
      <c r="B556" t="n">
        <v>1</v>
      </c>
      <c r="C556" t="n">
        <v>8</v>
      </c>
      <c r="D556" t="inlineStr">
        <is>
          <t>BAF20</t>
        </is>
      </c>
      <c r="E556" t="inlineStr">
        <is>
          <t>WF</t>
        </is>
      </c>
      <c r="F556" t="n">
        <v>11.6</v>
      </c>
      <c r="G556" t="n">
        <v>56</v>
      </c>
      <c r="H556" t="n">
        <v>10</v>
      </c>
      <c r="I556" t="inlineStr">
        <is>
          <t>L</t>
        </is>
      </c>
      <c r="J556" t="inlineStr">
        <is>
          <t>S</t>
        </is>
      </c>
      <c r="K556" t="inlineStr">
        <is>
          <t>Y</t>
        </is>
      </c>
      <c r="L556" t="inlineStr"/>
      <c r="M556" s="30">
        <f>0.005454*F556^2</f>
        <v/>
      </c>
      <c r="N556" s="31">
        <f>IF(D556="BAF20",20/M556,100)</f>
        <v/>
      </c>
      <c r="O556" s="31">
        <f>M556*N556</f>
        <v/>
      </c>
      <c r="P556" s="32">
        <f>55.1*N556</f>
        <v/>
      </c>
    </row>
    <row r="557">
      <c r="A557" t="inlineStr">
        <is>
          <t>U1-38</t>
        </is>
      </c>
      <c r="B557" t="n">
        <v>1</v>
      </c>
      <c r="C557" t="n">
        <v>9</v>
      </c>
      <c r="D557" t="inlineStr">
        <is>
          <t>BAF20</t>
        </is>
      </c>
      <c r="E557" t="inlineStr">
        <is>
          <t>WF</t>
        </is>
      </c>
      <c r="F557" t="n">
        <v>27.9</v>
      </c>
      <c r="G557" t="n">
        <v>119</v>
      </c>
      <c r="H557" t="n">
        <v>3</v>
      </c>
      <c r="I557" t="inlineStr">
        <is>
          <t>L</t>
        </is>
      </c>
      <c r="J557" t="inlineStr">
        <is>
          <t>D</t>
        </is>
      </c>
      <c r="K557" t="inlineStr"/>
      <c r="L557" t="inlineStr"/>
      <c r="M557" s="30">
        <f>0.005454*F557^2</f>
        <v/>
      </c>
      <c r="N557" s="31">
        <f>IF(D557="BAF20",20/M557,100)</f>
        <v/>
      </c>
      <c r="O557" s="31">
        <f>M557*N557</f>
        <v/>
      </c>
      <c r="P557" s="32">
        <f>1002.3*N557</f>
        <v/>
      </c>
    </row>
    <row r="558">
      <c r="A558" t="inlineStr">
        <is>
          <t>U1-38</t>
        </is>
      </c>
      <c r="B558" t="n">
        <v>1</v>
      </c>
      <c r="C558" t="n">
        <v>10</v>
      </c>
      <c r="D558" t="inlineStr">
        <is>
          <t>BAF20</t>
        </is>
      </c>
      <c r="E558" t="inlineStr">
        <is>
          <t>DF</t>
        </is>
      </c>
      <c r="F558" t="n">
        <v>15.4</v>
      </c>
      <c r="G558" t="n">
        <v>77</v>
      </c>
      <c r="H558" t="n">
        <v>3</v>
      </c>
      <c r="I558" t="inlineStr">
        <is>
          <t>L</t>
        </is>
      </c>
      <c r="J558" t="inlineStr">
        <is>
          <t>I</t>
        </is>
      </c>
      <c r="K558" t="inlineStr"/>
      <c r="L558" t="inlineStr"/>
      <c r="M558" s="30">
        <f>0.005454*F558^2</f>
        <v/>
      </c>
      <c r="N558" s="31">
        <f>IF(D558="BAF20",20/M558,100)</f>
        <v/>
      </c>
      <c r="O558" s="31">
        <f>M558*N558</f>
        <v/>
      </c>
      <c r="P558" s="32">
        <f>156.5*N558</f>
        <v/>
      </c>
    </row>
    <row r="559">
      <c r="A559" t="inlineStr">
        <is>
          <t>U1-38</t>
        </is>
      </c>
      <c r="B559" t="n">
        <v>1</v>
      </c>
      <c r="C559" t="n">
        <v>11</v>
      </c>
      <c r="D559" t="inlineStr">
        <is>
          <t>BAF20</t>
        </is>
      </c>
      <c r="E559" t="inlineStr">
        <is>
          <t>WF</t>
        </is>
      </c>
      <c r="F559" t="n">
        <v>24.7</v>
      </c>
      <c r="G559" t="n">
        <v>101</v>
      </c>
      <c r="H559" t="n">
        <v>3</v>
      </c>
      <c r="I559" t="inlineStr">
        <is>
          <t>L</t>
        </is>
      </c>
      <c r="J559" t="inlineStr">
        <is>
          <t>C</t>
        </is>
      </c>
      <c r="K559" t="inlineStr"/>
      <c r="L559" t="inlineStr"/>
      <c r="M559" s="30">
        <f>0.005454*F559^2</f>
        <v/>
      </c>
      <c r="N559" s="31">
        <f>IF(D559="BAF20",20/M559,100)</f>
        <v/>
      </c>
      <c r="O559" s="31">
        <f>M559*N559</f>
        <v/>
      </c>
      <c r="P559" s="32">
        <f>631.3*N559</f>
        <v/>
      </c>
    </row>
    <row r="560">
      <c r="A560" t="inlineStr">
        <is>
          <t>U1-38</t>
        </is>
      </c>
      <c r="B560" t="n">
        <v>1</v>
      </c>
      <c r="C560" t="n">
        <v>12</v>
      </c>
      <c r="D560" t="inlineStr">
        <is>
          <t>BAF20</t>
        </is>
      </c>
      <c r="E560" t="inlineStr">
        <is>
          <t>BO</t>
        </is>
      </c>
      <c r="F560" t="n">
        <v>14.1</v>
      </c>
      <c r="G560" t="n">
        <v>50</v>
      </c>
      <c r="H560" t="n">
        <v>16</v>
      </c>
      <c r="I560" t="inlineStr">
        <is>
          <t>L</t>
        </is>
      </c>
      <c r="J560" t="inlineStr">
        <is>
          <t>I</t>
        </is>
      </c>
      <c r="K560" t="inlineStr">
        <is>
          <t>Y</t>
        </is>
      </c>
      <c r="L560" t="inlineStr"/>
      <c r="M560" s="30">
        <f>0.005454*F560^2</f>
        <v/>
      </c>
      <c r="N560" s="31">
        <f>IF(D560="BAF20",20/M560,100)</f>
        <v/>
      </c>
      <c r="O560" s="31">
        <f>M560*N560</f>
        <v/>
      </c>
      <c r="P560" s="32">
        <f>64.9*N560</f>
        <v/>
      </c>
    </row>
    <row r="561">
      <c r="A561" t="inlineStr">
        <is>
          <t>U1-38</t>
        </is>
      </c>
      <c r="B561" t="n">
        <v>1</v>
      </c>
      <c r="C561" t="n">
        <v>13</v>
      </c>
      <c r="D561" t="inlineStr">
        <is>
          <t>BAF20</t>
        </is>
      </c>
      <c r="E561" t="inlineStr">
        <is>
          <t>PP</t>
        </is>
      </c>
      <c r="F561" t="n">
        <v>20.1</v>
      </c>
      <c r="G561" t="n">
        <v>85</v>
      </c>
      <c r="H561" t="n">
        <v>1</v>
      </c>
      <c r="I561" t="inlineStr">
        <is>
          <t>L</t>
        </is>
      </c>
      <c r="J561" t="inlineStr">
        <is>
          <t>C</t>
        </is>
      </c>
      <c r="K561" t="inlineStr"/>
      <c r="L561" t="inlineStr"/>
      <c r="M561" s="30">
        <f>0.005454*F561^2</f>
        <v/>
      </c>
      <c r="N561" s="31">
        <f>IF(D561="BAF20",20/M561,100)</f>
        <v/>
      </c>
      <c r="O561" s="31">
        <f>M561*N561</f>
        <v/>
      </c>
      <c r="P561" s="32">
        <f>330.1*N561</f>
        <v/>
      </c>
    </row>
    <row r="562">
      <c r="A562" t="inlineStr">
        <is>
          <t>U1-38</t>
        </is>
      </c>
      <c r="B562" t="n">
        <v>1</v>
      </c>
      <c r="C562" t="n">
        <v>14</v>
      </c>
      <c r="D562" t="inlineStr">
        <is>
          <t>BAF20</t>
        </is>
      </c>
      <c r="E562" t="inlineStr">
        <is>
          <t>DF</t>
        </is>
      </c>
      <c r="F562" t="n">
        <v>13.5</v>
      </c>
      <c r="G562" t="n">
        <v>62</v>
      </c>
      <c r="H562" t="n">
        <v>3</v>
      </c>
      <c r="I562" t="inlineStr">
        <is>
          <t>L</t>
        </is>
      </c>
      <c r="J562" t="inlineStr">
        <is>
          <t>I</t>
        </is>
      </c>
      <c r="K562" t="inlineStr">
        <is>
          <t>Y</t>
        </is>
      </c>
      <c r="L562" t="inlineStr"/>
      <c r="M562" s="30">
        <f>0.005454*F562^2</f>
        <v/>
      </c>
      <c r="N562" s="31">
        <f>IF(D562="BAF20",20/M562,100)</f>
        <v/>
      </c>
      <c r="O562" s="31">
        <f>M562*N562</f>
        <v/>
      </c>
      <c r="P562" s="32">
        <f>93.0*N562</f>
        <v/>
      </c>
    </row>
    <row r="563">
      <c r="A563" t="inlineStr">
        <is>
          <t>U1-38</t>
        </is>
      </c>
      <c r="B563" t="n">
        <v>1</v>
      </c>
      <c r="C563" t="n">
        <v>15</v>
      </c>
      <c r="D563" t="inlineStr">
        <is>
          <t>BAF20</t>
        </is>
      </c>
      <c r="E563" t="inlineStr">
        <is>
          <t>IC</t>
        </is>
      </c>
      <c r="F563" t="n">
        <v>17.8</v>
      </c>
      <c r="G563" t="n">
        <v>71</v>
      </c>
      <c r="H563" t="n">
        <v>3</v>
      </c>
      <c r="I563" t="inlineStr">
        <is>
          <t>L</t>
        </is>
      </c>
      <c r="J563" t="inlineStr">
        <is>
          <t>I</t>
        </is>
      </c>
      <c r="K563" t="inlineStr"/>
      <c r="L563" t="inlineStr"/>
      <c r="M563" s="30">
        <f>0.005454*F563^2</f>
        <v/>
      </c>
      <c r="N563" s="31">
        <f>IF(D563="BAF20",20/M563,100)</f>
        <v/>
      </c>
      <c r="O563" s="31">
        <f>M563*N563</f>
        <v/>
      </c>
      <c r="P563" s="32">
        <f>202.5*N563</f>
        <v/>
      </c>
    </row>
    <row r="564">
      <c r="A564" t="inlineStr">
        <is>
          <t>U1-38</t>
        </is>
      </c>
      <c r="B564" t="n">
        <v>1</v>
      </c>
      <c r="C564" t="n">
        <v>16</v>
      </c>
      <c r="D564" t="inlineStr">
        <is>
          <t>FIX100</t>
        </is>
      </c>
      <c r="E564" t="inlineStr">
        <is>
          <t>BO</t>
        </is>
      </c>
      <c r="F564" t="n">
        <v>2.8</v>
      </c>
      <c r="G564" t="n">
        <v>14</v>
      </c>
      <c r="H564" t="n">
        <v>0</v>
      </c>
      <c r="I564" t="inlineStr">
        <is>
          <t>L</t>
        </is>
      </c>
      <c r="J564" t="inlineStr">
        <is>
          <t>S</t>
        </is>
      </c>
      <c r="K564" t="inlineStr"/>
      <c r="L564" t="inlineStr"/>
      <c r="M564" s="30">
        <f>0.005454*F564^2</f>
        <v/>
      </c>
      <c r="N564" s="31">
        <f>IF(D564="BAF20",20/M564,100)</f>
        <v/>
      </c>
      <c r="O564" s="31">
        <f>M564*N564</f>
        <v/>
      </c>
      <c r="P564" s="32">
        <f>0.0*N564</f>
        <v/>
      </c>
    </row>
    <row r="565">
      <c r="A565" t="inlineStr">
        <is>
          <t>U1-38</t>
        </is>
      </c>
      <c r="B565" t="n">
        <v>1</v>
      </c>
      <c r="C565" t="n">
        <v>17</v>
      </c>
      <c r="D565" t="inlineStr">
        <is>
          <t>FIX100</t>
        </is>
      </c>
      <c r="E565" t="inlineStr">
        <is>
          <t>DF</t>
        </is>
      </c>
      <c r="F565" t="n">
        <v>4.6</v>
      </c>
      <c r="G565" t="n">
        <v>32</v>
      </c>
      <c r="H565" t="n">
        <v>0</v>
      </c>
      <c r="I565" t="inlineStr">
        <is>
          <t>L</t>
        </is>
      </c>
      <c r="J565" t="inlineStr">
        <is>
          <t>S</t>
        </is>
      </c>
      <c r="K565" t="inlineStr"/>
      <c r="L565" t="inlineStr"/>
      <c r="M565" s="30">
        <f>0.005454*F565^2</f>
        <v/>
      </c>
      <c r="N565" s="31">
        <f>IF(D565="BAF20",20/M565,100)</f>
        <v/>
      </c>
      <c r="O565" s="31">
        <f>M565*N565</f>
        <v/>
      </c>
      <c r="P565" s="32">
        <f>0.0*N565</f>
        <v/>
      </c>
    </row>
    <row r="566">
      <c r="A566" t="inlineStr">
        <is>
          <t>U1-38</t>
        </is>
      </c>
      <c r="B566" t="n">
        <v>1</v>
      </c>
      <c r="C566" t="n">
        <v>18</v>
      </c>
      <c r="D566" t="inlineStr">
        <is>
          <t>FIX100</t>
        </is>
      </c>
      <c r="E566" t="inlineStr">
        <is>
          <t>IC</t>
        </is>
      </c>
      <c r="F566" t="n">
        <v>1.1</v>
      </c>
      <c r="G566" t="n">
        <v>8</v>
      </c>
      <c r="H566" t="n">
        <v>0</v>
      </c>
      <c r="I566" t="inlineStr">
        <is>
          <t>L</t>
        </is>
      </c>
      <c r="J566" t="inlineStr">
        <is>
          <t>S</t>
        </is>
      </c>
      <c r="K566" t="inlineStr"/>
      <c r="L566" t="inlineStr"/>
      <c r="M566" s="30">
        <f>0.005454*F566^2</f>
        <v/>
      </c>
      <c r="N566" s="31">
        <f>IF(D566="BAF20",20/M566,100)</f>
        <v/>
      </c>
      <c r="O566" s="31">
        <f>M566*N566</f>
        <v/>
      </c>
      <c r="P566" s="32">
        <f>0.0*N566</f>
        <v/>
      </c>
    </row>
    <row r="567">
      <c r="A567" t="inlineStr">
        <is>
          <t>U1-38</t>
        </is>
      </c>
      <c r="B567" t="n">
        <v>1</v>
      </c>
      <c r="C567" t="n">
        <v>19</v>
      </c>
      <c r="D567" t="inlineStr">
        <is>
          <t>FIX100</t>
        </is>
      </c>
      <c r="E567" t="inlineStr">
        <is>
          <t>DF</t>
        </is>
      </c>
      <c r="F567" t="n">
        <v>2.2</v>
      </c>
      <c r="G567" t="n">
        <v>16</v>
      </c>
      <c r="H567" t="n">
        <v>0</v>
      </c>
      <c r="I567" t="inlineStr">
        <is>
          <t>L</t>
        </is>
      </c>
      <c r="J567" t="inlineStr">
        <is>
          <t>S</t>
        </is>
      </c>
      <c r="K567" t="inlineStr"/>
      <c r="L567" t="inlineStr"/>
      <c r="M567" s="30">
        <f>0.005454*F567^2</f>
        <v/>
      </c>
      <c r="N567" s="31">
        <f>IF(D567="BAF20",20/M567,100)</f>
        <v/>
      </c>
      <c r="O567" s="31">
        <f>M567*N567</f>
        <v/>
      </c>
      <c r="P567" s="32">
        <f>0.0*N567</f>
        <v/>
      </c>
    </row>
    <row r="568">
      <c r="A568" t="inlineStr">
        <is>
          <t>U1-38</t>
        </is>
      </c>
      <c r="B568" t="n">
        <v>1</v>
      </c>
      <c r="C568" t="n">
        <v>20</v>
      </c>
      <c r="D568" t="inlineStr">
        <is>
          <t>FIX100</t>
        </is>
      </c>
      <c r="E568" t="inlineStr">
        <is>
          <t>WF</t>
        </is>
      </c>
      <c r="F568" t="n">
        <v>1.8</v>
      </c>
      <c r="G568" t="n">
        <v>12</v>
      </c>
      <c r="H568" t="n">
        <v>0</v>
      </c>
      <c r="I568" t="inlineStr">
        <is>
          <t>L</t>
        </is>
      </c>
      <c r="J568" t="inlineStr">
        <is>
          <t>S</t>
        </is>
      </c>
      <c r="K568" t="inlineStr"/>
      <c r="L568" t="inlineStr"/>
      <c r="M568" s="30">
        <f>0.005454*F568^2</f>
        <v/>
      </c>
      <c r="N568" s="31">
        <f>IF(D568="BAF20",20/M568,100)</f>
        <v/>
      </c>
      <c r="O568" s="31">
        <f>M568*N568</f>
        <v/>
      </c>
      <c r="P568" s="32">
        <f>0.0*N568</f>
        <v/>
      </c>
    </row>
    <row r="569">
      <c r="A569" t="inlineStr">
        <is>
          <t>U1-39</t>
        </is>
      </c>
      <c r="B569" t="n">
        <v>1</v>
      </c>
      <c r="C569" t="n">
        <v>1</v>
      </c>
      <c r="D569" t="inlineStr">
        <is>
          <t>BAF20</t>
        </is>
      </c>
      <c r="E569" t="inlineStr">
        <is>
          <t>SP</t>
        </is>
      </c>
      <c r="F569" t="n">
        <v>13.2</v>
      </c>
      <c r="G569" t="n">
        <v>78</v>
      </c>
      <c r="H569" t="n">
        <v>1</v>
      </c>
      <c r="I569" t="inlineStr">
        <is>
          <t>L</t>
        </is>
      </c>
      <c r="J569" t="inlineStr">
        <is>
          <t>S</t>
        </is>
      </c>
      <c r="K569" t="inlineStr"/>
      <c r="L569" t="inlineStr"/>
      <c r="M569" s="30">
        <f>0.005454*F569^2</f>
        <v/>
      </c>
      <c r="N569" s="31">
        <f>IF(D569="BAF20",20/M569,100)</f>
        <v/>
      </c>
      <c r="O569" s="31">
        <f>M569*N569</f>
        <v/>
      </c>
      <c r="P569" s="32">
        <f>113.4*N569</f>
        <v/>
      </c>
    </row>
    <row r="570">
      <c r="A570" t="inlineStr">
        <is>
          <t>U1-39</t>
        </is>
      </c>
      <c r="B570" t="n">
        <v>1</v>
      </c>
      <c r="C570" t="n">
        <v>2</v>
      </c>
      <c r="D570" t="inlineStr">
        <is>
          <t>BAF20</t>
        </is>
      </c>
      <c r="E570" t="inlineStr">
        <is>
          <t>PP</t>
        </is>
      </c>
      <c r="F570" t="n">
        <v>17</v>
      </c>
      <c r="G570" t="n">
        <v>76</v>
      </c>
      <c r="H570" t="n">
        <v>0</v>
      </c>
      <c r="I570" t="inlineStr">
        <is>
          <t>L</t>
        </is>
      </c>
      <c r="J570" t="inlineStr">
        <is>
          <t>I</t>
        </is>
      </c>
      <c r="K570" t="inlineStr"/>
      <c r="L570" t="inlineStr"/>
      <c r="M570" s="30">
        <f>0.005454*F570^2</f>
        <v/>
      </c>
      <c r="N570" s="31">
        <f>IF(D570="BAF20",20/M570,100)</f>
        <v/>
      </c>
      <c r="O570" s="31">
        <f>M570*N570</f>
        <v/>
      </c>
      <c r="P570" s="32">
        <f>200.6*N570</f>
        <v/>
      </c>
    </row>
    <row r="571">
      <c r="A571" t="inlineStr">
        <is>
          <t>U1-39</t>
        </is>
      </c>
      <c r="B571" t="n">
        <v>1</v>
      </c>
      <c r="C571" t="n">
        <v>3</v>
      </c>
      <c r="D571" t="inlineStr">
        <is>
          <t>BAF20</t>
        </is>
      </c>
      <c r="E571" t="inlineStr">
        <is>
          <t>WF</t>
        </is>
      </c>
      <c r="F571" t="n">
        <v>10.6</v>
      </c>
      <c r="G571" t="n">
        <v>53</v>
      </c>
      <c r="H571" t="n">
        <v>1</v>
      </c>
      <c r="I571" t="inlineStr">
        <is>
          <t>L</t>
        </is>
      </c>
      <c r="J571" t="inlineStr">
        <is>
          <t>S</t>
        </is>
      </c>
      <c r="K571" t="inlineStr">
        <is>
          <t>Y</t>
        </is>
      </c>
      <c r="L571" t="inlineStr"/>
      <c r="M571" s="30">
        <f>0.005454*F571^2</f>
        <v/>
      </c>
      <c r="N571" s="31">
        <f>IF(D571="BAF20",20/M571,100)</f>
        <v/>
      </c>
      <c r="O571" s="31">
        <f>M571*N571</f>
        <v/>
      </c>
      <c r="P571" s="32">
        <f>46.8*N571</f>
        <v/>
      </c>
    </row>
    <row r="572">
      <c r="A572" t="inlineStr">
        <is>
          <t>U1-39</t>
        </is>
      </c>
      <c r="B572" t="n">
        <v>1</v>
      </c>
      <c r="C572" t="n">
        <v>4</v>
      </c>
      <c r="D572" t="inlineStr">
        <is>
          <t>BAF20</t>
        </is>
      </c>
      <c r="E572" t="inlineStr">
        <is>
          <t>WF</t>
        </is>
      </c>
      <c r="F572" t="n">
        <v>19.2</v>
      </c>
      <c r="G572" t="n">
        <v>83</v>
      </c>
      <c r="H572" t="n">
        <v>8</v>
      </c>
      <c r="I572" t="inlineStr">
        <is>
          <t>L</t>
        </is>
      </c>
      <c r="J572" t="inlineStr">
        <is>
          <t>C</t>
        </is>
      </c>
      <c r="K572" t="inlineStr"/>
      <c r="L572" t="inlineStr"/>
      <c r="M572" s="30">
        <f>0.005454*F572^2</f>
        <v/>
      </c>
      <c r="N572" s="31">
        <f>IF(D572="BAF20",20/M572,100)</f>
        <v/>
      </c>
      <c r="O572" s="31">
        <f>M572*N572</f>
        <v/>
      </c>
      <c r="P572" s="32">
        <f>268.6*N572</f>
        <v/>
      </c>
    </row>
    <row r="573">
      <c r="A573" t="inlineStr">
        <is>
          <t>U1-39</t>
        </is>
      </c>
      <c r="B573" t="n">
        <v>1</v>
      </c>
      <c r="C573" t="n">
        <v>5</v>
      </c>
      <c r="D573" t="inlineStr">
        <is>
          <t>BAF20</t>
        </is>
      </c>
      <c r="E573" t="inlineStr">
        <is>
          <t>PP</t>
        </is>
      </c>
      <c r="F573" t="n">
        <v>29.2</v>
      </c>
      <c r="G573" t="n">
        <v>109</v>
      </c>
      <c r="H573" t="n">
        <v>7</v>
      </c>
      <c r="I573" t="inlineStr">
        <is>
          <t>L</t>
        </is>
      </c>
      <c r="J573" t="inlineStr">
        <is>
          <t>D</t>
        </is>
      </c>
      <c r="K573" t="inlineStr"/>
      <c r="L573" t="inlineStr"/>
      <c r="M573" s="30">
        <f>0.005454*F573^2</f>
        <v/>
      </c>
      <c r="N573" s="31">
        <f>IF(D573="BAF20",20/M573,100)</f>
        <v/>
      </c>
      <c r="O573" s="31">
        <f>M573*N573</f>
        <v/>
      </c>
      <c r="P573" s="32">
        <f>985.0*N573</f>
        <v/>
      </c>
    </row>
    <row r="574">
      <c r="A574" t="inlineStr">
        <is>
          <t>U1-39</t>
        </is>
      </c>
      <c r="B574" t="n">
        <v>1</v>
      </c>
      <c r="C574" t="n">
        <v>6</v>
      </c>
      <c r="D574" t="inlineStr">
        <is>
          <t>BAF20</t>
        </is>
      </c>
      <c r="E574" t="inlineStr">
        <is>
          <t>DF</t>
        </is>
      </c>
      <c r="F574" t="n">
        <v>18.2</v>
      </c>
      <c r="G574" t="n">
        <v>79</v>
      </c>
      <c r="H574" t="n">
        <v>7</v>
      </c>
      <c r="I574" t="inlineStr">
        <is>
          <t>L</t>
        </is>
      </c>
      <c r="J574" t="inlineStr">
        <is>
          <t>I</t>
        </is>
      </c>
      <c r="K574" t="inlineStr"/>
      <c r="L574" t="inlineStr"/>
      <c r="M574" s="30">
        <f>0.005454*F574^2</f>
        <v/>
      </c>
      <c r="N574" s="31">
        <f>IF(D574="BAF20",20/M574,100)</f>
        <v/>
      </c>
      <c r="O574" s="31">
        <f>M574*N574</f>
        <v/>
      </c>
      <c r="P574" s="32">
        <f>227.7*N574</f>
        <v/>
      </c>
    </row>
    <row r="575">
      <c r="A575" t="inlineStr">
        <is>
          <t>U1-39</t>
        </is>
      </c>
      <c r="B575" t="n">
        <v>1</v>
      </c>
      <c r="C575" t="n">
        <v>7</v>
      </c>
      <c r="D575" t="inlineStr">
        <is>
          <t>BAF20</t>
        </is>
      </c>
      <c r="E575" t="inlineStr">
        <is>
          <t>DF</t>
        </is>
      </c>
      <c r="F575" t="n">
        <v>19.6</v>
      </c>
      <c r="G575" t="n">
        <v>102</v>
      </c>
      <c r="H575" t="n">
        <v>3</v>
      </c>
      <c r="I575" t="inlineStr">
        <is>
          <t>L</t>
        </is>
      </c>
      <c r="J575" t="inlineStr">
        <is>
          <t>C</t>
        </is>
      </c>
      <c r="K575" t="inlineStr"/>
      <c r="L575" t="inlineStr"/>
      <c r="M575" s="30">
        <f>0.005454*F575^2</f>
        <v/>
      </c>
      <c r="N575" s="31">
        <f>IF(D575="BAF20",20/M575,100)</f>
        <v/>
      </c>
      <c r="O575" s="31">
        <f>M575*N575</f>
        <v/>
      </c>
      <c r="P575" s="32">
        <f>365.5*N575</f>
        <v/>
      </c>
    </row>
    <row r="576">
      <c r="A576" t="inlineStr">
        <is>
          <t>U1-39</t>
        </is>
      </c>
      <c r="B576" t="n">
        <v>1</v>
      </c>
      <c r="C576" t="n">
        <v>8</v>
      </c>
      <c r="D576" t="inlineStr">
        <is>
          <t>BAF20</t>
        </is>
      </c>
      <c r="E576" t="inlineStr">
        <is>
          <t>PP</t>
        </is>
      </c>
      <c r="F576" t="n">
        <v>5.4</v>
      </c>
      <c r="G576" t="n">
        <v>31</v>
      </c>
      <c r="H576" t="n">
        <v>3</v>
      </c>
      <c r="I576" t="inlineStr">
        <is>
          <t>L</t>
        </is>
      </c>
      <c r="J576" t="inlineStr">
        <is>
          <t>S</t>
        </is>
      </c>
      <c r="K576" t="inlineStr">
        <is>
          <t>Y</t>
        </is>
      </c>
      <c r="L576" t="inlineStr"/>
      <c r="M576" s="30">
        <f>0.005454*F576^2</f>
        <v/>
      </c>
      <c r="N576" s="31">
        <f>IF(D576="BAF20",20/M576,100)</f>
        <v/>
      </c>
      <c r="O576" s="31">
        <f>M576*N576</f>
        <v/>
      </c>
      <c r="P576" s="32">
        <f>0.0*N576</f>
        <v/>
      </c>
    </row>
    <row r="577">
      <c r="A577" t="inlineStr">
        <is>
          <t>U1-39</t>
        </is>
      </c>
      <c r="B577" t="n">
        <v>1</v>
      </c>
      <c r="C577" t="n">
        <v>9</v>
      </c>
      <c r="D577" t="inlineStr">
        <is>
          <t>BAF20</t>
        </is>
      </c>
      <c r="E577" t="inlineStr">
        <is>
          <t>IC</t>
        </is>
      </c>
      <c r="F577" t="n">
        <v>20.5</v>
      </c>
      <c r="G577" t="n">
        <v>84</v>
      </c>
      <c r="H577" t="n">
        <v>6</v>
      </c>
      <c r="I577" t="inlineStr">
        <is>
          <t>L</t>
        </is>
      </c>
      <c r="J577" t="inlineStr">
        <is>
          <t>C</t>
        </is>
      </c>
      <c r="K577" t="inlineStr"/>
      <c r="L577" t="inlineStr"/>
      <c r="M577" s="30">
        <f>0.005454*F577^2</f>
        <v/>
      </c>
      <c r="N577" s="31">
        <f>IF(D577="BAF20",20/M577,100)</f>
        <v/>
      </c>
      <c r="O577" s="31">
        <f>M577*N577</f>
        <v/>
      </c>
      <c r="P577" s="32">
        <f>324.6*N577</f>
        <v/>
      </c>
    </row>
    <row r="578">
      <c r="A578" t="inlineStr">
        <is>
          <t>U1-39</t>
        </is>
      </c>
      <c r="B578" t="n">
        <v>1</v>
      </c>
      <c r="C578" t="n">
        <v>10</v>
      </c>
      <c r="D578" t="inlineStr">
        <is>
          <t>BAF20</t>
        </is>
      </c>
      <c r="E578" t="inlineStr">
        <is>
          <t>SP</t>
        </is>
      </c>
      <c r="F578" t="n">
        <v>38.9</v>
      </c>
      <c r="G578" t="n">
        <v>147</v>
      </c>
      <c r="H578" t="n">
        <v>100</v>
      </c>
      <c r="I578" t="inlineStr">
        <is>
          <t>D</t>
        </is>
      </c>
      <c r="J578" t="inlineStr">
        <is>
          <t>D</t>
        </is>
      </c>
      <c r="K578" t="inlineStr"/>
      <c r="L578" t="inlineStr"/>
      <c r="M578" s="30">
        <f>0.005454*F578^2</f>
        <v/>
      </c>
      <c r="N578" s="31">
        <f>IF(D578="BAF20",20/M578,100)</f>
        <v/>
      </c>
      <c r="O578" s="31">
        <f>M578*N578</f>
        <v/>
      </c>
      <c r="P578" s="32">
        <f>0.0*N578</f>
        <v/>
      </c>
    </row>
    <row r="579">
      <c r="A579" t="inlineStr">
        <is>
          <t>U1-39</t>
        </is>
      </c>
      <c r="B579" t="n">
        <v>1</v>
      </c>
      <c r="C579" t="n">
        <v>11</v>
      </c>
      <c r="D579" t="inlineStr">
        <is>
          <t>BAF20</t>
        </is>
      </c>
      <c r="E579" t="inlineStr">
        <is>
          <t>IC</t>
        </is>
      </c>
      <c r="F579" t="n">
        <v>8.5</v>
      </c>
      <c r="G579" t="n">
        <v>34</v>
      </c>
      <c r="H579" t="n">
        <v>11</v>
      </c>
      <c r="I579" t="inlineStr">
        <is>
          <t>L</t>
        </is>
      </c>
      <c r="J579" t="inlineStr">
        <is>
          <t>S</t>
        </is>
      </c>
      <c r="K579" t="inlineStr">
        <is>
          <t>Y</t>
        </is>
      </c>
      <c r="L579" t="inlineStr"/>
      <c r="M579" s="30">
        <f>0.005454*F579^2</f>
        <v/>
      </c>
      <c r="N579" s="31">
        <f>IF(D579="BAF20",20/M579,100)</f>
        <v/>
      </c>
      <c r="O579" s="31">
        <f>M579*N579</f>
        <v/>
      </c>
      <c r="P579" s="32">
        <f>0.0*N579</f>
        <v/>
      </c>
    </row>
    <row r="580">
      <c r="A580" t="inlineStr">
        <is>
          <t>U1-39</t>
        </is>
      </c>
      <c r="B580" t="n">
        <v>1</v>
      </c>
      <c r="C580" t="n">
        <v>12</v>
      </c>
      <c r="D580" t="inlineStr">
        <is>
          <t>BAF20</t>
        </is>
      </c>
      <c r="E580" t="inlineStr">
        <is>
          <t>PP</t>
        </is>
      </c>
      <c r="F580" t="n">
        <v>20.9</v>
      </c>
      <c r="G580" t="n">
        <v>94</v>
      </c>
      <c r="H580" t="n">
        <v>1</v>
      </c>
      <c r="I580" t="inlineStr">
        <is>
          <t>L</t>
        </is>
      </c>
      <c r="J580" t="inlineStr">
        <is>
          <t>C</t>
        </is>
      </c>
      <c r="K580" t="inlineStr"/>
      <c r="L580" t="inlineStr"/>
      <c r="M580" s="30">
        <f>0.005454*F580^2</f>
        <v/>
      </c>
      <c r="N580" s="31">
        <f>IF(D580="BAF20",20/M580,100)</f>
        <v/>
      </c>
      <c r="O580" s="31">
        <f>M580*N580</f>
        <v/>
      </c>
      <c r="P580" s="32">
        <f>400.7*N580</f>
        <v/>
      </c>
    </row>
    <row r="581">
      <c r="A581" t="inlineStr">
        <is>
          <t>U1-39</t>
        </is>
      </c>
      <c r="B581" t="n">
        <v>1</v>
      </c>
      <c r="C581" t="n">
        <v>13</v>
      </c>
      <c r="D581" t="inlineStr">
        <is>
          <t>BAF20</t>
        </is>
      </c>
      <c r="E581" t="inlineStr">
        <is>
          <t>PP</t>
        </is>
      </c>
      <c r="F581" t="n">
        <v>23.5</v>
      </c>
      <c r="G581" t="n">
        <v>103</v>
      </c>
      <c r="H581" t="n">
        <v>100</v>
      </c>
      <c r="I581" t="inlineStr">
        <is>
          <t>D</t>
        </is>
      </c>
      <c r="J581" t="inlineStr">
        <is>
          <t>C</t>
        </is>
      </c>
      <c r="K581" t="inlineStr"/>
      <c r="L581" t="inlineStr"/>
      <c r="M581" s="30">
        <f>0.005454*F581^2</f>
        <v/>
      </c>
      <c r="N581" s="31">
        <f>IF(D581="BAF20",20/M581,100)</f>
        <v/>
      </c>
      <c r="O581" s="31">
        <f>M581*N581</f>
        <v/>
      </c>
      <c r="P581" s="32">
        <f>0.0*N581</f>
        <v/>
      </c>
    </row>
    <row r="582">
      <c r="A582" t="inlineStr">
        <is>
          <t>U1-39</t>
        </is>
      </c>
      <c r="B582" t="n">
        <v>1</v>
      </c>
      <c r="C582" t="n">
        <v>14</v>
      </c>
      <c r="D582" t="inlineStr">
        <is>
          <t>BAF20</t>
        </is>
      </c>
      <c r="E582" t="inlineStr">
        <is>
          <t>PP</t>
        </is>
      </c>
      <c r="F582" t="n">
        <v>15.2</v>
      </c>
      <c r="G582" t="n">
        <v>68</v>
      </c>
      <c r="H582" t="n">
        <v>2</v>
      </c>
      <c r="I582" t="inlineStr">
        <is>
          <t>L</t>
        </is>
      </c>
      <c r="J582" t="inlineStr">
        <is>
          <t>I</t>
        </is>
      </c>
      <c r="K582" t="inlineStr"/>
      <c r="L582" t="inlineStr"/>
      <c r="M582" s="30">
        <f>0.005454*F582^2</f>
        <v/>
      </c>
      <c r="N582" s="31">
        <f>IF(D582="BAF20",20/M582,100)</f>
        <v/>
      </c>
      <c r="O582" s="31">
        <f>M582*N582</f>
        <v/>
      </c>
      <c r="P582" s="32">
        <f>135.5*N582</f>
        <v/>
      </c>
    </row>
    <row r="583">
      <c r="A583" t="inlineStr">
        <is>
          <t>U1-39</t>
        </is>
      </c>
      <c r="B583" t="n">
        <v>1</v>
      </c>
      <c r="C583" t="n">
        <v>15</v>
      </c>
      <c r="D583" t="inlineStr">
        <is>
          <t>BAF20</t>
        </is>
      </c>
      <c r="E583" t="inlineStr">
        <is>
          <t>WF</t>
        </is>
      </c>
      <c r="F583" t="n">
        <v>23.8</v>
      </c>
      <c r="G583" t="n">
        <v>106</v>
      </c>
      <c r="H583" t="n">
        <v>100</v>
      </c>
      <c r="I583" t="inlineStr">
        <is>
          <t>D</t>
        </is>
      </c>
      <c r="J583" t="inlineStr">
        <is>
          <t>C</t>
        </is>
      </c>
      <c r="K583" t="inlineStr"/>
      <c r="L583" t="inlineStr"/>
      <c r="M583" s="30">
        <f>0.005454*F583^2</f>
        <v/>
      </c>
      <c r="N583" s="31">
        <f>IF(D583="BAF20",20/M583,100)</f>
        <v/>
      </c>
      <c r="O583" s="31">
        <f>M583*N583</f>
        <v/>
      </c>
      <c r="P583" s="32">
        <f>0.0*N583</f>
        <v/>
      </c>
    </row>
    <row r="584">
      <c r="A584" t="inlineStr">
        <is>
          <t>U1-39</t>
        </is>
      </c>
      <c r="B584" t="n">
        <v>1</v>
      </c>
      <c r="C584" t="n">
        <v>16</v>
      </c>
      <c r="D584" t="inlineStr">
        <is>
          <t>BAF20</t>
        </is>
      </c>
      <c r="E584" t="inlineStr">
        <is>
          <t>SP</t>
        </is>
      </c>
      <c r="F584" t="n">
        <v>21.8</v>
      </c>
      <c r="G584" t="n">
        <v>112</v>
      </c>
      <c r="H584" t="n">
        <v>8</v>
      </c>
      <c r="I584" t="inlineStr">
        <is>
          <t>L</t>
        </is>
      </c>
      <c r="J584" t="inlineStr">
        <is>
          <t>C</t>
        </is>
      </c>
      <c r="K584" t="inlineStr"/>
      <c r="L584" t="inlineStr"/>
      <c r="M584" s="30">
        <f>0.005454*F584^2</f>
        <v/>
      </c>
      <c r="N584" s="31">
        <f>IF(D584="BAF20",20/M584,100)</f>
        <v/>
      </c>
      <c r="O584" s="31">
        <f>M584*N584</f>
        <v/>
      </c>
      <c r="P584" s="32">
        <f>490.8*N584</f>
        <v/>
      </c>
    </row>
    <row r="585">
      <c r="A585" t="inlineStr">
        <is>
          <t>U1-39</t>
        </is>
      </c>
      <c r="B585" t="n">
        <v>1</v>
      </c>
      <c r="C585" t="n">
        <v>17</v>
      </c>
      <c r="D585" t="inlineStr">
        <is>
          <t>BAF20</t>
        </is>
      </c>
      <c r="E585" t="inlineStr">
        <is>
          <t>DF</t>
        </is>
      </c>
      <c r="F585" t="n">
        <v>28</v>
      </c>
      <c r="G585" t="n">
        <v>111</v>
      </c>
      <c r="H585" t="n">
        <v>11</v>
      </c>
      <c r="I585" t="inlineStr">
        <is>
          <t>L</t>
        </is>
      </c>
      <c r="J585" t="inlineStr">
        <is>
          <t>D</t>
        </is>
      </c>
      <c r="K585" t="inlineStr"/>
      <c r="L585" t="inlineStr"/>
      <c r="M585" s="30">
        <f>0.005454*F585^2</f>
        <v/>
      </c>
      <c r="N585" s="31">
        <f>IF(D585="BAF20",20/M585,100)</f>
        <v/>
      </c>
      <c r="O585" s="31">
        <f>M585*N585</f>
        <v/>
      </c>
      <c r="P585" s="32">
        <f>865.4*N585</f>
        <v/>
      </c>
    </row>
    <row r="586">
      <c r="A586" t="inlineStr">
        <is>
          <t>U1-39</t>
        </is>
      </c>
      <c r="B586" t="n">
        <v>1</v>
      </c>
      <c r="C586" t="n">
        <v>18</v>
      </c>
      <c r="D586" t="inlineStr">
        <is>
          <t>BAF20</t>
        </is>
      </c>
      <c r="E586" t="inlineStr">
        <is>
          <t>WF</t>
        </is>
      </c>
      <c r="F586" t="n">
        <v>12.8</v>
      </c>
      <c r="G586" t="n">
        <v>56</v>
      </c>
      <c r="H586" t="n">
        <v>100</v>
      </c>
      <c r="I586" t="inlineStr">
        <is>
          <t>D</t>
        </is>
      </c>
      <c r="J586" t="inlineStr">
        <is>
          <t>S</t>
        </is>
      </c>
      <c r="K586" t="inlineStr"/>
      <c r="L586" t="inlineStr"/>
      <c r="M586" s="30">
        <f>0.005454*F586^2</f>
        <v/>
      </c>
      <c r="N586" s="31">
        <f>IF(D586="BAF20",20/M586,100)</f>
        <v/>
      </c>
      <c r="O586" s="31">
        <f>M586*N586</f>
        <v/>
      </c>
      <c r="P586" s="32">
        <f>0.0*N586</f>
        <v/>
      </c>
    </row>
    <row r="587">
      <c r="A587" t="inlineStr">
        <is>
          <t>U1-39</t>
        </is>
      </c>
      <c r="B587" t="n">
        <v>1</v>
      </c>
      <c r="C587" t="n">
        <v>19</v>
      </c>
      <c r="D587" t="inlineStr">
        <is>
          <t>BAF20</t>
        </is>
      </c>
      <c r="E587" t="inlineStr">
        <is>
          <t>DF</t>
        </is>
      </c>
      <c r="F587" t="n">
        <v>45.6</v>
      </c>
      <c r="G587" t="n">
        <v>150</v>
      </c>
      <c r="H587" t="n">
        <v>4</v>
      </c>
      <c r="I587" t="inlineStr">
        <is>
          <t>L</t>
        </is>
      </c>
      <c r="J587" t="inlineStr">
        <is>
          <t>D</t>
        </is>
      </c>
      <c r="K587" t="inlineStr"/>
      <c r="L587" t="inlineStr"/>
      <c r="M587" s="30">
        <f>0.005454*F587^2</f>
        <v/>
      </c>
      <c r="N587" s="31">
        <f>IF(D587="BAF20",20/M587,100)</f>
        <v/>
      </c>
      <c r="O587" s="31">
        <f>M587*N587</f>
        <v/>
      </c>
      <c r="P587" s="32">
        <f>3827.3*N587</f>
        <v/>
      </c>
    </row>
    <row r="588">
      <c r="A588" t="inlineStr">
        <is>
          <t>U1-39</t>
        </is>
      </c>
      <c r="B588" t="n">
        <v>1</v>
      </c>
      <c r="C588" t="n">
        <v>20</v>
      </c>
      <c r="D588" t="inlineStr">
        <is>
          <t>BAF20</t>
        </is>
      </c>
      <c r="E588" t="inlineStr">
        <is>
          <t>WF</t>
        </is>
      </c>
      <c r="F588" t="n">
        <v>11.4</v>
      </c>
      <c r="G588" t="n">
        <v>60</v>
      </c>
      <c r="H588" t="n">
        <v>9</v>
      </c>
      <c r="I588" t="inlineStr">
        <is>
          <t>L</t>
        </is>
      </c>
      <c r="J588" t="inlineStr">
        <is>
          <t>S</t>
        </is>
      </c>
      <c r="K588" t="inlineStr">
        <is>
          <t>Y</t>
        </is>
      </c>
      <c r="L588" t="inlineStr"/>
      <c r="M588" s="30">
        <f>0.005454*F588^2</f>
        <v/>
      </c>
      <c r="N588" s="31">
        <f>IF(D588="BAF20",20/M588,100)</f>
        <v/>
      </c>
      <c r="O588" s="31">
        <f>M588*N588</f>
        <v/>
      </c>
      <c r="P588" s="32">
        <f>57.4*N588</f>
        <v/>
      </c>
    </row>
    <row r="589">
      <c r="A589" t="inlineStr">
        <is>
          <t>U1-39</t>
        </is>
      </c>
      <c r="B589" t="n">
        <v>1</v>
      </c>
      <c r="C589" t="n">
        <v>21</v>
      </c>
      <c r="D589" t="inlineStr">
        <is>
          <t>FIX100</t>
        </is>
      </c>
      <c r="E589" t="inlineStr">
        <is>
          <t>DF</t>
        </is>
      </c>
      <c r="F589" t="n">
        <v>2.2</v>
      </c>
      <c r="G589" t="n">
        <v>17</v>
      </c>
      <c r="H589" t="n">
        <v>0</v>
      </c>
      <c r="I589" t="inlineStr">
        <is>
          <t>L</t>
        </is>
      </c>
      <c r="J589" t="inlineStr">
        <is>
          <t>S</t>
        </is>
      </c>
      <c r="K589" t="inlineStr"/>
      <c r="L589" t="inlineStr"/>
      <c r="M589" s="30">
        <f>0.005454*F589^2</f>
        <v/>
      </c>
      <c r="N589" s="31">
        <f>IF(D589="BAF20",20/M589,100)</f>
        <v/>
      </c>
      <c r="O589" s="31">
        <f>M589*N589</f>
        <v/>
      </c>
      <c r="P589" s="32">
        <f>0.0*N589</f>
        <v/>
      </c>
    </row>
    <row r="590">
      <c r="A590" t="inlineStr">
        <is>
          <t>U1-39</t>
        </is>
      </c>
      <c r="B590" t="n">
        <v>1</v>
      </c>
      <c r="C590" t="n">
        <v>22</v>
      </c>
      <c r="D590" t="inlineStr">
        <is>
          <t>FIX100</t>
        </is>
      </c>
      <c r="E590" t="inlineStr">
        <is>
          <t>WF</t>
        </is>
      </c>
      <c r="F590" t="n">
        <v>3.3</v>
      </c>
      <c r="G590" t="n">
        <v>18</v>
      </c>
      <c r="H590" t="n">
        <v>0</v>
      </c>
      <c r="I590" t="inlineStr">
        <is>
          <t>L</t>
        </is>
      </c>
      <c r="J590" t="inlineStr">
        <is>
          <t>S</t>
        </is>
      </c>
      <c r="K590" t="inlineStr"/>
      <c r="L590" t="inlineStr"/>
      <c r="M590" s="30">
        <f>0.005454*F590^2</f>
        <v/>
      </c>
      <c r="N590" s="31">
        <f>IF(D590="BAF20",20/M590,100)</f>
        <v/>
      </c>
      <c r="O590" s="31">
        <f>M590*N590</f>
        <v/>
      </c>
      <c r="P590" s="32">
        <f>0.0*N590</f>
        <v/>
      </c>
    </row>
    <row r="591">
      <c r="A591" t="inlineStr">
        <is>
          <t>U1-40</t>
        </is>
      </c>
      <c r="B591" t="n">
        <v>1</v>
      </c>
      <c r="C591" t="n">
        <v>1</v>
      </c>
      <c r="D591" t="inlineStr">
        <is>
          <t>BAF20</t>
        </is>
      </c>
      <c r="E591" t="inlineStr">
        <is>
          <t>SP</t>
        </is>
      </c>
      <c r="F591" t="n">
        <v>29.2</v>
      </c>
      <c r="G591" t="n">
        <v>118</v>
      </c>
      <c r="H591" t="n">
        <v>3</v>
      </c>
      <c r="I591" t="inlineStr">
        <is>
          <t>L</t>
        </is>
      </c>
      <c r="J591" t="inlineStr">
        <is>
          <t>D</t>
        </is>
      </c>
      <c r="K591" t="inlineStr"/>
      <c r="L591" t="inlineStr"/>
      <c r="M591" s="30">
        <f>0.005454*F591^2</f>
        <v/>
      </c>
      <c r="N591" s="31">
        <f>IF(D591="BAF20",20/M591,100)</f>
        <v/>
      </c>
      <c r="O591" s="31">
        <f>M591*N591</f>
        <v/>
      </c>
      <c r="P591" s="32">
        <f>1112.2*N591</f>
        <v/>
      </c>
    </row>
    <row r="592">
      <c r="A592" t="inlineStr">
        <is>
          <t>U1-40</t>
        </is>
      </c>
      <c r="B592" t="n">
        <v>1</v>
      </c>
      <c r="C592" t="n">
        <v>2</v>
      </c>
      <c r="D592" t="inlineStr">
        <is>
          <t>BAF20</t>
        </is>
      </c>
      <c r="E592" t="inlineStr">
        <is>
          <t>IC</t>
        </is>
      </c>
      <c r="F592" t="n">
        <v>17.1</v>
      </c>
      <c r="G592" t="n">
        <v>69</v>
      </c>
      <c r="H592" t="n">
        <v>9</v>
      </c>
      <c r="I592" t="inlineStr">
        <is>
          <t>L</t>
        </is>
      </c>
      <c r="J592" t="inlineStr">
        <is>
          <t>I</t>
        </is>
      </c>
      <c r="K592" t="inlineStr"/>
      <c r="L592" t="inlineStr"/>
      <c r="M592" s="30">
        <f>0.005454*F592^2</f>
        <v/>
      </c>
      <c r="N592" s="31">
        <f>IF(D592="BAF20",20/M592,100)</f>
        <v/>
      </c>
      <c r="O592" s="31">
        <f>M592*N592</f>
        <v/>
      </c>
      <c r="P592" s="32">
        <f>168.0*N592</f>
        <v/>
      </c>
    </row>
    <row r="593">
      <c r="A593" t="inlineStr">
        <is>
          <t>U1-40</t>
        </is>
      </c>
      <c r="B593" t="n">
        <v>1</v>
      </c>
      <c r="C593" t="n">
        <v>3</v>
      </c>
      <c r="D593" t="inlineStr">
        <is>
          <t>BAF20</t>
        </is>
      </c>
      <c r="E593" t="inlineStr">
        <is>
          <t>DF</t>
        </is>
      </c>
      <c r="F593" t="n">
        <v>14.3</v>
      </c>
      <c r="G593" t="n">
        <v>71</v>
      </c>
      <c r="H593" t="n">
        <v>1</v>
      </c>
      <c r="I593" t="inlineStr">
        <is>
          <t>L</t>
        </is>
      </c>
      <c r="J593" t="inlineStr">
        <is>
          <t>I</t>
        </is>
      </c>
      <c r="K593" t="inlineStr">
        <is>
          <t>Y</t>
        </is>
      </c>
      <c r="L593" t="inlineStr"/>
      <c r="M593" s="30">
        <f>0.005454*F593^2</f>
        <v/>
      </c>
      <c r="N593" s="31">
        <f>IF(D593="BAF20",20/M593,100)</f>
        <v/>
      </c>
      <c r="O593" s="31">
        <f>M593*N593</f>
        <v/>
      </c>
      <c r="P593" s="32">
        <f>124.1*N593</f>
        <v/>
      </c>
    </row>
    <row r="594">
      <c r="A594" t="inlineStr">
        <is>
          <t>U1-40</t>
        </is>
      </c>
      <c r="B594" t="n">
        <v>1</v>
      </c>
      <c r="C594" t="n">
        <v>4</v>
      </c>
      <c r="D594" t="inlineStr">
        <is>
          <t>BAF20</t>
        </is>
      </c>
      <c r="E594" t="inlineStr">
        <is>
          <t>PP</t>
        </is>
      </c>
      <c r="F594" t="n">
        <v>15.6</v>
      </c>
      <c r="G594" t="n">
        <v>83</v>
      </c>
      <c r="H594" t="n">
        <v>4</v>
      </c>
      <c r="I594" t="inlineStr">
        <is>
          <t>L</t>
        </is>
      </c>
      <c r="J594" t="inlineStr">
        <is>
          <t>I</t>
        </is>
      </c>
      <c r="K594" t="inlineStr"/>
      <c r="L594" t="inlineStr"/>
      <c r="M594" s="30">
        <f>0.005454*F594^2</f>
        <v/>
      </c>
      <c r="N594" s="31">
        <f>IF(D594="BAF20",20/M594,100)</f>
        <v/>
      </c>
      <c r="O594" s="31">
        <f>M594*N594</f>
        <v/>
      </c>
      <c r="P594" s="32">
        <f>172.1*N594</f>
        <v/>
      </c>
    </row>
    <row r="595">
      <c r="A595" t="inlineStr">
        <is>
          <t>U1-40</t>
        </is>
      </c>
      <c r="B595" t="n">
        <v>1</v>
      </c>
      <c r="C595" t="n">
        <v>5</v>
      </c>
      <c r="D595" t="inlineStr">
        <is>
          <t>BAF20</t>
        </is>
      </c>
      <c r="E595" t="inlineStr">
        <is>
          <t>PP</t>
        </is>
      </c>
      <c r="F595" t="n">
        <v>5</v>
      </c>
      <c r="G595" t="n">
        <v>25</v>
      </c>
      <c r="H595" t="n">
        <v>0</v>
      </c>
      <c r="I595" t="inlineStr">
        <is>
          <t>L</t>
        </is>
      </c>
      <c r="J595" t="inlineStr">
        <is>
          <t>S</t>
        </is>
      </c>
      <c r="K595" t="inlineStr">
        <is>
          <t>Y</t>
        </is>
      </c>
      <c r="L595" t="inlineStr"/>
      <c r="M595" s="30">
        <f>0.005454*F595^2</f>
        <v/>
      </c>
      <c r="N595" s="31">
        <f>IF(D595="BAF20",20/M595,100)</f>
        <v/>
      </c>
      <c r="O595" s="31">
        <f>M595*N595</f>
        <v/>
      </c>
      <c r="P595" s="32">
        <f>0.0*N595</f>
        <v/>
      </c>
    </row>
    <row r="596">
      <c r="A596" t="inlineStr">
        <is>
          <t>U1-40</t>
        </is>
      </c>
      <c r="B596" t="n">
        <v>1</v>
      </c>
      <c r="C596" t="n">
        <v>6</v>
      </c>
      <c r="D596" t="inlineStr">
        <is>
          <t>BAF20</t>
        </is>
      </c>
      <c r="E596" t="inlineStr">
        <is>
          <t>DF</t>
        </is>
      </c>
      <c r="F596" t="n">
        <v>21.9</v>
      </c>
      <c r="G596" t="n">
        <v>101</v>
      </c>
      <c r="H596" t="n">
        <v>100</v>
      </c>
      <c r="I596" t="inlineStr">
        <is>
          <t>D</t>
        </is>
      </c>
      <c r="J596" t="inlineStr">
        <is>
          <t>C</t>
        </is>
      </c>
      <c r="K596" t="inlineStr"/>
      <c r="L596" t="inlineStr"/>
      <c r="M596" s="30">
        <f>0.005454*F596^2</f>
        <v/>
      </c>
      <c r="N596" s="31">
        <f>IF(D596="BAF20",20/M596,100)</f>
        <v/>
      </c>
      <c r="O596" s="31">
        <f>M596*N596</f>
        <v/>
      </c>
      <c r="P596" s="32">
        <f>0.0*N596</f>
        <v/>
      </c>
    </row>
    <row r="597">
      <c r="A597" t="inlineStr">
        <is>
          <t>U1-40</t>
        </is>
      </c>
      <c r="B597" t="n">
        <v>1</v>
      </c>
      <c r="C597" t="n">
        <v>7</v>
      </c>
      <c r="D597" t="inlineStr">
        <is>
          <t>BAF20</t>
        </is>
      </c>
      <c r="E597" t="inlineStr">
        <is>
          <t>WF</t>
        </is>
      </c>
      <c r="F597" t="n">
        <v>23.4</v>
      </c>
      <c r="G597" t="n">
        <v>82</v>
      </c>
      <c r="H597" t="n">
        <v>3</v>
      </c>
      <c r="I597" t="inlineStr">
        <is>
          <t>L</t>
        </is>
      </c>
      <c r="J597" t="inlineStr">
        <is>
          <t>C</t>
        </is>
      </c>
      <c r="K597" t="inlineStr"/>
      <c r="L597" t="inlineStr"/>
      <c r="M597" s="30">
        <f>0.005454*F597^2</f>
        <v/>
      </c>
      <c r="N597" s="31">
        <f>IF(D597="BAF20",20/M597,100)</f>
        <v/>
      </c>
      <c r="O597" s="31">
        <f>M597*N597</f>
        <v/>
      </c>
      <c r="P597" s="32">
        <f>449.5*N597</f>
        <v/>
      </c>
    </row>
    <row r="598">
      <c r="A598" t="inlineStr">
        <is>
          <t>U1-40</t>
        </is>
      </c>
      <c r="B598" t="n">
        <v>1</v>
      </c>
      <c r="C598" t="n">
        <v>8</v>
      </c>
      <c r="D598" t="inlineStr">
        <is>
          <t>BAF20</t>
        </is>
      </c>
      <c r="E598" t="inlineStr">
        <is>
          <t>IC</t>
        </is>
      </c>
      <c r="F598" t="n">
        <v>10.6</v>
      </c>
      <c r="G598" t="n">
        <v>42</v>
      </c>
      <c r="H598" t="n">
        <v>100</v>
      </c>
      <c r="I598" t="inlineStr">
        <is>
          <t>D</t>
        </is>
      </c>
      <c r="J598" t="inlineStr">
        <is>
          <t>S</t>
        </is>
      </c>
      <c r="K598" t="inlineStr"/>
      <c r="L598" t="inlineStr"/>
      <c r="M598" s="30">
        <f>0.005454*F598^2</f>
        <v/>
      </c>
      <c r="N598" s="31">
        <f>IF(D598="BAF20",20/M598,100)</f>
        <v/>
      </c>
      <c r="O598" s="31">
        <f>M598*N598</f>
        <v/>
      </c>
      <c r="P598" s="32">
        <f>0.0*N598</f>
        <v/>
      </c>
    </row>
    <row r="599">
      <c r="A599" t="inlineStr">
        <is>
          <t>U1-40</t>
        </is>
      </c>
      <c r="B599" t="n">
        <v>1</v>
      </c>
      <c r="C599" t="n">
        <v>9</v>
      </c>
      <c r="D599" t="inlineStr">
        <is>
          <t>BAF20</t>
        </is>
      </c>
      <c r="E599" t="inlineStr">
        <is>
          <t>DF</t>
        </is>
      </c>
      <c r="F599" t="n">
        <v>21.3</v>
      </c>
      <c r="G599" t="n">
        <v>93</v>
      </c>
      <c r="H599" t="n">
        <v>8</v>
      </c>
      <c r="I599" t="inlineStr">
        <is>
          <t>L</t>
        </is>
      </c>
      <c r="J599" t="inlineStr">
        <is>
          <t>C</t>
        </is>
      </c>
      <c r="K599" t="inlineStr"/>
      <c r="L599" t="inlineStr"/>
      <c r="M599" s="30">
        <f>0.005454*F599^2</f>
        <v/>
      </c>
      <c r="N599" s="31">
        <f>IF(D599="BAF20",20/M599,100)</f>
        <v/>
      </c>
      <c r="O599" s="31">
        <f>M599*N599</f>
        <v/>
      </c>
      <c r="P599" s="32">
        <f>385.5*N599</f>
        <v/>
      </c>
    </row>
    <row r="600">
      <c r="A600" t="inlineStr">
        <is>
          <t>U1-40</t>
        </is>
      </c>
      <c r="B600" t="n">
        <v>1</v>
      </c>
      <c r="C600" t="n">
        <v>10</v>
      </c>
      <c r="D600" t="inlineStr">
        <is>
          <t>BAF20</t>
        </is>
      </c>
      <c r="E600" t="inlineStr">
        <is>
          <t>SP</t>
        </is>
      </c>
      <c r="F600" t="n">
        <v>30.4</v>
      </c>
      <c r="G600" t="n">
        <v>110</v>
      </c>
      <c r="H600" t="n">
        <v>2</v>
      </c>
      <c r="I600" t="inlineStr">
        <is>
          <t>L</t>
        </is>
      </c>
      <c r="J600" t="inlineStr">
        <is>
          <t>D</t>
        </is>
      </c>
      <c r="K600" t="inlineStr"/>
      <c r="L600" t="inlineStr"/>
      <c r="M600" s="30">
        <f>0.005454*F600^2</f>
        <v/>
      </c>
      <c r="N600" s="31">
        <f>IF(D600="BAF20",20/M600,100)</f>
        <v/>
      </c>
      <c r="O600" s="31">
        <f>M600*N600</f>
        <v/>
      </c>
      <c r="P600" s="32">
        <f>1157.6*N600</f>
        <v/>
      </c>
    </row>
    <row r="601">
      <c r="A601" t="inlineStr">
        <is>
          <t>U1-40</t>
        </is>
      </c>
      <c r="B601" t="n">
        <v>1</v>
      </c>
      <c r="C601" t="n">
        <v>11</v>
      </c>
      <c r="D601" t="inlineStr">
        <is>
          <t>BAF20</t>
        </is>
      </c>
      <c r="E601" t="inlineStr">
        <is>
          <t>PP</t>
        </is>
      </c>
      <c r="F601" t="n">
        <v>19.7</v>
      </c>
      <c r="G601" t="n">
        <v>100</v>
      </c>
      <c r="H601" t="n">
        <v>3</v>
      </c>
      <c r="I601" t="inlineStr">
        <is>
          <t>L</t>
        </is>
      </c>
      <c r="J601" t="inlineStr">
        <is>
          <t>C</t>
        </is>
      </c>
      <c r="K601" t="inlineStr"/>
      <c r="L601" t="inlineStr"/>
      <c r="M601" s="30">
        <f>0.005454*F601^2</f>
        <v/>
      </c>
      <c r="N601" s="31">
        <f>IF(D601="BAF20",20/M601,100)</f>
        <v/>
      </c>
      <c r="O601" s="31">
        <f>M601*N601</f>
        <v/>
      </c>
      <c r="P601" s="32">
        <f>362.7*N601</f>
        <v/>
      </c>
    </row>
    <row r="602">
      <c r="A602" t="inlineStr">
        <is>
          <t>U1-40</t>
        </is>
      </c>
      <c r="B602" t="n">
        <v>1</v>
      </c>
      <c r="C602" t="n">
        <v>12</v>
      </c>
      <c r="D602" t="inlineStr">
        <is>
          <t>BAF20</t>
        </is>
      </c>
      <c r="E602" t="inlineStr">
        <is>
          <t>PP</t>
        </is>
      </c>
      <c r="F602" t="n">
        <v>34.5</v>
      </c>
      <c r="G602" t="n">
        <v>125</v>
      </c>
      <c r="H602" t="n">
        <v>4</v>
      </c>
      <c r="I602" t="inlineStr">
        <is>
          <t>L</t>
        </is>
      </c>
      <c r="J602" t="inlineStr">
        <is>
          <t>D</t>
        </is>
      </c>
      <c r="K602" t="inlineStr"/>
      <c r="L602" t="inlineStr"/>
      <c r="M602" s="30">
        <f>0.005454*F602^2</f>
        <v/>
      </c>
      <c r="N602" s="31">
        <f>IF(D602="BAF20",20/M602,100)</f>
        <v/>
      </c>
      <c r="O602" s="31">
        <f>M602*N602</f>
        <v/>
      </c>
      <c r="P602" s="32">
        <f>1768.2*N602</f>
        <v/>
      </c>
    </row>
    <row r="603">
      <c r="A603" t="inlineStr">
        <is>
          <t>U1-40</t>
        </is>
      </c>
      <c r="B603" t="n">
        <v>1</v>
      </c>
      <c r="C603" t="n">
        <v>13</v>
      </c>
      <c r="D603" t="inlineStr">
        <is>
          <t>BAF20</t>
        </is>
      </c>
      <c r="E603" t="inlineStr">
        <is>
          <t>BO</t>
        </is>
      </c>
      <c r="F603" t="n">
        <v>10.1</v>
      </c>
      <c r="G603" t="n">
        <v>44</v>
      </c>
      <c r="H603" t="n">
        <v>10</v>
      </c>
      <c r="I603" t="inlineStr">
        <is>
          <t>L</t>
        </is>
      </c>
      <c r="J603" t="inlineStr">
        <is>
          <t>S</t>
        </is>
      </c>
      <c r="K603" t="inlineStr">
        <is>
          <t>Y</t>
        </is>
      </c>
      <c r="L603" t="inlineStr"/>
      <c r="M603" s="30">
        <f>0.005454*F603^2</f>
        <v/>
      </c>
      <c r="N603" s="31">
        <f>IF(D603="BAF20",20/M603,100)</f>
        <v/>
      </c>
      <c r="O603" s="31">
        <f>M603*N603</f>
        <v/>
      </c>
      <c r="P603" s="32">
        <f>28.7*N603</f>
        <v/>
      </c>
    </row>
    <row r="604">
      <c r="A604" t="inlineStr">
        <is>
          <t>U1-40</t>
        </is>
      </c>
      <c r="B604" t="n">
        <v>1</v>
      </c>
      <c r="C604" t="n">
        <v>14</v>
      </c>
      <c r="D604" t="inlineStr">
        <is>
          <t>BAF20</t>
        </is>
      </c>
      <c r="E604" t="inlineStr">
        <is>
          <t>BO</t>
        </is>
      </c>
      <c r="F604" t="n">
        <v>14.7</v>
      </c>
      <c r="G604" t="n">
        <v>52</v>
      </c>
      <c r="H604" t="n">
        <v>6</v>
      </c>
      <c r="I604" t="inlineStr">
        <is>
          <t>L</t>
        </is>
      </c>
      <c r="J604" t="inlineStr">
        <is>
          <t>I</t>
        </is>
      </c>
      <c r="K604" t="inlineStr"/>
      <c r="L604" t="inlineStr"/>
      <c r="M604" s="30">
        <f>0.005454*F604^2</f>
        <v/>
      </c>
      <c r="N604" s="31">
        <f>IF(D604="BAF20",20/M604,100)</f>
        <v/>
      </c>
      <c r="O604" s="31">
        <f>M604*N604</f>
        <v/>
      </c>
      <c r="P604" s="32">
        <f>83.2*N604</f>
        <v/>
      </c>
    </row>
    <row r="605">
      <c r="A605" t="inlineStr">
        <is>
          <t>U1-40</t>
        </is>
      </c>
      <c r="B605" t="n">
        <v>1</v>
      </c>
      <c r="C605" t="n">
        <v>15</v>
      </c>
      <c r="D605" t="inlineStr">
        <is>
          <t>BAF20</t>
        </is>
      </c>
      <c r="E605" t="inlineStr">
        <is>
          <t>WF</t>
        </is>
      </c>
      <c r="F605" t="n">
        <v>19.1</v>
      </c>
      <c r="G605" t="n">
        <v>92</v>
      </c>
      <c r="H605" t="n">
        <v>2</v>
      </c>
      <c r="I605" t="inlineStr">
        <is>
          <t>L</t>
        </is>
      </c>
      <c r="J605" t="inlineStr">
        <is>
          <t>C</t>
        </is>
      </c>
      <c r="K605" t="inlineStr"/>
      <c r="L605" t="inlineStr"/>
      <c r="M605" s="30">
        <f>0.005454*F605^2</f>
        <v/>
      </c>
      <c r="N605" s="31">
        <f>IF(D605="BAF20",20/M605,100)</f>
        <v/>
      </c>
      <c r="O605" s="31">
        <f>M605*N605</f>
        <v/>
      </c>
      <c r="P605" s="32">
        <f>313.2*N605</f>
        <v/>
      </c>
    </row>
    <row r="606">
      <c r="A606" t="inlineStr">
        <is>
          <t>U1-41</t>
        </is>
      </c>
      <c r="B606" t="n">
        <v>1</v>
      </c>
      <c r="C606" t="n">
        <v>1</v>
      </c>
      <c r="D606" t="inlineStr">
        <is>
          <t>BAF20</t>
        </is>
      </c>
      <c r="E606" t="inlineStr">
        <is>
          <t>SP</t>
        </is>
      </c>
      <c r="F606" t="n">
        <v>9.4</v>
      </c>
      <c r="G606" t="n">
        <v>51</v>
      </c>
      <c r="H606" t="n">
        <v>6</v>
      </c>
      <c r="I606" t="inlineStr">
        <is>
          <t>L</t>
        </is>
      </c>
      <c r="J606" t="inlineStr">
        <is>
          <t>S</t>
        </is>
      </c>
      <c r="K606" t="inlineStr"/>
      <c r="L606" t="inlineStr"/>
      <c r="M606" s="30">
        <f>0.005454*F606^2</f>
        <v/>
      </c>
      <c r="N606" s="31">
        <f>IF(D606="BAF20",20/M606,100)</f>
        <v/>
      </c>
      <c r="O606" s="31">
        <f>M606*N606</f>
        <v/>
      </c>
      <c r="P606" s="32">
        <f>0.0*N606</f>
        <v/>
      </c>
    </row>
    <row r="607">
      <c r="A607" t="inlineStr">
        <is>
          <t>U1-41</t>
        </is>
      </c>
      <c r="B607" t="n">
        <v>1</v>
      </c>
      <c r="C607" t="n">
        <v>2</v>
      </c>
      <c r="D607" t="inlineStr">
        <is>
          <t>BAF20</t>
        </is>
      </c>
      <c r="E607" t="inlineStr">
        <is>
          <t>PP</t>
        </is>
      </c>
      <c r="F607" t="n">
        <v>11.7</v>
      </c>
      <c r="G607" t="n">
        <v>54</v>
      </c>
      <c r="H607" t="n">
        <v>6</v>
      </c>
      <c r="I607" t="inlineStr">
        <is>
          <t>L</t>
        </is>
      </c>
      <c r="J607" t="inlineStr">
        <is>
          <t>S</t>
        </is>
      </c>
      <c r="K607" t="inlineStr">
        <is>
          <t>Y</t>
        </is>
      </c>
      <c r="L607" t="inlineStr"/>
      <c r="M607" s="30">
        <f>0.005454*F607^2</f>
        <v/>
      </c>
      <c r="N607" s="31">
        <f>IF(D607="BAF20",20/M607,100)</f>
        <v/>
      </c>
      <c r="O607" s="31">
        <f>M607*N607</f>
        <v/>
      </c>
      <c r="P607" s="32">
        <f>56.6*N607</f>
        <v/>
      </c>
    </row>
    <row r="608">
      <c r="A608" t="inlineStr">
        <is>
          <t>U1-41</t>
        </is>
      </c>
      <c r="B608" t="n">
        <v>1</v>
      </c>
      <c r="C608" t="n">
        <v>3</v>
      </c>
      <c r="D608" t="inlineStr">
        <is>
          <t>BAF20</t>
        </is>
      </c>
      <c r="E608" t="inlineStr">
        <is>
          <t>IC</t>
        </is>
      </c>
      <c r="F608" t="n">
        <v>18.8</v>
      </c>
      <c r="G608" t="n">
        <v>72</v>
      </c>
      <c r="H608" t="n">
        <v>1</v>
      </c>
      <c r="I608" t="inlineStr">
        <is>
          <t>L</t>
        </is>
      </c>
      <c r="J608" t="inlineStr">
        <is>
          <t>I</t>
        </is>
      </c>
      <c r="K608" t="inlineStr"/>
      <c r="L608" t="inlineStr"/>
      <c r="M608" s="30">
        <f>0.005454*F608^2</f>
        <v/>
      </c>
      <c r="N608" s="31">
        <f>IF(D608="BAF20",20/M608,100)</f>
        <v/>
      </c>
      <c r="O608" s="31">
        <f>M608*N608</f>
        <v/>
      </c>
      <c r="P608" s="32">
        <f>238.5*N608</f>
        <v/>
      </c>
    </row>
    <row r="609">
      <c r="A609" t="inlineStr">
        <is>
          <t>U1-41</t>
        </is>
      </c>
      <c r="B609" t="n">
        <v>1</v>
      </c>
      <c r="C609" t="n">
        <v>4</v>
      </c>
      <c r="D609" t="inlineStr">
        <is>
          <t>BAF20</t>
        </is>
      </c>
      <c r="E609" t="inlineStr">
        <is>
          <t>PP</t>
        </is>
      </c>
      <c r="F609" t="n">
        <v>16.1</v>
      </c>
      <c r="G609" t="n">
        <v>70</v>
      </c>
      <c r="H609" t="n">
        <v>2</v>
      </c>
      <c r="I609" t="inlineStr">
        <is>
          <t>L</t>
        </is>
      </c>
      <c r="J609" t="inlineStr">
        <is>
          <t>I</t>
        </is>
      </c>
      <c r="K609" t="inlineStr"/>
      <c r="L609" t="inlineStr"/>
      <c r="M609" s="30">
        <f>0.005454*F609^2</f>
        <v/>
      </c>
      <c r="N609" s="31">
        <f>IF(D609="BAF20",20/M609,100)</f>
        <v/>
      </c>
      <c r="O609" s="31">
        <f>M609*N609</f>
        <v/>
      </c>
      <c r="P609" s="32">
        <f>159.4*N609</f>
        <v/>
      </c>
    </row>
    <row r="610">
      <c r="A610" t="inlineStr">
        <is>
          <t>U1-41</t>
        </is>
      </c>
      <c r="B610" t="n">
        <v>1</v>
      </c>
      <c r="C610" t="n">
        <v>5</v>
      </c>
      <c r="D610" t="inlineStr">
        <is>
          <t>BAF20</t>
        </is>
      </c>
      <c r="E610" t="inlineStr">
        <is>
          <t>BO</t>
        </is>
      </c>
      <c r="F610" t="n">
        <v>6.7</v>
      </c>
      <c r="G610" t="n">
        <v>30</v>
      </c>
      <c r="H610" t="n">
        <v>6</v>
      </c>
      <c r="I610" t="inlineStr">
        <is>
          <t>L</t>
        </is>
      </c>
      <c r="J610" t="inlineStr">
        <is>
          <t>S</t>
        </is>
      </c>
      <c r="K610" t="inlineStr">
        <is>
          <t>Y</t>
        </is>
      </c>
      <c r="L610" t="inlineStr"/>
      <c r="M610" s="30">
        <f>0.005454*F610^2</f>
        <v/>
      </c>
      <c r="N610" s="31">
        <f>IF(D610="BAF20",20/M610,100)</f>
        <v/>
      </c>
      <c r="O610" s="31">
        <f>M610*N610</f>
        <v/>
      </c>
      <c r="P610" s="32">
        <f>0.0*N610</f>
        <v/>
      </c>
    </row>
    <row r="611">
      <c r="A611" t="inlineStr">
        <is>
          <t>U1-41</t>
        </is>
      </c>
      <c r="B611" t="n">
        <v>1</v>
      </c>
      <c r="C611" t="n">
        <v>6</v>
      </c>
      <c r="D611" t="inlineStr">
        <is>
          <t>BAF20</t>
        </is>
      </c>
      <c r="E611" t="inlineStr">
        <is>
          <t>IC</t>
        </is>
      </c>
      <c r="F611" t="n">
        <v>7.1</v>
      </c>
      <c r="G611" t="n">
        <v>29</v>
      </c>
      <c r="H611" t="n">
        <v>10</v>
      </c>
      <c r="I611" t="inlineStr">
        <is>
          <t>L</t>
        </is>
      </c>
      <c r="J611" t="inlineStr">
        <is>
          <t>S</t>
        </is>
      </c>
      <c r="K611" t="inlineStr">
        <is>
          <t>Y</t>
        </is>
      </c>
      <c r="L611" t="inlineStr"/>
      <c r="M611" s="30">
        <f>0.005454*F611^2</f>
        <v/>
      </c>
      <c r="N611" s="31">
        <f>IF(D611="BAF20",20/M611,100)</f>
        <v/>
      </c>
      <c r="O611" s="31">
        <f>M611*N611</f>
        <v/>
      </c>
      <c r="P611" s="32">
        <f>0.0*N611</f>
        <v/>
      </c>
    </row>
    <row r="612">
      <c r="A612" t="inlineStr">
        <is>
          <t>U1-41</t>
        </is>
      </c>
      <c r="B612" t="n">
        <v>1</v>
      </c>
      <c r="C612" t="n">
        <v>7</v>
      </c>
      <c r="D612" t="inlineStr">
        <is>
          <t>BAF20</t>
        </is>
      </c>
      <c r="E612" t="inlineStr">
        <is>
          <t>IC</t>
        </is>
      </c>
      <c r="F612" t="n">
        <v>14.7</v>
      </c>
      <c r="G612" t="n">
        <v>64</v>
      </c>
      <c r="H612" t="n">
        <v>2</v>
      </c>
      <c r="I612" t="inlineStr">
        <is>
          <t>L</t>
        </is>
      </c>
      <c r="J612" t="inlineStr">
        <is>
          <t>I</t>
        </is>
      </c>
      <c r="K612" t="inlineStr"/>
      <c r="L612" t="inlineStr"/>
      <c r="M612" s="30">
        <f>0.005454*F612^2</f>
        <v/>
      </c>
      <c r="N612" s="31">
        <f>IF(D612="BAF20",20/M612,100)</f>
        <v/>
      </c>
      <c r="O612" s="31">
        <f>M612*N612</f>
        <v/>
      </c>
      <c r="P612" s="32">
        <f>118.0*N612</f>
        <v/>
      </c>
    </row>
    <row r="613">
      <c r="A613" t="inlineStr">
        <is>
          <t>U1-41</t>
        </is>
      </c>
      <c r="B613" t="n">
        <v>1</v>
      </c>
      <c r="C613" t="n">
        <v>8</v>
      </c>
      <c r="D613" t="inlineStr">
        <is>
          <t>BAF20</t>
        </is>
      </c>
      <c r="E613" t="inlineStr">
        <is>
          <t>BO</t>
        </is>
      </c>
      <c r="F613" t="n">
        <v>14.2</v>
      </c>
      <c r="G613" t="n">
        <v>49</v>
      </c>
      <c r="H613" t="n">
        <v>20</v>
      </c>
      <c r="I613" t="inlineStr">
        <is>
          <t>L</t>
        </is>
      </c>
      <c r="J613" t="inlineStr">
        <is>
          <t>I</t>
        </is>
      </c>
      <c r="K613" t="inlineStr">
        <is>
          <t>Y</t>
        </is>
      </c>
      <c r="L613" t="inlineStr"/>
      <c r="M613" s="30">
        <f>0.005454*F613^2</f>
        <v/>
      </c>
      <c r="N613" s="31">
        <f>IF(D613="BAF20",20/M613,100)</f>
        <v/>
      </c>
      <c r="O613" s="31">
        <f>M613*N613</f>
        <v/>
      </c>
      <c r="P613" s="32">
        <f>61.6*N613</f>
        <v/>
      </c>
    </row>
    <row r="614">
      <c r="A614" t="inlineStr">
        <is>
          <t>U1-41</t>
        </is>
      </c>
      <c r="B614" t="n">
        <v>1</v>
      </c>
      <c r="C614" t="n">
        <v>9</v>
      </c>
      <c r="D614" t="inlineStr">
        <is>
          <t>BAF20</t>
        </is>
      </c>
      <c r="E614" t="inlineStr">
        <is>
          <t>PP</t>
        </is>
      </c>
      <c r="F614" t="n">
        <v>29.2</v>
      </c>
      <c r="G614" t="n">
        <v>109</v>
      </c>
      <c r="H614" t="n">
        <v>100</v>
      </c>
      <c r="I614" t="inlineStr">
        <is>
          <t>D</t>
        </is>
      </c>
      <c r="J614" t="inlineStr">
        <is>
          <t>D</t>
        </is>
      </c>
      <c r="K614" t="inlineStr"/>
      <c r="L614" t="inlineStr"/>
      <c r="M614" s="30">
        <f>0.005454*F614^2</f>
        <v/>
      </c>
      <c r="N614" s="31">
        <f>IF(D614="BAF20",20/M614,100)</f>
        <v/>
      </c>
      <c r="O614" s="31">
        <f>M614*N614</f>
        <v/>
      </c>
      <c r="P614" s="32">
        <f>0.0*N614</f>
        <v/>
      </c>
    </row>
    <row r="615">
      <c r="A615" t="inlineStr">
        <is>
          <t>U1-41</t>
        </is>
      </c>
      <c r="B615" t="n">
        <v>1</v>
      </c>
      <c r="C615" t="n">
        <v>10</v>
      </c>
      <c r="D615" t="inlineStr">
        <is>
          <t>BAF20</t>
        </is>
      </c>
      <c r="E615" t="inlineStr">
        <is>
          <t>SP</t>
        </is>
      </c>
      <c r="F615" t="n">
        <v>21.4</v>
      </c>
      <c r="G615" t="n">
        <v>88</v>
      </c>
      <c r="H615" t="n">
        <v>2</v>
      </c>
      <c r="I615" t="inlineStr">
        <is>
          <t>L</t>
        </is>
      </c>
      <c r="J615" t="inlineStr">
        <is>
          <t>C</t>
        </is>
      </c>
      <c r="K615" t="inlineStr"/>
      <c r="L615" t="inlineStr"/>
      <c r="M615" s="30">
        <f>0.005454*F615^2</f>
        <v/>
      </c>
      <c r="N615" s="31">
        <f>IF(D615="BAF20",20/M615,100)</f>
        <v/>
      </c>
      <c r="O615" s="31">
        <f>M615*N615</f>
        <v/>
      </c>
      <c r="P615" s="32">
        <f>392.9*N615</f>
        <v/>
      </c>
    </row>
    <row r="616">
      <c r="A616" t="inlineStr">
        <is>
          <t>U1-41</t>
        </is>
      </c>
      <c r="B616" t="n">
        <v>1</v>
      </c>
      <c r="C616" t="n">
        <v>11</v>
      </c>
      <c r="D616" t="inlineStr">
        <is>
          <t>BAF20</t>
        </is>
      </c>
      <c r="E616" t="inlineStr">
        <is>
          <t>PP</t>
        </is>
      </c>
      <c r="F616" t="n">
        <v>7.8</v>
      </c>
      <c r="G616" t="n">
        <v>40</v>
      </c>
      <c r="H616" t="n">
        <v>3</v>
      </c>
      <c r="I616" t="inlineStr">
        <is>
          <t>L</t>
        </is>
      </c>
      <c r="J616" t="inlineStr">
        <is>
          <t>S</t>
        </is>
      </c>
      <c r="K616" t="inlineStr">
        <is>
          <t>Y</t>
        </is>
      </c>
      <c r="L616" t="inlineStr"/>
      <c r="M616" s="30">
        <f>0.005454*F616^2</f>
        <v/>
      </c>
      <c r="N616" s="31">
        <f>IF(D616="BAF20",20/M616,100)</f>
        <v/>
      </c>
      <c r="O616" s="31">
        <f>M616*N616</f>
        <v/>
      </c>
      <c r="P616" s="32">
        <f>0.0*N616</f>
        <v/>
      </c>
    </row>
    <row r="617">
      <c r="A617" t="inlineStr">
        <is>
          <t>U1-41</t>
        </is>
      </c>
      <c r="B617" t="n">
        <v>1</v>
      </c>
      <c r="C617" t="n">
        <v>12</v>
      </c>
      <c r="D617" t="inlineStr">
        <is>
          <t>BAF20</t>
        </is>
      </c>
      <c r="E617" t="inlineStr">
        <is>
          <t>BO</t>
        </is>
      </c>
      <c r="F617" t="n">
        <v>6.4</v>
      </c>
      <c r="G617" t="n">
        <v>30</v>
      </c>
      <c r="H617" t="n">
        <v>11</v>
      </c>
      <c r="I617" t="inlineStr">
        <is>
          <t>L</t>
        </is>
      </c>
      <c r="J617" t="inlineStr">
        <is>
          <t>S</t>
        </is>
      </c>
      <c r="K617" t="inlineStr">
        <is>
          <t>Y</t>
        </is>
      </c>
      <c r="L617" t="inlineStr"/>
      <c r="M617" s="30">
        <f>0.005454*F617^2</f>
        <v/>
      </c>
      <c r="N617" s="31">
        <f>IF(D617="BAF20",20/M617,100)</f>
        <v/>
      </c>
      <c r="O617" s="31">
        <f>M617*N617</f>
        <v/>
      </c>
      <c r="P617" s="32">
        <f>0.0*N617</f>
        <v/>
      </c>
    </row>
    <row r="618">
      <c r="A618" t="inlineStr">
        <is>
          <t>U1-41</t>
        </is>
      </c>
      <c r="B618" t="n">
        <v>1</v>
      </c>
      <c r="C618" t="n">
        <v>13</v>
      </c>
      <c r="D618" t="inlineStr">
        <is>
          <t>BAF20</t>
        </is>
      </c>
      <c r="E618" t="inlineStr">
        <is>
          <t>IC</t>
        </is>
      </c>
      <c r="F618" t="n">
        <v>7.2</v>
      </c>
      <c r="G618" t="n">
        <v>36</v>
      </c>
      <c r="H618" t="n">
        <v>10</v>
      </c>
      <c r="I618" t="inlineStr">
        <is>
          <t>L</t>
        </is>
      </c>
      <c r="J618" t="inlineStr">
        <is>
          <t>S</t>
        </is>
      </c>
      <c r="K618" t="inlineStr">
        <is>
          <t>Y</t>
        </is>
      </c>
      <c r="L618" t="inlineStr"/>
      <c r="M618" s="30">
        <f>0.005454*F618^2</f>
        <v/>
      </c>
      <c r="N618" s="31">
        <f>IF(D618="BAF20",20/M618,100)</f>
        <v/>
      </c>
      <c r="O618" s="31">
        <f>M618*N618</f>
        <v/>
      </c>
      <c r="P618" s="32">
        <f>0.0*N618</f>
        <v/>
      </c>
    </row>
    <row r="619">
      <c r="A619" t="inlineStr">
        <is>
          <t>U1-41</t>
        </is>
      </c>
      <c r="B619" t="n">
        <v>1</v>
      </c>
      <c r="C619" t="n">
        <v>14</v>
      </c>
      <c r="D619" t="inlineStr">
        <is>
          <t>BAF20</t>
        </is>
      </c>
      <c r="E619" t="inlineStr">
        <is>
          <t>PP</t>
        </is>
      </c>
      <c r="F619" t="n">
        <v>6.7</v>
      </c>
      <c r="G619" t="n">
        <v>34</v>
      </c>
      <c r="H619" t="n">
        <v>100</v>
      </c>
      <c r="I619" t="inlineStr">
        <is>
          <t>D</t>
        </is>
      </c>
      <c r="J619" t="inlineStr">
        <is>
          <t>S</t>
        </is>
      </c>
      <c r="K619" t="inlineStr"/>
      <c r="L619" t="inlineStr"/>
      <c r="M619" s="30">
        <f>0.005454*F619^2</f>
        <v/>
      </c>
      <c r="N619" s="31">
        <f>IF(D619="BAF20",20/M619,100)</f>
        <v/>
      </c>
      <c r="O619" s="31">
        <f>M619*N619</f>
        <v/>
      </c>
      <c r="P619" s="32">
        <f>0.0*N619</f>
        <v/>
      </c>
    </row>
    <row r="620">
      <c r="A620" t="inlineStr">
        <is>
          <t>U1-41</t>
        </is>
      </c>
      <c r="B620" t="n">
        <v>1</v>
      </c>
      <c r="C620" t="n">
        <v>15</v>
      </c>
      <c r="D620" t="inlineStr">
        <is>
          <t>BAF20</t>
        </is>
      </c>
      <c r="E620" t="inlineStr">
        <is>
          <t>SP</t>
        </is>
      </c>
      <c r="F620" t="n">
        <v>31</v>
      </c>
      <c r="G620" t="n">
        <v>118</v>
      </c>
      <c r="H620" t="n">
        <v>3</v>
      </c>
      <c r="I620" t="inlineStr">
        <is>
          <t>L</t>
        </is>
      </c>
      <c r="J620" t="inlineStr">
        <is>
          <t>D</t>
        </is>
      </c>
      <c r="K620" t="inlineStr"/>
      <c r="L620" t="inlineStr"/>
      <c r="M620" s="30">
        <f>0.005454*F620^2</f>
        <v/>
      </c>
      <c r="N620" s="31">
        <f>IF(D620="BAF20",20/M620,100)</f>
        <v/>
      </c>
      <c r="O620" s="31">
        <f>M620*N620</f>
        <v/>
      </c>
      <c r="P620" s="32">
        <f>1290.3*N620</f>
        <v/>
      </c>
    </row>
    <row r="621">
      <c r="A621" t="inlineStr">
        <is>
          <t>U1-41</t>
        </is>
      </c>
      <c r="B621" t="n">
        <v>1</v>
      </c>
      <c r="C621" t="n">
        <v>16</v>
      </c>
      <c r="D621" t="inlineStr">
        <is>
          <t>BAF20</t>
        </is>
      </c>
      <c r="E621" t="inlineStr">
        <is>
          <t>PP</t>
        </is>
      </c>
      <c r="F621" t="n">
        <v>27.1</v>
      </c>
      <c r="G621" t="n">
        <v>107</v>
      </c>
      <c r="H621" t="n">
        <v>10</v>
      </c>
      <c r="I621" t="inlineStr">
        <is>
          <t>L</t>
        </is>
      </c>
      <c r="J621" t="inlineStr">
        <is>
          <t>D</t>
        </is>
      </c>
      <c r="K621" t="inlineStr"/>
      <c r="L621" t="inlineStr"/>
      <c r="M621" s="30">
        <f>0.005454*F621^2</f>
        <v/>
      </c>
      <c r="N621" s="31">
        <f>IF(D621="BAF20",20/M621,100)</f>
        <v/>
      </c>
      <c r="O621" s="31">
        <f>M621*N621</f>
        <v/>
      </c>
      <c r="P621" s="32">
        <f>778.5*N621</f>
        <v/>
      </c>
    </row>
    <row r="622">
      <c r="A622" t="inlineStr">
        <is>
          <t>U1-41</t>
        </is>
      </c>
      <c r="B622" t="n">
        <v>1</v>
      </c>
      <c r="C622" t="n">
        <v>17</v>
      </c>
      <c r="D622" t="inlineStr">
        <is>
          <t>BAF20</t>
        </is>
      </c>
      <c r="E622" t="inlineStr">
        <is>
          <t>PP</t>
        </is>
      </c>
      <c r="F622" t="n">
        <v>22.8</v>
      </c>
      <c r="G622" t="n">
        <v>89</v>
      </c>
      <c r="H622" t="n">
        <v>6</v>
      </c>
      <c r="I622" t="inlineStr">
        <is>
          <t>L</t>
        </is>
      </c>
      <c r="J622" t="inlineStr">
        <is>
          <t>C</t>
        </is>
      </c>
      <c r="K622" t="inlineStr"/>
      <c r="L622" t="inlineStr"/>
      <c r="M622" s="30">
        <f>0.005454*F622^2</f>
        <v/>
      </c>
      <c r="N622" s="31">
        <f>IF(D622="BAF20",20/M622,100)</f>
        <v/>
      </c>
      <c r="O622" s="31">
        <f>M622*N622</f>
        <v/>
      </c>
      <c r="P622" s="32">
        <f>444.0*N622</f>
        <v/>
      </c>
    </row>
    <row r="623">
      <c r="A623" t="inlineStr">
        <is>
          <t>U1-41</t>
        </is>
      </c>
      <c r="B623" t="n">
        <v>1</v>
      </c>
      <c r="C623" t="n">
        <v>18</v>
      </c>
      <c r="D623" t="inlineStr">
        <is>
          <t>FIX100</t>
        </is>
      </c>
      <c r="E623" t="inlineStr">
        <is>
          <t>BO</t>
        </is>
      </c>
      <c r="F623" t="n">
        <v>4.5</v>
      </c>
      <c r="G623" t="n">
        <v>21</v>
      </c>
      <c r="H623" t="n">
        <v>0</v>
      </c>
      <c r="I623" t="inlineStr">
        <is>
          <t>L</t>
        </is>
      </c>
      <c r="J623" t="inlineStr">
        <is>
          <t>S</t>
        </is>
      </c>
      <c r="K623" t="inlineStr"/>
      <c r="L623" t="inlineStr"/>
      <c r="M623" s="30">
        <f>0.005454*F623^2</f>
        <v/>
      </c>
      <c r="N623" s="31">
        <f>IF(D623="BAF20",20/M623,100)</f>
        <v/>
      </c>
      <c r="O623" s="31">
        <f>M623*N623</f>
        <v/>
      </c>
      <c r="P623" s="32">
        <f>0.0*N623</f>
        <v/>
      </c>
    </row>
    <row r="624">
      <c r="A624" t="inlineStr">
        <is>
          <t>U1-41</t>
        </is>
      </c>
      <c r="B624" t="n">
        <v>1</v>
      </c>
      <c r="C624" t="n">
        <v>19</v>
      </c>
      <c r="D624" t="inlineStr">
        <is>
          <t>FIX100</t>
        </is>
      </c>
      <c r="E624" t="inlineStr">
        <is>
          <t>IC</t>
        </is>
      </c>
      <c r="F624" t="n">
        <v>2.6</v>
      </c>
      <c r="G624" t="n">
        <v>13</v>
      </c>
      <c r="H624" t="n">
        <v>0</v>
      </c>
      <c r="I624" t="inlineStr">
        <is>
          <t>L</t>
        </is>
      </c>
      <c r="J624" t="inlineStr">
        <is>
          <t>S</t>
        </is>
      </c>
      <c r="K624" t="inlineStr"/>
      <c r="L624" t="inlineStr"/>
      <c r="M624" s="30">
        <f>0.005454*F624^2</f>
        <v/>
      </c>
      <c r="N624" s="31">
        <f>IF(D624="BAF20",20/M624,100)</f>
        <v/>
      </c>
      <c r="O624" s="31">
        <f>M624*N624</f>
        <v/>
      </c>
      <c r="P624" s="32">
        <f>0.0*N624</f>
        <v/>
      </c>
    </row>
    <row r="625">
      <c r="A625" t="inlineStr">
        <is>
          <t>U2-01</t>
        </is>
      </c>
      <c r="B625" t="n">
        <v>2</v>
      </c>
      <c r="C625" t="n">
        <v>1</v>
      </c>
      <c r="D625" t="inlineStr">
        <is>
          <t>BAF20</t>
        </is>
      </c>
      <c r="E625" t="inlineStr">
        <is>
          <t>DF</t>
        </is>
      </c>
      <c r="F625" t="n">
        <v>19.2</v>
      </c>
      <c r="G625" t="n">
        <v>86</v>
      </c>
      <c r="H625" t="n">
        <v>1</v>
      </c>
      <c r="I625" t="inlineStr">
        <is>
          <t>L</t>
        </is>
      </c>
      <c r="J625" t="inlineStr">
        <is>
          <t>I</t>
        </is>
      </c>
      <c r="K625" t="inlineStr"/>
      <c r="L625" t="inlineStr"/>
      <c r="M625" s="30">
        <f>0.005454*F625^2</f>
        <v/>
      </c>
      <c r="N625" s="31">
        <f>IF(D625="BAF20",20/M625,100)</f>
        <v/>
      </c>
      <c r="O625" s="31">
        <f>M625*N625</f>
        <v/>
      </c>
      <c r="P625" s="32">
        <f>299.5*N625</f>
        <v/>
      </c>
    </row>
    <row r="626">
      <c r="A626" t="inlineStr">
        <is>
          <t>U2-01</t>
        </is>
      </c>
      <c r="B626" t="n">
        <v>2</v>
      </c>
      <c r="C626" t="n">
        <v>2</v>
      </c>
      <c r="D626" t="inlineStr">
        <is>
          <t>BAF20</t>
        </is>
      </c>
      <c r="E626" t="inlineStr">
        <is>
          <t>SP</t>
        </is>
      </c>
      <c r="F626" t="n">
        <v>22.8</v>
      </c>
      <c r="G626" t="n">
        <v>109</v>
      </c>
      <c r="H626" t="n">
        <v>4</v>
      </c>
      <c r="I626" t="inlineStr">
        <is>
          <t>L</t>
        </is>
      </c>
      <c r="J626" t="inlineStr">
        <is>
          <t>C</t>
        </is>
      </c>
      <c r="K626" t="inlineStr"/>
      <c r="L626" t="inlineStr"/>
      <c r="M626" s="30">
        <f>0.005454*F626^2</f>
        <v/>
      </c>
      <c r="N626" s="31">
        <f>IF(D626="BAF20",20/M626,100)</f>
        <v/>
      </c>
      <c r="O626" s="31">
        <f>M626*N626</f>
        <v/>
      </c>
      <c r="P626" s="32">
        <f>555.3*N626</f>
        <v/>
      </c>
    </row>
    <row r="627">
      <c r="A627" t="inlineStr">
        <is>
          <t>U2-01</t>
        </is>
      </c>
      <c r="B627" t="n">
        <v>2</v>
      </c>
      <c r="C627" t="n">
        <v>3</v>
      </c>
      <c r="D627" t="inlineStr">
        <is>
          <t>BAF20</t>
        </is>
      </c>
      <c r="E627" t="inlineStr">
        <is>
          <t>BO</t>
        </is>
      </c>
      <c r="F627" t="n">
        <v>15</v>
      </c>
      <c r="G627" t="n">
        <v>48</v>
      </c>
      <c r="H627" t="n">
        <v>100</v>
      </c>
      <c r="I627" t="inlineStr">
        <is>
          <t>D</t>
        </is>
      </c>
      <c r="J627" t="inlineStr">
        <is>
          <t>I</t>
        </is>
      </c>
      <c r="K627" t="inlineStr"/>
      <c r="L627" t="inlineStr"/>
      <c r="M627" s="30">
        <f>0.005454*F627^2</f>
        <v/>
      </c>
      <c r="N627" s="31">
        <f>IF(D627="BAF20",20/M627,100)</f>
        <v/>
      </c>
      <c r="O627" s="31">
        <f>M627*N627</f>
        <v/>
      </c>
      <c r="P627" s="32">
        <f>0.0*N627</f>
        <v/>
      </c>
    </row>
    <row r="628">
      <c r="A628" t="inlineStr">
        <is>
          <t>U2-01</t>
        </is>
      </c>
      <c r="B628" t="n">
        <v>2</v>
      </c>
      <c r="C628" t="n">
        <v>4</v>
      </c>
      <c r="D628" t="inlineStr">
        <is>
          <t>BAF20</t>
        </is>
      </c>
      <c r="E628" t="inlineStr">
        <is>
          <t>IC</t>
        </is>
      </c>
      <c r="F628" t="n">
        <v>10.3</v>
      </c>
      <c r="G628" t="n">
        <v>44</v>
      </c>
      <c r="H628" t="n">
        <v>5</v>
      </c>
      <c r="I628" t="inlineStr">
        <is>
          <t>L</t>
        </is>
      </c>
      <c r="J628" t="inlineStr">
        <is>
          <t>S</t>
        </is>
      </c>
      <c r="K628" t="inlineStr">
        <is>
          <t>Y</t>
        </is>
      </c>
      <c r="L628" t="inlineStr"/>
      <c r="M628" s="30">
        <f>0.005454*F628^2</f>
        <v/>
      </c>
      <c r="N628" s="31">
        <f>IF(D628="BAF20",20/M628,100)</f>
        <v/>
      </c>
      <c r="O628" s="31">
        <f>M628*N628</f>
        <v/>
      </c>
      <c r="P628" s="32">
        <f>35.0*N628</f>
        <v/>
      </c>
    </row>
    <row r="629">
      <c r="A629" t="inlineStr">
        <is>
          <t>U2-01</t>
        </is>
      </c>
      <c r="B629" t="n">
        <v>2</v>
      </c>
      <c r="C629" t="n">
        <v>5</v>
      </c>
      <c r="D629" t="inlineStr">
        <is>
          <t>BAF20</t>
        </is>
      </c>
      <c r="E629" t="inlineStr">
        <is>
          <t>SP</t>
        </is>
      </c>
      <c r="F629" t="n">
        <v>56.7</v>
      </c>
      <c r="G629" t="n">
        <v>159</v>
      </c>
      <c r="H629" t="n">
        <v>6</v>
      </c>
      <c r="I629" t="inlineStr">
        <is>
          <t>L</t>
        </is>
      </c>
      <c r="J629" t="inlineStr">
        <is>
          <t>D</t>
        </is>
      </c>
      <c r="K629" t="inlineStr"/>
      <c r="L629" t="inlineStr"/>
      <c r="M629" s="30">
        <f>0.005454*F629^2</f>
        <v/>
      </c>
      <c r="N629" s="31">
        <f>IF(D629="BAF20",20/M629,100)</f>
        <v/>
      </c>
      <c r="O629" s="31">
        <f>M629*N629</f>
        <v/>
      </c>
      <c r="P629" s="32">
        <f>6141.7*N629</f>
        <v/>
      </c>
    </row>
    <row r="630">
      <c r="A630" t="inlineStr">
        <is>
          <t>U2-01</t>
        </is>
      </c>
      <c r="B630" t="n">
        <v>2</v>
      </c>
      <c r="C630" t="n">
        <v>6</v>
      </c>
      <c r="D630" t="inlineStr">
        <is>
          <t>BAF20</t>
        </is>
      </c>
      <c r="E630" t="inlineStr">
        <is>
          <t>DF</t>
        </is>
      </c>
      <c r="F630" t="n">
        <v>22.2</v>
      </c>
      <c r="G630" t="n">
        <v>108</v>
      </c>
      <c r="H630" t="n">
        <v>5</v>
      </c>
      <c r="I630" t="inlineStr">
        <is>
          <t>L</t>
        </is>
      </c>
      <c r="J630" t="inlineStr">
        <is>
          <t>C</t>
        </is>
      </c>
      <c r="K630" t="inlineStr"/>
      <c r="L630" t="inlineStr"/>
      <c r="M630" s="30">
        <f>0.005454*F630^2</f>
        <v/>
      </c>
      <c r="N630" s="31">
        <f>IF(D630="BAF20",20/M630,100)</f>
        <v/>
      </c>
      <c r="O630" s="31">
        <f>M630*N630</f>
        <v/>
      </c>
      <c r="P630" s="32">
        <f>510.6*N630</f>
        <v/>
      </c>
    </row>
    <row r="631">
      <c r="A631" t="inlineStr">
        <is>
          <t>U2-01</t>
        </is>
      </c>
      <c r="B631" t="n">
        <v>2</v>
      </c>
      <c r="C631" t="n">
        <v>7</v>
      </c>
      <c r="D631" t="inlineStr">
        <is>
          <t>FIX100</t>
        </is>
      </c>
      <c r="E631" t="inlineStr">
        <is>
          <t>BO</t>
        </is>
      </c>
      <c r="F631" t="n">
        <v>1.8</v>
      </c>
      <c r="G631" t="n">
        <v>11</v>
      </c>
      <c r="H631" t="n">
        <v>0</v>
      </c>
      <c r="I631" t="inlineStr">
        <is>
          <t>L</t>
        </is>
      </c>
      <c r="J631" t="inlineStr">
        <is>
          <t>S</t>
        </is>
      </c>
      <c r="K631" t="inlineStr"/>
      <c r="L631" t="inlineStr"/>
      <c r="M631" s="30">
        <f>0.005454*F631^2</f>
        <v/>
      </c>
      <c r="N631" s="31">
        <f>IF(D631="BAF20",20/M631,100)</f>
        <v/>
      </c>
      <c r="O631" s="31">
        <f>M631*N631</f>
        <v/>
      </c>
      <c r="P631" s="32">
        <f>0.0*N631</f>
        <v/>
      </c>
    </row>
    <row r="632">
      <c r="A632" t="inlineStr">
        <is>
          <t>U2-02</t>
        </is>
      </c>
      <c r="B632" t="n">
        <v>2</v>
      </c>
      <c r="C632" t="n">
        <v>1</v>
      </c>
      <c r="D632" t="inlineStr">
        <is>
          <t>BAF20</t>
        </is>
      </c>
      <c r="E632" t="inlineStr">
        <is>
          <t>PP</t>
        </is>
      </c>
      <c r="F632" t="n">
        <v>5</v>
      </c>
      <c r="G632" t="n">
        <v>28</v>
      </c>
      <c r="H632" t="n">
        <v>4</v>
      </c>
      <c r="I632" t="inlineStr">
        <is>
          <t>L</t>
        </is>
      </c>
      <c r="J632" t="inlineStr">
        <is>
          <t>S</t>
        </is>
      </c>
      <c r="K632" t="inlineStr">
        <is>
          <t>Y</t>
        </is>
      </c>
      <c r="L632" t="inlineStr"/>
      <c r="M632" s="30">
        <f>0.005454*F632^2</f>
        <v/>
      </c>
      <c r="N632" s="31">
        <f>IF(D632="BAF20",20/M632,100)</f>
        <v/>
      </c>
      <c r="O632" s="31">
        <f>M632*N632</f>
        <v/>
      </c>
      <c r="P632" s="32">
        <f>0.0*N632</f>
        <v/>
      </c>
    </row>
    <row r="633">
      <c r="A633" t="inlineStr">
        <is>
          <t>U2-02</t>
        </is>
      </c>
      <c r="B633" t="n">
        <v>2</v>
      </c>
      <c r="C633" t="n">
        <v>2</v>
      </c>
      <c r="D633" t="inlineStr">
        <is>
          <t>BAF20</t>
        </is>
      </c>
      <c r="E633" t="inlineStr">
        <is>
          <t>PP</t>
        </is>
      </c>
      <c r="F633" t="n">
        <v>23.5</v>
      </c>
      <c r="G633" t="n">
        <v>89</v>
      </c>
      <c r="H633" t="n">
        <v>1</v>
      </c>
      <c r="I633" t="inlineStr">
        <is>
          <t>L</t>
        </is>
      </c>
      <c r="J633" t="inlineStr">
        <is>
          <t>C</t>
        </is>
      </c>
      <c r="K633" t="inlineStr"/>
      <c r="L633" t="inlineStr"/>
      <c r="M633" s="30">
        <f>0.005454*F633^2</f>
        <v/>
      </c>
      <c r="N633" s="31">
        <f>IF(D633="BAF20",20/M633,100)</f>
        <v/>
      </c>
      <c r="O633" s="31">
        <f>M633*N633</f>
        <v/>
      </c>
      <c r="P633" s="32">
        <f>503.1*N633</f>
        <v/>
      </c>
    </row>
    <row r="634">
      <c r="A634" t="inlineStr">
        <is>
          <t>U2-02</t>
        </is>
      </c>
      <c r="B634" t="n">
        <v>2</v>
      </c>
      <c r="C634" t="n">
        <v>3</v>
      </c>
      <c r="D634" t="inlineStr">
        <is>
          <t>BAF20</t>
        </is>
      </c>
      <c r="E634" t="inlineStr">
        <is>
          <t>WF</t>
        </is>
      </c>
      <c r="F634" t="n">
        <v>26.5</v>
      </c>
      <c r="G634" t="n">
        <v>101</v>
      </c>
      <c r="H634" t="n">
        <v>12</v>
      </c>
      <c r="I634" t="inlineStr">
        <is>
          <t>L</t>
        </is>
      </c>
      <c r="J634" t="inlineStr">
        <is>
          <t>D</t>
        </is>
      </c>
      <c r="K634" t="inlineStr"/>
      <c r="L634" t="inlineStr"/>
      <c r="M634" s="30">
        <f>0.005454*F634^2</f>
        <v/>
      </c>
      <c r="N634" s="31">
        <f>IF(D634="BAF20",20/M634,100)</f>
        <v/>
      </c>
      <c r="O634" s="31">
        <f>M634*N634</f>
        <v/>
      </c>
      <c r="P634" s="32">
        <f>680.1*N634</f>
        <v/>
      </c>
    </row>
    <row r="635">
      <c r="A635" t="inlineStr">
        <is>
          <t>U2-02</t>
        </is>
      </c>
      <c r="B635" t="n">
        <v>2</v>
      </c>
      <c r="C635" t="n">
        <v>4</v>
      </c>
      <c r="D635" t="inlineStr">
        <is>
          <t>BAF20</t>
        </is>
      </c>
      <c r="E635" t="inlineStr">
        <is>
          <t>SP</t>
        </is>
      </c>
      <c r="F635" t="n">
        <v>17.2</v>
      </c>
      <c r="G635" t="n">
        <v>85</v>
      </c>
      <c r="H635" t="n">
        <v>1</v>
      </c>
      <c r="I635" t="inlineStr">
        <is>
          <t>L</t>
        </is>
      </c>
      <c r="J635" t="inlineStr">
        <is>
          <t>I</t>
        </is>
      </c>
      <c r="K635" t="inlineStr"/>
      <c r="L635" t="inlineStr"/>
      <c r="M635" s="30">
        <f>0.005454*F635^2</f>
        <v/>
      </c>
      <c r="N635" s="31">
        <f>IF(D635="BAF20",20/M635,100)</f>
        <v/>
      </c>
      <c r="O635" s="31">
        <f>M635*N635</f>
        <v/>
      </c>
      <c r="P635" s="32">
        <f>228.3*N635</f>
        <v/>
      </c>
    </row>
    <row r="636">
      <c r="A636" t="inlineStr">
        <is>
          <t>U2-02</t>
        </is>
      </c>
      <c r="B636" t="n">
        <v>2</v>
      </c>
      <c r="C636" t="n">
        <v>5</v>
      </c>
      <c r="D636" t="inlineStr">
        <is>
          <t>BAF20</t>
        </is>
      </c>
      <c r="E636" t="inlineStr">
        <is>
          <t>IC</t>
        </is>
      </c>
      <c r="F636" t="n">
        <v>31.9</v>
      </c>
      <c r="G636" t="n">
        <v>100</v>
      </c>
      <c r="H636" t="n">
        <v>4</v>
      </c>
      <c r="I636" t="inlineStr">
        <is>
          <t>L</t>
        </is>
      </c>
      <c r="J636" t="inlineStr">
        <is>
          <t>D</t>
        </is>
      </c>
      <c r="K636" t="inlineStr"/>
      <c r="L636" t="inlineStr"/>
      <c r="M636" s="30">
        <f>0.005454*F636^2</f>
        <v/>
      </c>
      <c r="N636" s="31">
        <f>IF(D636="BAF20",20/M636,100)</f>
        <v/>
      </c>
      <c r="O636" s="31">
        <f>M636*N636</f>
        <v/>
      </c>
      <c r="P636" s="32">
        <f>1162.3*N636</f>
        <v/>
      </c>
    </row>
    <row r="637">
      <c r="A637" t="inlineStr">
        <is>
          <t>U2-02</t>
        </is>
      </c>
      <c r="B637" t="n">
        <v>2</v>
      </c>
      <c r="C637" t="n">
        <v>6</v>
      </c>
      <c r="D637" t="inlineStr">
        <is>
          <t>BAF20</t>
        </is>
      </c>
      <c r="E637" t="inlineStr">
        <is>
          <t>BO</t>
        </is>
      </c>
      <c r="F637" t="n">
        <v>7.2</v>
      </c>
      <c r="G637" t="n">
        <v>31</v>
      </c>
      <c r="H637" t="n">
        <v>6</v>
      </c>
      <c r="I637" t="inlineStr">
        <is>
          <t>L</t>
        </is>
      </c>
      <c r="J637" t="inlineStr">
        <is>
          <t>S</t>
        </is>
      </c>
      <c r="K637" t="inlineStr">
        <is>
          <t>Y</t>
        </is>
      </c>
      <c r="L637" t="inlineStr"/>
      <c r="M637" s="30">
        <f>0.005454*F637^2</f>
        <v/>
      </c>
      <c r="N637" s="31">
        <f>IF(D637="BAF20",20/M637,100)</f>
        <v/>
      </c>
      <c r="O637" s="31">
        <f>M637*N637</f>
        <v/>
      </c>
      <c r="P637" s="32">
        <f>0.0*N637</f>
        <v/>
      </c>
    </row>
    <row r="638">
      <c r="A638" t="inlineStr">
        <is>
          <t>U2-02</t>
        </is>
      </c>
      <c r="B638" t="n">
        <v>2</v>
      </c>
      <c r="C638" t="n">
        <v>7</v>
      </c>
      <c r="D638" t="inlineStr">
        <is>
          <t>BAF20</t>
        </is>
      </c>
      <c r="E638" t="inlineStr">
        <is>
          <t>BO</t>
        </is>
      </c>
      <c r="F638" t="n">
        <v>5</v>
      </c>
      <c r="G638" t="n">
        <v>23</v>
      </c>
      <c r="H638" t="n">
        <v>27</v>
      </c>
      <c r="I638" t="inlineStr">
        <is>
          <t>L</t>
        </is>
      </c>
      <c r="J638" t="inlineStr">
        <is>
          <t>S</t>
        </is>
      </c>
      <c r="K638" t="inlineStr">
        <is>
          <t>Y</t>
        </is>
      </c>
      <c r="L638" t="inlineStr"/>
      <c r="M638" s="30">
        <f>0.005454*F638^2</f>
        <v/>
      </c>
      <c r="N638" s="31">
        <f>IF(D638="BAF20",20/M638,100)</f>
        <v/>
      </c>
      <c r="O638" s="31">
        <f>M638*N638</f>
        <v/>
      </c>
      <c r="P638" s="32">
        <f>0.0*N638</f>
        <v/>
      </c>
    </row>
    <row r="639">
      <c r="A639" t="inlineStr">
        <is>
          <t>U2-02</t>
        </is>
      </c>
      <c r="B639" t="n">
        <v>2</v>
      </c>
      <c r="C639" t="n">
        <v>8</v>
      </c>
      <c r="D639" t="inlineStr">
        <is>
          <t>FIX100</t>
        </is>
      </c>
      <c r="E639" t="inlineStr">
        <is>
          <t>IC</t>
        </is>
      </c>
      <c r="F639" t="n">
        <v>3.9</v>
      </c>
      <c r="G639" t="n">
        <v>17</v>
      </c>
      <c r="H639" t="n">
        <v>0</v>
      </c>
      <c r="I639" t="inlineStr">
        <is>
          <t>L</t>
        </is>
      </c>
      <c r="J639" t="inlineStr">
        <is>
          <t>S</t>
        </is>
      </c>
      <c r="K639" t="inlineStr"/>
      <c r="L639" t="inlineStr"/>
      <c r="M639" s="30">
        <f>0.005454*F639^2</f>
        <v/>
      </c>
      <c r="N639" s="31">
        <f>IF(D639="BAF20",20/M639,100)</f>
        <v/>
      </c>
      <c r="O639" s="31">
        <f>M639*N639</f>
        <v/>
      </c>
      <c r="P639" s="32">
        <f>0.0*N639</f>
        <v/>
      </c>
    </row>
    <row r="640">
      <c r="A640" t="inlineStr">
        <is>
          <t>U2-03</t>
        </is>
      </c>
      <c r="B640" t="n">
        <v>2</v>
      </c>
      <c r="C640" t="n">
        <v>1</v>
      </c>
      <c r="D640" t="inlineStr">
        <is>
          <t>BAF20</t>
        </is>
      </c>
      <c r="E640" t="inlineStr">
        <is>
          <t>WF</t>
        </is>
      </c>
      <c r="F640" t="n">
        <v>14.9</v>
      </c>
      <c r="G640" t="n">
        <v>69</v>
      </c>
      <c r="H640" t="n">
        <v>100</v>
      </c>
      <c r="I640" t="inlineStr">
        <is>
          <t>D</t>
        </is>
      </c>
      <c r="J640" t="inlineStr">
        <is>
          <t>I</t>
        </is>
      </c>
      <c r="K640" t="inlineStr"/>
      <c r="L640" t="inlineStr"/>
      <c r="M640" s="30">
        <f>0.005454*F640^2</f>
        <v/>
      </c>
      <c r="N640" s="31">
        <f>IF(D640="BAF20",20/M640,100)</f>
        <v/>
      </c>
      <c r="O640" s="31">
        <f>M640*N640</f>
        <v/>
      </c>
      <c r="P640" s="32">
        <f>0.0*N640</f>
        <v/>
      </c>
    </row>
    <row r="641">
      <c r="A641" t="inlineStr">
        <is>
          <t>U2-03</t>
        </is>
      </c>
      <c r="B641" t="n">
        <v>2</v>
      </c>
      <c r="C641" t="n">
        <v>2</v>
      </c>
      <c r="D641" t="inlineStr">
        <is>
          <t>BAF20</t>
        </is>
      </c>
      <c r="E641" t="inlineStr">
        <is>
          <t>IC</t>
        </is>
      </c>
      <c r="F641" t="n">
        <v>24.4</v>
      </c>
      <c r="G641" t="n">
        <v>81</v>
      </c>
      <c r="H641" t="n">
        <v>5</v>
      </c>
      <c r="I641" t="inlineStr">
        <is>
          <t>L</t>
        </is>
      </c>
      <c r="J641" t="inlineStr">
        <is>
          <t>C</t>
        </is>
      </c>
      <c r="K641" t="inlineStr"/>
      <c r="L641" t="inlineStr"/>
      <c r="M641" s="30">
        <f>0.005454*F641^2</f>
        <v/>
      </c>
      <c r="N641" s="31">
        <f>IF(D641="BAF20",20/M641,100)</f>
        <v/>
      </c>
      <c r="O641" s="31">
        <f>M641*N641</f>
        <v/>
      </c>
      <c r="P641" s="32">
        <f>481.3*N641</f>
        <v/>
      </c>
    </row>
    <row r="642">
      <c r="A642" t="inlineStr">
        <is>
          <t>U2-03</t>
        </is>
      </c>
      <c r="B642" t="n">
        <v>2</v>
      </c>
      <c r="C642" t="n">
        <v>3</v>
      </c>
      <c r="D642" t="inlineStr">
        <is>
          <t>BAF20</t>
        </is>
      </c>
      <c r="E642" t="inlineStr">
        <is>
          <t>DF</t>
        </is>
      </c>
      <c r="F642" t="n">
        <v>18.4</v>
      </c>
      <c r="G642" t="n">
        <v>92</v>
      </c>
      <c r="H642" t="n">
        <v>6</v>
      </c>
      <c r="I642" t="inlineStr">
        <is>
          <t>L</t>
        </is>
      </c>
      <c r="J642" t="inlineStr">
        <is>
          <t>I</t>
        </is>
      </c>
      <c r="K642" t="inlineStr"/>
      <c r="L642" t="inlineStr"/>
      <c r="M642" s="30">
        <f>0.005454*F642^2</f>
        <v/>
      </c>
      <c r="N642" s="31">
        <f>IF(D642="BAF20",20/M642,100)</f>
        <v/>
      </c>
      <c r="O642" s="31">
        <f>M642*N642</f>
        <v/>
      </c>
      <c r="P642" s="32">
        <f>275.0*N642</f>
        <v/>
      </c>
    </row>
    <row r="643">
      <c r="A643" t="inlineStr">
        <is>
          <t>U2-03</t>
        </is>
      </c>
      <c r="B643" t="n">
        <v>2</v>
      </c>
      <c r="C643" t="n">
        <v>4</v>
      </c>
      <c r="D643" t="inlineStr">
        <is>
          <t>BAF20</t>
        </is>
      </c>
      <c r="E643" t="inlineStr">
        <is>
          <t>PP</t>
        </is>
      </c>
      <c r="F643" t="n">
        <v>18.2</v>
      </c>
      <c r="G643" t="n">
        <v>86</v>
      </c>
      <c r="H643" t="n">
        <v>1</v>
      </c>
      <c r="I643" t="inlineStr">
        <is>
          <t>L</t>
        </is>
      </c>
      <c r="J643" t="inlineStr">
        <is>
          <t>I</t>
        </is>
      </c>
      <c r="K643" t="inlineStr"/>
      <c r="L643" t="inlineStr"/>
      <c r="M643" s="30">
        <f>0.005454*F643^2</f>
        <v/>
      </c>
      <c r="N643" s="31">
        <f>IF(D643="BAF20",20/M643,100)</f>
        <v/>
      </c>
      <c r="O643" s="31">
        <f>M643*N643</f>
        <v/>
      </c>
      <c r="P643" s="32">
        <f>263.8*N643</f>
        <v/>
      </c>
    </row>
    <row r="644">
      <c r="A644" t="inlineStr">
        <is>
          <t>U2-03</t>
        </is>
      </c>
      <c r="B644" t="n">
        <v>2</v>
      </c>
      <c r="C644" t="n">
        <v>5</v>
      </c>
      <c r="D644" t="inlineStr">
        <is>
          <t>BAF20</t>
        </is>
      </c>
      <c r="E644" t="inlineStr">
        <is>
          <t>DF</t>
        </is>
      </c>
      <c r="F644" t="n">
        <v>29.3</v>
      </c>
      <c r="G644" t="n">
        <v>119</v>
      </c>
      <c r="H644" t="n">
        <v>4</v>
      </c>
      <c r="I644" t="inlineStr">
        <is>
          <t>L</t>
        </is>
      </c>
      <c r="J644" t="inlineStr">
        <is>
          <t>D</t>
        </is>
      </c>
      <c r="K644" t="inlineStr"/>
      <c r="L644" t="inlineStr"/>
      <c r="M644" s="30">
        <f>0.005454*F644^2</f>
        <v/>
      </c>
      <c r="N644" s="31">
        <f>IF(D644="BAF20",20/M644,100)</f>
        <v/>
      </c>
      <c r="O644" s="31">
        <f>M644*N644</f>
        <v/>
      </c>
      <c r="P644" s="32">
        <f>1119.5*N644</f>
        <v/>
      </c>
    </row>
    <row r="645">
      <c r="A645" t="inlineStr">
        <is>
          <t>U2-03</t>
        </is>
      </c>
      <c r="B645" t="n">
        <v>2</v>
      </c>
      <c r="C645" t="n">
        <v>6</v>
      </c>
      <c r="D645" t="inlineStr">
        <is>
          <t>BAF20</t>
        </is>
      </c>
      <c r="E645" t="inlineStr">
        <is>
          <t>DF</t>
        </is>
      </c>
      <c r="F645" t="n">
        <v>6.8</v>
      </c>
      <c r="G645" t="n">
        <v>42</v>
      </c>
      <c r="H645" t="n">
        <v>4</v>
      </c>
      <c r="I645" t="inlineStr">
        <is>
          <t>L</t>
        </is>
      </c>
      <c r="J645" t="inlineStr">
        <is>
          <t>S</t>
        </is>
      </c>
      <c r="K645" t="inlineStr">
        <is>
          <t>Y</t>
        </is>
      </c>
      <c r="L645" t="inlineStr"/>
      <c r="M645" s="30">
        <f>0.005454*F645^2</f>
        <v/>
      </c>
      <c r="N645" s="31">
        <f>IF(D645="BAF20",20/M645,100)</f>
        <v/>
      </c>
      <c r="O645" s="31">
        <f>M645*N645</f>
        <v/>
      </c>
      <c r="P645" s="32">
        <f>0.0*N645</f>
        <v/>
      </c>
    </row>
    <row r="646">
      <c r="A646" t="inlineStr">
        <is>
          <t>U2-03</t>
        </is>
      </c>
      <c r="B646" t="n">
        <v>2</v>
      </c>
      <c r="C646" t="n">
        <v>7</v>
      </c>
      <c r="D646" t="inlineStr">
        <is>
          <t>BAF20</t>
        </is>
      </c>
      <c r="E646" t="inlineStr">
        <is>
          <t>DF</t>
        </is>
      </c>
      <c r="F646" t="n">
        <v>17</v>
      </c>
      <c r="G646" t="n">
        <v>74</v>
      </c>
      <c r="H646" t="n">
        <v>5</v>
      </c>
      <c r="I646" t="inlineStr">
        <is>
          <t>L</t>
        </is>
      </c>
      <c r="J646" t="inlineStr">
        <is>
          <t>I</t>
        </is>
      </c>
      <c r="K646" t="inlineStr"/>
      <c r="L646" t="inlineStr"/>
      <c r="M646" s="30">
        <f>0.005454*F646^2</f>
        <v/>
      </c>
      <c r="N646" s="31">
        <f>IF(D646="BAF20",20/M646,100)</f>
        <v/>
      </c>
      <c r="O646" s="31">
        <f>M646*N646</f>
        <v/>
      </c>
      <c r="P646" s="32">
        <f>185.6*N646</f>
        <v/>
      </c>
    </row>
    <row r="647">
      <c r="A647" t="inlineStr">
        <is>
          <t>U2-03</t>
        </is>
      </c>
      <c r="B647" t="n">
        <v>2</v>
      </c>
      <c r="C647" t="n">
        <v>8</v>
      </c>
      <c r="D647" t="inlineStr">
        <is>
          <t>BAF20</t>
        </is>
      </c>
      <c r="E647" t="inlineStr">
        <is>
          <t>PP</t>
        </is>
      </c>
      <c r="F647" t="n">
        <v>18.4</v>
      </c>
      <c r="G647" t="n">
        <v>72</v>
      </c>
      <c r="H647" t="n">
        <v>2</v>
      </c>
      <c r="I647" t="inlineStr">
        <is>
          <t>L</t>
        </is>
      </c>
      <c r="J647" t="inlineStr">
        <is>
          <t>I</t>
        </is>
      </c>
      <c r="K647" t="inlineStr"/>
      <c r="L647" t="inlineStr"/>
      <c r="M647" s="30">
        <f>0.005454*F647^2</f>
        <v/>
      </c>
      <c r="N647" s="31">
        <f>IF(D647="BAF20",20/M647,100)</f>
        <v/>
      </c>
      <c r="O647" s="31">
        <f>M647*N647</f>
        <v/>
      </c>
      <c r="P647" s="32">
        <f>224.4*N647</f>
        <v/>
      </c>
    </row>
    <row r="648">
      <c r="A648" t="inlineStr">
        <is>
          <t>U2-03</t>
        </is>
      </c>
      <c r="B648" t="n">
        <v>2</v>
      </c>
      <c r="C648" t="n">
        <v>9</v>
      </c>
      <c r="D648" t="inlineStr">
        <is>
          <t>BAF20</t>
        </is>
      </c>
      <c r="E648" t="inlineStr">
        <is>
          <t>IC</t>
        </is>
      </c>
      <c r="F648" t="n">
        <v>10.5</v>
      </c>
      <c r="G648" t="n">
        <v>41</v>
      </c>
      <c r="H648" t="n">
        <v>2</v>
      </c>
      <c r="I648" t="inlineStr">
        <is>
          <t>L</t>
        </is>
      </c>
      <c r="J648" t="inlineStr">
        <is>
          <t>S</t>
        </is>
      </c>
      <c r="K648" t="inlineStr">
        <is>
          <t>Y</t>
        </is>
      </c>
      <c r="L648" t="inlineStr"/>
      <c r="M648" s="30">
        <f>0.005454*F648^2</f>
        <v/>
      </c>
      <c r="N648" s="31">
        <f>IF(D648="BAF20",20/M648,100)</f>
        <v/>
      </c>
      <c r="O648" s="31">
        <f>M648*N648</f>
        <v/>
      </c>
      <c r="P648" s="32">
        <f>35.1*N648</f>
        <v/>
      </c>
    </row>
    <row r="649">
      <c r="A649" t="inlineStr">
        <is>
          <t>U2-03</t>
        </is>
      </c>
      <c r="B649" t="n">
        <v>2</v>
      </c>
      <c r="C649" t="n">
        <v>10</v>
      </c>
      <c r="D649" t="inlineStr">
        <is>
          <t>BAF20</t>
        </is>
      </c>
      <c r="E649" t="inlineStr">
        <is>
          <t>DF</t>
        </is>
      </c>
      <c r="F649" t="n">
        <v>13.3</v>
      </c>
      <c r="G649" t="n">
        <v>75</v>
      </c>
      <c r="H649" t="n">
        <v>3</v>
      </c>
      <c r="I649" t="inlineStr">
        <is>
          <t>L</t>
        </is>
      </c>
      <c r="J649" t="inlineStr">
        <is>
          <t>S</t>
        </is>
      </c>
      <c r="K649" t="inlineStr"/>
      <c r="L649" t="inlineStr"/>
      <c r="M649" s="30">
        <f>0.005454*F649^2</f>
        <v/>
      </c>
      <c r="N649" s="31">
        <f>IF(D649="BAF20",20/M649,100)</f>
        <v/>
      </c>
      <c r="O649" s="31">
        <f>M649*N649</f>
        <v/>
      </c>
      <c r="P649" s="32">
        <f>108.7*N649</f>
        <v/>
      </c>
    </row>
    <row r="650">
      <c r="A650" t="inlineStr">
        <is>
          <t>U2-03</t>
        </is>
      </c>
      <c r="B650" t="n">
        <v>2</v>
      </c>
      <c r="C650" t="n">
        <v>11</v>
      </c>
      <c r="D650" t="inlineStr">
        <is>
          <t>BAF20</t>
        </is>
      </c>
      <c r="E650" t="inlineStr">
        <is>
          <t>DF</t>
        </is>
      </c>
      <c r="F650" t="n">
        <v>11.7</v>
      </c>
      <c r="G650" t="n">
        <v>64</v>
      </c>
      <c r="H650" t="n">
        <v>4</v>
      </c>
      <c r="I650" t="inlineStr">
        <is>
          <t>L</t>
        </is>
      </c>
      <c r="J650" t="inlineStr">
        <is>
          <t>S</t>
        </is>
      </c>
      <c r="K650" t="inlineStr">
        <is>
          <t>Y</t>
        </is>
      </c>
      <c r="L650" t="inlineStr"/>
      <c r="M650" s="30">
        <f>0.005454*F650^2</f>
        <v/>
      </c>
      <c r="N650" s="31">
        <f>IF(D650="BAF20",20/M650,100)</f>
        <v/>
      </c>
      <c r="O650" s="31">
        <f>M650*N650</f>
        <v/>
      </c>
      <c r="P650" s="32">
        <f>68.5*N650</f>
        <v/>
      </c>
    </row>
    <row r="651">
      <c r="A651" t="inlineStr">
        <is>
          <t>U2-03</t>
        </is>
      </c>
      <c r="B651" t="n">
        <v>2</v>
      </c>
      <c r="C651" t="n">
        <v>12</v>
      </c>
      <c r="D651" t="inlineStr">
        <is>
          <t>BAF20</t>
        </is>
      </c>
      <c r="E651" t="inlineStr">
        <is>
          <t>BO</t>
        </is>
      </c>
      <c r="F651" t="n">
        <v>7.2</v>
      </c>
      <c r="G651" t="n">
        <v>31</v>
      </c>
      <c r="H651" t="n">
        <v>15</v>
      </c>
      <c r="I651" t="inlineStr">
        <is>
          <t>L</t>
        </is>
      </c>
      <c r="J651" t="inlineStr">
        <is>
          <t>S</t>
        </is>
      </c>
      <c r="K651" t="inlineStr">
        <is>
          <t>Y</t>
        </is>
      </c>
      <c r="L651" t="inlineStr"/>
      <c r="M651" s="30">
        <f>0.005454*F651^2</f>
        <v/>
      </c>
      <c r="N651" s="31">
        <f>IF(D651="BAF20",20/M651,100)</f>
        <v/>
      </c>
      <c r="O651" s="31">
        <f>M651*N651</f>
        <v/>
      </c>
      <c r="P651" s="32">
        <f>0.0*N651</f>
        <v/>
      </c>
    </row>
    <row r="652">
      <c r="A652" t="inlineStr">
        <is>
          <t>U2-03</t>
        </is>
      </c>
      <c r="B652" t="n">
        <v>2</v>
      </c>
      <c r="C652" t="n">
        <v>13</v>
      </c>
      <c r="D652" t="inlineStr">
        <is>
          <t>BAF20</t>
        </is>
      </c>
      <c r="E652" t="inlineStr">
        <is>
          <t>IC</t>
        </is>
      </c>
      <c r="F652" t="n">
        <v>6.7</v>
      </c>
      <c r="G652" t="n">
        <v>28</v>
      </c>
      <c r="H652" t="n">
        <v>100</v>
      </c>
      <c r="I652" t="inlineStr">
        <is>
          <t>D</t>
        </is>
      </c>
      <c r="J652" t="inlineStr">
        <is>
          <t>S</t>
        </is>
      </c>
      <c r="K652" t="inlineStr"/>
      <c r="L652" t="inlineStr"/>
      <c r="M652" s="30">
        <f>0.005454*F652^2</f>
        <v/>
      </c>
      <c r="N652" s="31">
        <f>IF(D652="BAF20",20/M652,100)</f>
        <v/>
      </c>
      <c r="O652" s="31">
        <f>M652*N652</f>
        <v/>
      </c>
      <c r="P652" s="32">
        <f>0.0*N652</f>
        <v/>
      </c>
    </row>
    <row r="653">
      <c r="A653" t="inlineStr">
        <is>
          <t>U2-03</t>
        </is>
      </c>
      <c r="B653" t="n">
        <v>2</v>
      </c>
      <c r="C653" t="n">
        <v>14</v>
      </c>
      <c r="D653" t="inlineStr">
        <is>
          <t>BAF20</t>
        </is>
      </c>
      <c r="E653" t="inlineStr">
        <is>
          <t>DF</t>
        </is>
      </c>
      <c r="F653" t="n">
        <v>14.8</v>
      </c>
      <c r="G653" t="n">
        <v>76</v>
      </c>
      <c r="H653" t="n">
        <v>2</v>
      </c>
      <c r="I653" t="inlineStr">
        <is>
          <t>L</t>
        </is>
      </c>
      <c r="J653" t="inlineStr">
        <is>
          <t>I</t>
        </is>
      </c>
      <c r="K653" t="inlineStr"/>
      <c r="L653" t="inlineStr"/>
      <c r="M653" s="30">
        <f>0.005454*F653^2</f>
        <v/>
      </c>
      <c r="N653" s="31">
        <f>IF(D653="BAF20",20/M653,100)</f>
        <v/>
      </c>
      <c r="O653" s="31">
        <f>M653*N653</f>
        <v/>
      </c>
      <c r="P653" s="32">
        <f>142.3*N653</f>
        <v/>
      </c>
    </row>
    <row r="654">
      <c r="A654" t="inlineStr">
        <is>
          <t>U2-03</t>
        </is>
      </c>
      <c r="B654" t="n">
        <v>2</v>
      </c>
      <c r="C654" t="n">
        <v>15</v>
      </c>
      <c r="D654" t="inlineStr">
        <is>
          <t>BAF20</t>
        </is>
      </c>
      <c r="E654" t="inlineStr">
        <is>
          <t>DF</t>
        </is>
      </c>
      <c r="F654" t="n">
        <v>16.5</v>
      </c>
      <c r="G654" t="n">
        <v>83</v>
      </c>
      <c r="H654" t="n">
        <v>100</v>
      </c>
      <c r="I654" t="inlineStr">
        <is>
          <t>D</t>
        </is>
      </c>
      <c r="J654" t="inlineStr">
        <is>
          <t>I</t>
        </is>
      </c>
      <c r="K654" t="inlineStr"/>
      <c r="L654" t="inlineStr"/>
      <c r="M654" s="30">
        <f>0.005454*F654^2</f>
        <v/>
      </c>
      <c r="N654" s="31">
        <f>IF(D654="BAF20",20/M654,100)</f>
        <v/>
      </c>
      <c r="O654" s="31">
        <f>M654*N654</f>
        <v/>
      </c>
      <c r="P654" s="32">
        <f>0.0*N654</f>
        <v/>
      </c>
    </row>
    <row r="655">
      <c r="A655" t="inlineStr">
        <is>
          <t>U2-03</t>
        </is>
      </c>
      <c r="B655" t="n">
        <v>2</v>
      </c>
      <c r="C655" t="n">
        <v>16</v>
      </c>
      <c r="D655" t="inlineStr">
        <is>
          <t>BAF20</t>
        </is>
      </c>
      <c r="E655" t="inlineStr">
        <is>
          <t>WF</t>
        </is>
      </c>
      <c r="F655" t="n">
        <v>12.8</v>
      </c>
      <c r="G655" t="n">
        <v>64</v>
      </c>
      <c r="H655" t="n">
        <v>7</v>
      </c>
      <c r="I655" t="inlineStr">
        <is>
          <t>L</t>
        </is>
      </c>
      <c r="J655" t="inlineStr">
        <is>
          <t>S</t>
        </is>
      </c>
      <c r="K655" t="inlineStr"/>
      <c r="L655" t="inlineStr"/>
      <c r="M655" s="30">
        <f>0.005454*F655^2</f>
        <v/>
      </c>
      <c r="N655" s="31">
        <f>IF(D655="BAF20",20/M655,100)</f>
        <v/>
      </c>
      <c r="O655" s="31">
        <f>M655*N655</f>
        <v/>
      </c>
      <c r="P655" s="32">
        <f>81.5*N655</f>
        <v/>
      </c>
    </row>
    <row r="656">
      <c r="A656" t="inlineStr">
        <is>
          <t>U2-03</t>
        </is>
      </c>
      <c r="B656" t="n">
        <v>2</v>
      </c>
      <c r="C656" t="n">
        <v>17</v>
      </c>
      <c r="D656" t="inlineStr">
        <is>
          <t>BAF20</t>
        </is>
      </c>
      <c r="E656" t="inlineStr">
        <is>
          <t>WF</t>
        </is>
      </c>
      <c r="F656" t="n">
        <v>15.7</v>
      </c>
      <c r="G656" t="n">
        <v>82</v>
      </c>
      <c r="H656" t="n">
        <v>7</v>
      </c>
      <c r="I656" t="inlineStr">
        <is>
          <t>L</t>
        </is>
      </c>
      <c r="J656" t="inlineStr">
        <is>
          <t>I</t>
        </is>
      </c>
      <c r="K656" t="inlineStr"/>
      <c r="L656" t="inlineStr"/>
      <c r="M656" s="30">
        <f>0.005454*F656^2</f>
        <v/>
      </c>
      <c r="N656" s="31">
        <f>IF(D656="BAF20",20/M656,100)</f>
        <v/>
      </c>
      <c r="O656" s="31">
        <f>M656*N656</f>
        <v/>
      </c>
      <c r="P656" s="32">
        <f>167.1*N656</f>
        <v/>
      </c>
    </row>
    <row r="657">
      <c r="A657" t="inlineStr">
        <is>
          <t>U2-03</t>
        </is>
      </c>
      <c r="B657" t="n">
        <v>2</v>
      </c>
      <c r="C657" t="n">
        <v>18</v>
      </c>
      <c r="D657" t="inlineStr">
        <is>
          <t>BAF20</t>
        </is>
      </c>
      <c r="E657" t="inlineStr">
        <is>
          <t>BO</t>
        </is>
      </c>
      <c r="F657" t="n">
        <v>6.3</v>
      </c>
      <c r="G657" t="n">
        <v>30</v>
      </c>
      <c r="H657" t="n">
        <v>19</v>
      </c>
      <c r="I657" t="inlineStr">
        <is>
          <t>L</t>
        </is>
      </c>
      <c r="J657" t="inlineStr">
        <is>
          <t>S</t>
        </is>
      </c>
      <c r="K657" t="inlineStr">
        <is>
          <t>Y</t>
        </is>
      </c>
      <c r="L657" t="inlineStr"/>
      <c r="M657" s="30">
        <f>0.005454*F657^2</f>
        <v/>
      </c>
      <c r="N657" s="31">
        <f>IF(D657="BAF20",20/M657,100)</f>
        <v/>
      </c>
      <c r="O657" s="31">
        <f>M657*N657</f>
        <v/>
      </c>
      <c r="P657" s="32">
        <f>0.0*N657</f>
        <v/>
      </c>
    </row>
    <row r="658">
      <c r="A658" t="inlineStr">
        <is>
          <t>U2-03</t>
        </is>
      </c>
      <c r="B658" t="n">
        <v>2</v>
      </c>
      <c r="C658" t="n">
        <v>19</v>
      </c>
      <c r="D658" t="inlineStr">
        <is>
          <t>BAF20</t>
        </is>
      </c>
      <c r="E658" t="inlineStr">
        <is>
          <t>WF</t>
        </is>
      </c>
      <c r="F658" t="n">
        <v>9.4</v>
      </c>
      <c r="G658" t="n">
        <v>50</v>
      </c>
      <c r="H658" t="n">
        <v>12</v>
      </c>
      <c r="I658" t="inlineStr">
        <is>
          <t>L</t>
        </is>
      </c>
      <c r="J658" t="inlineStr">
        <is>
          <t>S</t>
        </is>
      </c>
      <c r="K658" t="inlineStr">
        <is>
          <t>Y</t>
        </is>
      </c>
      <c r="L658" t="inlineStr"/>
      <c r="M658" s="30">
        <f>0.005454*F658^2</f>
        <v/>
      </c>
      <c r="N658" s="31">
        <f>IF(D658="BAF20",20/M658,100)</f>
        <v/>
      </c>
      <c r="O658" s="31">
        <f>M658*N658</f>
        <v/>
      </c>
      <c r="P658" s="32">
        <f>0.0*N658</f>
        <v/>
      </c>
    </row>
    <row r="659">
      <c r="A659" t="inlineStr">
        <is>
          <t>U2-03</t>
        </is>
      </c>
      <c r="B659" t="n">
        <v>2</v>
      </c>
      <c r="C659" t="n">
        <v>20</v>
      </c>
      <c r="D659" t="inlineStr">
        <is>
          <t>BAF20</t>
        </is>
      </c>
      <c r="E659" t="inlineStr">
        <is>
          <t>BO</t>
        </is>
      </c>
      <c r="F659" t="n">
        <v>19</v>
      </c>
      <c r="G659" t="n">
        <v>55</v>
      </c>
      <c r="H659" t="n">
        <v>16</v>
      </c>
      <c r="I659" t="inlineStr">
        <is>
          <t>L</t>
        </is>
      </c>
      <c r="J659" t="inlineStr">
        <is>
          <t>I</t>
        </is>
      </c>
      <c r="K659" t="inlineStr"/>
      <c r="L659" t="inlineStr"/>
      <c r="M659" s="30">
        <f>0.005454*F659^2</f>
        <v/>
      </c>
      <c r="N659" s="31">
        <f>IF(D659="BAF20",20/M659,100)</f>
        <v/>
      </c>
      <c r="O659" s="31">
        <f>M659*N659</f>
        <v/>
      </c>
      <c r="P659" s="32">
        <f>143.4*N659</f>
        <v/>
      </c>
    </row>
    <row r="660">
      <c r="A660" t="inlineStr">
        <is>
          <t>U2-03</t>
        </is>
      </c>
      <c r="B660" t="n">
        <v>2</v>
      </c>
      <c r="C660" t="n">
        <v>21</v>
      </c>
      <c r="D660" t="inlineStr">
        <is>
          <t>BAF20</t>
        </is>
      </c>
      <c r="E660" t="inlineStr">
        <is>
          <t>PP</t>
        </is>
      </c>
      <c r="F660" t="n">
        <v>16.1</v>
      </c>
      <c r="G660" t="n">
        <v>68</v>
      </c>
      <c r="H660" t="n">
        <v>1</v>
      </c>
      <c r="I660" t="inlineStr">
        <is>
          <t>L</t>
        </is>
      </c>
      <c r="J660" t="inlineStr">
        <is>
          <t>I</t>
        </is>
      </c>
      <c r="K660" t="inlineStr"/>
      <c r="L660" t="inlineStr"/>
      <c r="M660" s="30">
        <f>0.005454*F660^2</f>
        <v/>
      </c>
      <c r="N660" s="31">
        <f>IF(D660="BAF20",20/M660,100)</f>
        <v/>
      </c>
      <c r="O660" s="31">
        <f>M660*N660</f>
        <v/>
      </c>
      <c r="P660" s="32">
        <f>156.5*N660</f>
        <v/>
      </c>
    </row>
    <row r="661">
      <c r="A661" t="inlineStr">
        <is>
          <t>U2-03</t>
        </is>
      </c>
      <c r="B661" t="n">
        <v>2</v>
      </c>
      <c r="C661" t="n">
        <v>22</v>
      </c>
      <c r="D661" t="inlineStr">
        <is>
          <t>BAF20</t>
        </is>
      </c>
      <c r="E661" t="inlineStr">
        <is>
          <t>PP</t>
        </is>
      </c>
      <c r="F661" t="n">
        <v>29.1</v>
      </c>
      <c r="G661" t="n">
        <v>117</v>
      </c>
      <c r="H661" t="n">
        <v>2</v>
      </c>
      <c r="I661" t="inlineStr">
        <is>
          <t>L</t>
        </is>
      </c>
      <c r="J661" t="inlineStr">
        <is>
          <t>D</t>
        </is>
      </c>
      <c r="K661" t="inlineStr"/>
      <c r="L661" t="inlineStr"/>
      <c r="M661" s="30">
        <f>0.005454*F661^2</f>
        <v/>
      </c>
      <c r="N661" s="31">
        <f>IF(D661="BAF20",20/M661,100)</f>
        <v/>
      </c>
      <c r="O661" s="31">
        <f>M661*N661</f>
        <v/>
      </c>
      <c r="P661" s="32">
        <f>1104.8*N661</f>
        <v/>
      </c>
    </row>
    <row r="662">
      <c r="A662" t="inlineStr">
        <is>
          <t>U2-03</t>
        </is>
      </c>
      <c r="B662" t="n">
        <v>2</v>
      </c>
      <c r="C662" t="n">
        <v>23</v>
      </c>
      <c r="D662" t="inlineStr">
        <is>
          <t>BAF20</t>
        </is>
      </c>
      <c r="E662" t="inlineStr">
        <is>
          <t>IC</t>
        </is>
      </c>
      <c r="F662" t="n">
        <v>19.7</v>
      </c>
      <c r="G662" t="n">
        <v>83</v>
      </c>
      <c r="H662" t="n">
        <v>3</v>
      </c>
      <c r="I662" t="inlineStr">
        <is>
          <t>L</t>
        </is>
      </c>
      <c r="J662" t="inlineStr">
        <is>
          <t>C</t>
        </is>
      </c>
      <c r="K662" t="inlineStr"/>
      <c r="L662" t="inlineStr"/>
      <c r="M662" s="30">
        <f>0.005454*F662^2</f>
        <v/>
      </c>
      <c r="N662" s="31">
        <f>IF(D662="BAF20",20/M662,100)</f>
        <v/>
      </c>
      <c r="O662" s="31">
        <f>M662*N662</f>
        <v/>
      </c>
      <c r="P662" s="32">
        <f>301.0*N662</f>
        <v/>
      </c>
    </row>
    <row r="663">
      <c r="A663" t="inlineStr">
        <is>
          <t>U2-03</t>
        </is>
      </c>
      <c r="B663" t="n">
        <v>2</v>
      </c>
      <c r="C663" t="n">
        <v>24</v>
      </c>
      <c r="D663" t="inlineStr">
        <is>
          <t>BAF20</t>
        </is>
      </c>
      <c r="E663" t="inlineStr">
        <is>
          <t>DF</t>
        </is>
      </c>
      <c r="F663" t="n">
        <v>16.9</v>
      </c>
      <c r="G663" t="n">
        <v>80</v>
      </c>
      <c r="H663" t="n">
        <v>6</v>
      </c>
      <c r="I663" t="inlineStr">
        <is>
          <t>L</t>
        </is>
      </c>
      <c r="J663" t="inlineStr">
        <is>
          <t>I</t>
        </is>
      </c>
      <c r="K663" t="inlineStr"/>
      <c r="L663" t="inlineStr"/>
      <c r="M663" s="30">
        <f>0.005454*F663^2</f>
        <v/>
      </c>
      <c r="N663" s="31">
        <f>IF(D663="BAF20",20/M663,100)</f>
        <v/>
      </c>
      <c r="O663" s="31">
        <f>M663*N663</f>
        <v/>
      </c>
      <c r="P663" s="32">
        <f>195.8*N663</f>
        <v/>
      </c>
    </row>
    <row r="664">
      <c r="A664" t="inlineStr">
        <is>
          <t>U2-03</t>
        </is>
      </c>
      <c r="B664" t="n">
        <v>2</v>
      </c>
      <c r="C664" t="n">
        <v>25</v>
      </c>
      <c r="D664" t="inlineStr">
        <is>
          <t>BAF20</t>
        </is>
      </c>
      <c r="E664" t="inlineStr">
        <is>
          <t>PP</t>
        </is>
      </c>
      <c r="F664" t="n">
        <v>20.5</v>
      </c>
      <c r="G664" t="n">
        <v>90</v>
      </c>
      <c r="H664" t="n">
        <v>5</v>
      </c>
      <c r="I664" t="inlineStr">
        <is>
          <t>L</t>
        </is>
      </c>
      <c r="J664" t="inlineStr">
        <is>
          <t>C</t>
        </is>
      </c>
      <c r="K664" t="inlineStr"/>
      <c r="L664" t="inlineStr"/>
      <c r="M664" s="30">
        <f>0.005454*F664^2</f>
        <v/>
      </c>
      <c r="N664" s="31">
        <f>IF(D664="BAF20",20/M664,100)</f>
        <v/>
      </c>
      <c r="O664" s="31">
        <f>M664*N664</f>
        <v/>
      </c>
      <c r="P664" s="32">
        <f>351.5*N664</f>
        <v/>
      </c>
    </row>
    <row r="665">
      <c r="A665" t="inlineStr">
        <is>
          <t>U2-03</t>
        </is>
      </c>
      <c r="B665" t="n">
        <v>2</v>
      </c>
      <c r="C665" t="n">
        <v>26</v>
      </c>
      <c r="D665" t="inlineStr">
        <is>
          <t>BAF20</t>
        </is>
      </c>
      <c r="E665" t="inlineStr">
        <is>
          <t>WF</t>
        </is>
      </c>
      <c r="F665" t="n">
        <v>9.6</v>
      </c>
      <c r="G665" t="n">
        <v>48</v>
      </c>
      <c r="H665" t="n">
        <v>3</v>
      </c>
      <c r="I665" t="inlineStr">
        <is>
          <t>L</t>
        </is>
      </c>
      <c r="J665" t="inlineStr">
        <is>
          <t>S</t>
        </is>
      </c>
      <c r="K665" t="inlineStr">
        <is>
          <t>Y</t>
        </is>
      </c>
      <c r="L665" t="inlineStr"/>
      <c r="M665" s="30">
        <f>0.005454*F665^2</f>
        <v/>
      </c>
      <c r="N665" s="31">
        <f>IF(D665="BAF20",20/M665,100)</f>
        <v/>
      </c>
      <c r="O665" s="31">
        <f>M665*N665</f>
        <v/>
      </c>
      <c r="P665" s="32">
        <f>0.0*N665</f>
        <v/>
      </c>
    </row>
    <row r="666">
      <c r="A666" t="inlineStr">
        <is>
          <t>U2-03</t>
        </is>
      </c>
      <c r="B666" t="n">
        <v>2</v>
      </c>
      <c r="C666" t="n">
        <v>27</v>
      </c>
      <c r="D666" t="inlineStr">
        <is>
          <t>FIX100</t>
        </is>
      </c>
      <c r="E666" t="inlineStr">
        <is>
          <t>IC</t>
        </is>
      </c>
      <c r="F666" t="n">
        <v>1.2</v>
      </c>
      <c r="G666" t="n">
        <v>7</v>
      </c>
      <c r="H666" t="n">
        <v>0</v>
      </c>
      <c r="I666" t="inlineStr">
        <is>
          <t>L</t>
        </is>
      </c>
      <c r="J666" t="inlineStr">
        <is>
          <t>S</t>
        </is>
      </c>
      <c r="K666" t="inlineStr"/>
      <c r="L666" t="inlineStr"/>
      <c r="M666" s="30">
        <f>0.005454*F666^2</f>
        <v/>
      </c>
      <c r="N666" s="31">
        <f>IF(D666="BAF20",20/M666,100)</f>
        <v/>
      </c>
      <c r="O666" s="31">
        <f>M666*N666</f>
        <v/>
      </c>
      <c r="P666" s="32">
        <f>0.0*N666</f>
        <v/>
      </c>
    </row>
    <row r="667">
      <c r="A667" t="inlineStr">
        <is>
          <t>U2-03</t>
        </is>
      </c>
      <c r="B667" t="n">
        <v>2</v>
      </c>
      <c r="C667" t="n">
        <v>28</v>
      </c>
      <c r="D667" t="inlineStr">
        <is>
          <t>FIX100</t>
        </is>
      </c>
      <c r="E667" t="inlineStr">
        <is>
          <t>WF</t>
        </is>
      </c>
      <c r="F667" t="n">
        <v>3</v>
      </c>
      <c r="G667" t="n">
        <v>19</v>
      </c>
      <c r="H667" t="n">
        <v>0</v>
      </c>
      <c r="I667" t="inlineStr">
        <is>
          <t>L</t>
        </is>
      </c>
      <c r="J667" t="inlineStr">
        <is>
          <t>S</t>
        </is>
      </c>
      <c r="K667" t="inlineStr"/>
      <c r="L667" t="inlineStr"/>
      <c r="M667" s="30">
        <f>0.005454*F667^2</f>
        <v/>
      </c>
      <c r="N667" s="31">
        <f>IF(D667="BAF20",20/M667,100)</f>
        <v/>
      </c>
      <c r="O667" s="31">
        <f>M667*N667</f>
        <v/>
      </c>
      <c r="P667" s="32">
        <f>0.0*N667</f>
        <v/>
      </c>
    </row>
    <row r="668">
      <c r="A668" t="inlineStr">
        <is>
          <t>U2-03</t>
        </is>
      </c>
      <c r="B668" t="n">
        <v>2</v>
      </c>
      <c r="C668" t="n">
        <v>29</v>
      </c>
      <c r="D668" t="inlineStr">
        <is>
          <t>FIX100</t>
        </is>
      </c>
      <c r="E668" t="inlineStr">
        <is>
          <t>WF</t>
        </is>
      </c>
      <c r="F668" t="n">
        <v>4.8</v>
      </c>
      <c r="G668" t="n">
        <v>28</v>
      </c>
      <c r="H668" t="n">
        <v>0</v>
      </c>
      <c r="I668" t="inlineStr">
        <is>
          <t>L</t>
        </is>
      </c>
      <c r="J668" t="inlineStr">
        <is>
          <t>S</t>
        </is>
      </c>
      <c r="K668" t="inlineStr"/>
      <c r="L668" t="inlineStr"/>
      <c r="M668" s="30">
        <f>0.005454*F668^2</f>
        <v/>
      </c>
      <c r="N668" s="31">
        <f>IF(D668="BAF20",20/M668,100)</f>
        <v/>
      </c>
      <c r="O668" s="31">
        <f>M668*N668</f>
        <v/>
      </c>
      <c r="P668" s="32">
        <f>0.0*N668</f>
        <v/>
      </c>
    </row>
    <row r="669">
      <c r="A669" t="inlineStr">
        <is>
          <t>U2-04</t>
        </is>
      </c>
      <c r="B669" t="n">
        <v>2</v>
      </c>
      <c r="C669" t="n">
        <v>1</v>
      </c>
      <c r="D669" t="inlineStr">
        <is>
          <t>BAF20</t>
        </is>
      </c>
      <c r="E669" t="inlineStr">
        <is>
          <t>PP</t>
        </is>
      </c>
      <c r="F669" t="n">
        <v>29.6</v>
      </c>
      <c r="G669" t="n">
        <v>112</v>
      </c>
      <c r="H669" t="n">
        <v>7</v>
      </c>
      <c r="I669" t="inlineStr">
        <is>
          <t>L</t>
        </is>
      </c>
      <c r="J669" t="inlineStr">
        <is>
          <t>D</t>
        </is>
      </c>
      <c r="K669" t="inlineStr"/>
      <c r="L669" t="inlineStr"/>
      <c r="M669" s="30">
        <f>0.005454*F669^2</f>
        <v/>
      </c>
      <c r="N669" s="31">
        <f>IF(D669="BAF20",20/M669,100)</f>
        <v/>
      </c>
      <c r="O669" s="31">
        <f>M669*N669</f>
        <v/>
      </c>
      <c r="P669" s="32">
        <f>1046.8*N669</f>
        <v/>
      </c>
    </row>
    <row r="670">
      <c r="A670" t="inlineStr">
        <is>
          <t>U2-04</t>
        </is>
      </c>
      <c r="B670" t="n">
        <v>2</v>
      </c>
      <c r="C670" t="n">
        <v>2</v>
      </c>
      <c r="D670" t="inlineStr">
        <is>
          <t>BAF20</t>
        </is>
      </c>
      <c r="E670" t="inlineStr">
        <is>
          <t>DF</t>
        </is>
      </c>
      <c r="F670" t="n">
        <v>8.199999999999999</v>
      </c>
      <c r="G670" t="n">
        <v>38</v>
      </c>
      <c r="H670" t="n">
        <v>0</v>
      </c>
      <c r="I670" t="inlineStr">
        <is>
          <t>L</t>
        </is>
      </c>
      <c r="J670" t="inlineStr">
        <is>
          <t>S</t>
        </is>
      </c>
      <c r="K670" t="inlineStr">
        <is>
          <t>Y</t>
        </is>
      </c>
      <c r="L670" t="inlineStr"/>
      <c r="M670" s="30">
        <f>0.005454*F670^2</f>
        <v/>
      </c>
      <c r="N670" s="31">
        <f>IF(D670="BAF20",20/M670,100)</f>
        <v/>
      </c>
      <c r="O670" s="31">
        <f>M670*N670</f>
        <v/>
      </c>
      <c r="P670" s="32">
        <f>0.0*N670</f>
        <v/>
      </c>
    </row>
    <row r="671">
      <c r="A671" t="inlineStr">
        <is>
          <t>U2-04</t>
        </is>
      </c>
      <c r="B671" t="n">
        <v>2</v>
      </c>
      <c r="C671" t="n">
        <v>3</v>
      </c>
      <c r="D671" t="inlineStr">
        <is>
          <t>BAF20</t>
        </is>
      </c>
      <c r="E671" t="inlineStr">
        <is>
          <t>PP</t>
        </is>
      </c>
      <c r="F671" t="n">
        <v>9.5</v>
      </c>
      <c r="G671" t="n">
        <v>45</v>
      </c>
      <c r="H671" t="n">
        <v>11</v>
      </c>
      <c r="I671" t="inlineStr">
        <is>
          <t>L</t>
        </is>
      </c>
      <c r="J671" t="inlineStr">
        <is>
          <t>S</t>
        </is>
      </c>
      <c r="K671" t="inlineStr">
        <is>
          <t>Y</t>
        </is>
      </c>
      <c r="L671" t="inlineStr"/>
      <c r="M671" s="30">
        <f>0.005454*F671^2</f>
        <v/>
      </c>
      <c r="N671" s="31">
        <f>IF(D671="BAF20",20/M671,100)</f>
        <v/>
      </c>
      <c r="O671" s="31">
        <f>M671*N671</f>
        <v/>
      </c>
      <c r="P671" s="32">
        <f>0.0*N671</f>
        <v/>
      </c>
    </row>
    <row r="672">
      <c r="A672" t="inlineStr">
        <is>
          <t>U2-04</t>
        </is>
      </c>
      <c r="B672" t="n">
        <v>2</v>
      </c>
      <c r="C672" t="n">
        <v>4</v>
      </c>
      <c r="D672" t="inlineStr">
        <is>
          <t>BAF20</t>
        </is>
      </c>
      <c r="E672" t="inlineStr">
        <is>
          <t>IC</t>
        </is>
      </c>
      <c r="F672" t="n">
        <v>27</v>
      </c>
      <c r="G672" t="n">
        <v>83</v>
      </c>
      <c r="H672" t="n">
        <v>6</v>
      </c>
      <c r="I672" t="inlineStr">
        <is>
          <t>L</t>
        </is>
      </c>
      <c r="J672" t="inlineStr">
        <is>
          <t>D</t>
        </is>
      </c>
      <c r="K672" t="inlineStr"/>
      <c r="L672" t="inlineStr"/>
      <c r="M672" s="30">
        <f>0.005454*F672^2</f>
        <v/>
      </c>
      <c r="N672" s="31">
        <f>IF(D672="BAF20",20/M672,100)</f>
        <v/>
      </c>
      <c r="O672" s="31">
        <f>M672*N672</f>
        <v/>
      </c>
      <c r="P672" s="32">
        <f>625.0*N672</f>
        <v/>
      </c>
    </row>
    <row r="673">
      <c r="A673" t="inlineStr">
        <is>
          <t>U2-04</t>
        </is>
      </c>
      <c r="B673" t="n">
        <v>2</v>
      </c>
      <c r="C673" t="n">
        <v>5</v>
      </c>
      <c r="D673" t="inlineStr">
        <is>
          <t>BAF20</t>
        </is>
      </c>
      <c r="E673" t="inlineStr">
        <is>
          <t>SP</t>
        </is>
      </c>
      <c r="F673" t="n">
        <v>31.2</v>
      </c>
      <c r="G673" t="n">
        <v>143</v>
      </c>
      <c r="H673" t="n">
        <v>6</v>
      </c>
      <c r="I673" t="inlineStr">
        <is>
          <t>L</t>
        </is>
      </c>
      <c r="J673" t="inlineStr">
        <is>
          <t>D</t>
        </is>
      </c>
      <c r="K673" t="inlineStr"/>
      <c r="L673" t="inlineStr"/>
      <c r="M673" s="30">
        <f>0.005454*F673^2</f>
        <v/>
      </c>
      <c r="N673" s="31">
        <f>IF(D673="BAF20",20/M673,100)</f>
        <v/>
      </c>
      <c r="O673" s="31">
        <f>M673*N673</f>
        <v/>
      </c>
      <c r="P673" s="32">
        <f>1539.8*N673</f>
        <v/>
      </c>
    </row>
    <row r="674">
      <c r="A674" t="inlineStr">
        <is>
          <t>U2-04</t>
        </is>
      </c>
      <c r="B674" t="n">
        <v>2</v>
      </c>
      <c r="C674" t="n">
        <v>6</v>
      </c>
      <c r="D674" t="inlineStr">
        <is>
          <t>BAF20</t>
        </is>
      </c>
      <c r="E674" t="inlineStr">
        <is>
          <t>DF</t>
        </is>
      </c>
      <c r="F674" t="n">
        <v>9.199999999999999</v>
      </c>
      <c r="G674" t="n">
        <v>53</v>
      </c>
      <c r="H674" t="n">
        <v>10</v>
      </c>
      <c r="I674" t="inlineStr">
        <is>
          <t>L</t>
        </is>
      </c>
      <c r="J674" t="inlineStr">
        <is>
          <t>S</t>
        </is>
      </c>
      <c r="K674" t="inlineStr">
        <is>
          <t>Y</t>
        </is>
      </c>
      <c r="L674" t="inlineStr"/>
      <c r="M674" s="30">
        <f>0.005454*F674^2</f>
        <v/>
      </c>
      <c r="N674" s="31">
        <f>IF(D674="BAF20",20/M674,100)</f>
        <v/>
      </c>
      <c r="O674" s="31">
        <f>M674*N674</f>
        <v/>
      </c>
      <c r="P674" s="32">
        <f>0.0*N674</f>
        <v/>
      </c>
    </row>
    <row r="675">
      <c r="A675" t="inlineStr">
        <is>
          <t>U2-04</t>
        </is>
      </c>
      <c r="B675" t="n">
        <v>2</v>
      </c>
      <c r="C675" t="n">
        <v>7</v>
      </c>
      <c r="D675" t="inlineStr">
        <is>
          <t>BAF20</t>
        </is>
      </c>
      <c r="E675" t="inlineStr">
        <is>
          <t>BO</t>
        </is>
      </c>
      <c r="F675" t="n">
        <v>15</v>
      </c>
      <c r="G675" t="n">
        <v>48</v>
      </c>
      <c r="H675" t="n">
        <v>26</v>
      </c>
      <c r="I675" t="inlineStr">
        <is>
          <t>L</t>
        </is>
      </c>
      <c r="J675" t="inlineStr">
        <is>
          <t>I</t>
        </is>
      </c>
      <c r="K675" t="inlineStr"/>
      <c r="L675" t="inlineStr"/>
      <c r="M675" s="30">
        <f>0.005454*F675^2</f>
        <v/>
      </c>
      <c r="N675" s="31">
        <f>IF(D675="BAF20",20/M675,100)</f>
        <v/>
      </c>
      <c r="O675" s="31">
        <f>M675*N675</f>
        <v/>
      </c>
      <c r="P675" s="32">
        <f>63.4*N675</f>
        <v/>
      </c>
    </row>
    <row r="676">
      <c r="A676" t="inlineStr">
        <is>
          <t>U2-04</t>
        </is>
      </c>
      <c r="B676" t="n">
        <v>2</v>
      </c>
      <c r="C676" t="n">
        <v>8</v>
      </c>
      <c r="D676" t="inlineStr">
        <is>
          <t>BAF20</t>
        </is>
      </c>
      <c r="E676" t="inlineStr">
        <is>
          <t>DF</t>
        </is>
      </c>
      <c r="F676" t="n">
        <v>23</v>
      </c>
      <c r="G676" t="n">
        <v>113</v>
      </c>
      <c r="H676" t="n">
        <v>1</v>
      </c>
      <c r="I676" t="inlineStr">
        <is>
          <t>L</t>
        </is>
      </c>
      <c r="J676" t="inlineStr">
        <is>
          <t>C</t>
        </is>
      </c>
      <c r="K676" t="inlineStr"/>
      <c r="L676" t="inlineStr"/>
      <c r="M676" s="30">
        <f>0.005454*F676^2</f>
        <v/>
      </c>
      <c r="N676" s="31">
        <f>IF(D676="BAF20",20/M676,100)</f>
        <v/>
      </c>
      <c r="O676" s="31">
        <f>M676*N676</f>
        <v/>
      </c>
      <c r="P676" s="32">
        <f>606.4*N676</f>
        <v/>
      </c>
    </row>
    <row r="677">
      <c r="A677" t="inlineStr">
        <is>
          <t>U2-04</t>
        </is>
      </c>
      <c r="B677" t="n">
        <v>2</v>
      </c>
      <c r="C677" t="n">
        <v>9</v>
      </c>
      <c r="D677" t="inlineStr">
        <is>
          <t>BAF20</t>
        </is>
      </c>
      <c r="E677" t="inlineStr">
        <is>
          <t>IC</t>
        </is>
      </c>
      <c r="F677" t="n">
        <v>21.6</v>
      </c>
      <c r="G677" t="n">
        <v>83</v>
      </c>
      <c r="H677" t="n">
        <v>6</v>
      </c>
      <c r="I677" t="inlineStr">
        <is>
          <t>L</t>
        </is>
      </c>
      <c r="J677" t="inlineStr">
        <is>
          <t>C</t>
        </is>
      </c>
      <c r="K677" t="inlineStr"/>
      <c r="L677" t="inlineStr"/>
      <c r="M677" s="30">
        <f>0.005454*F677^2</f>
        <v/>
      </c>
      <c r="N677" s="31">
        <f>IF(D677="BAF20",20/M677,100)</f>
        <v/>
      </c>
      <c r="O677" s="31">
        <f>M677*N677</f>
        <v/>
      </c>
      <c r="P677" s="32">
        <f>363.5*N677</f>
        <v/>
      </c>
    </row>
    <row r="678">
      <c r="A678" t="inlineStr">
        <is>
          <t>U2-04</t>
        </is>
      </c>
      <c r="B678" t="n">
        <v>2</v>
      </c>
      <c r="C678" t="n">
        <v>10</v>
      </c>
      <c r="D678" t="inlineStr">
        <is>
          <t>BAF20</t>
        </is>
      </c>
      <c r="E678" t="inlineStr">
        <is>
          <t>PP</t>
        </is>
      </c>
      <c r="F678" t="n">
        <v>21.8</v>
      </c>
      <c r="G678" t="n">
        <v>94</v>
      </c>
      <c r="H678" t="n">
        <v>100</v>
      </c>
      <c r="I678" t="inlineStr">
        <is>
          <t>D</t>
        </is>
      </c>
      <c r="J678" t="inlineStr">
        <is>
          <t>C</t>
        </is>
      </c>
      <c r="K678" t="inlineStr"/>
      <c r="L678" t="inlineStr"/>
      <c r="M678" s="30">
        <f>0.005454*F678^2</f>
        <v/>
      </c>
      <c r="N678" s="31">
        <f>IF(D678="BAF20",20/M678,100)</f>
        <v/>
      </c>
      <c r="O678" s="31">
        <f>M678*N678</f>
        <v/>
      </c>
      <c r="P678" s="32">
        <f>0.0*N678</f>
        <v/>
      </c>
    </row>
    <row r="679">
      <c r="A679" t="inlineStr">
        <is>
          <t>U2-04</t>
        </is>
      </c>
      <c r="B679" t="n">
        <v>2</v>
      </c>
      <c r="C679" t="n">
        <v>11</v>
      </c>
      <c r="D679" t="inlineStr">
        <is>
          <t>BAF20</t>
        </is>
      </c>
      <c r="E679" t="inlineStr">
        <is>
          <t>WF</t>
        </is>
      </c>
      <c r="F679" t="n">
        <v>13.3</v>
      </c>
      <c r="G679" t="n">
        <v>71</v>
      </c>
      <c r="H679" t="n">
        <v>100</v>
      </c>
      <c r="I679" t="inlineStr">
        <is>
          <t>D</t>
        </is>
      </c>
      <c r="J679" t="inlineStr">
        <is>
          <t>S</t>
        </is>
      </c>
      <c r="K679" t="inlineStr"/>
      <c r="L679" t="inlineStr"/>
      <c r="M679" s="30">
        <f>0.005454*F679^2</f>
        <v/>
      </c>
      <c r="N679" s="31">
        <f>IF(D679="BAF20",20/M679,100)</f>
        <v/>
      </c>
      <c r="O679" s="31">
        <f>M679*N679</f>
        <v/>
      </c>
      <c r="P679" s="32">
        <f>0.0*N679</f>
        <v/>
      </c>
    </row>
    <row r="680">
      <c r="A680" t="inlineStr">
        <is>
          <t>U2-04</t>
        </is>
      </c>
      <c r="B680" t="n">
        <v>2</v>
      </c>
      <c r="C680" t="n">
        <v>12</v>
      </c>
      <c r="D680" t="inlineStr">
        <is>
          <t>BAF20</t>
        </is>
      </c>
      <c r="E680" t="inlineStr">
        <is>
          <t>DF</t>
        </is>
      </c>
      <c r="F680" t="n">
        <v>12.9</v>
      </c>
      <c r="G680" t="n">
        <v>64</v>
      </c>
      <c r="H680" t="n">
        <v>4</v>
      </c>
      <c r="I680" t="inlineStr">
        <is>
          <t>L</t>
        </is>
      </c>
      <c r="J680" t="inlineStr">
        <is>
          <t>S</t>
        </is>
      </c>
      <c r="K680" t="inlineStr"/>
      <c r="L680" t="inlineStr"/>
      <c r="M680" s="30">
        <f>0.005454*F680^2</f>
        <v/>
      </c>
      <c r="N680" s="31">
        <f>IF(D680="BAF20",20/M680,100)</f>
        <v/>
      </c>
      <c r="O680" s="31">
        <f>M680*N680</f>
        <v/>
      </c>
      <c r="P680" s="32">
        <f>85.6*N680</f>
        <v/>
      </c>
    </row>
    <row r="681">
      <c r="A681" t="inlineStr">
        <is>
          <t>U2-05</t>
        </is>
      </c>
      <c r="B681" t="n">
        <v>2</v>
      </c>
      <c r="C681" t="n">
        <v>1</v>
      </c>
      <c r="D681" t="inlineStr">
        <is>
          <t>BAF20</t>
        </is>
      </c>
      <c r="E681" t="inlineStr">
        <is>
          <t>WF</t>
        </is>
      </c>
      <c r="F681" t="n">
        <v>31</v>
      </c>
      <c r="G681" t="n">
        <v>126</v>
      </c>
      <c r="H681" t="n">
        <v>12</v>
      </c>
      <c r="I681" t="inlineStr">
        <is>
          <t>L</t>
        </is>
      </c>
      <c r="J681" t="inlineStr">
        <is>
          <t>D</t>
        </is>
      </c>
      <c r="K681" t="inlineStr"/>
      <c r="L681" t="inlineStr"/>
      <c r="M681" s="30">
        <f>0.005454*F681^2</f>
        <v/>
      </c>
      <c r="N681" s="31">
        <f>IF(D681="BAF20",20/M681,100)</f>
        <v/>
      </c>
      <c r="O681" s="31">
        <f>M681*N681</f>
        <v/>
      </c>
      <c r="P681" s="32">
        <f>1250.0*N681</f>
        <v/>
      </c>
    </row>
    <row r="682">
      <c r="A682" t="inlineStr">
        <is>
          <t>U2-05</t>
        </is>
      </c>
      <c r="B682" t="n">
        <v>2</v>
      </c>
      <c r="C682" t="n">
        <v>2</v>
      </c>
      <c r="D682" t="inlineStr">
        <is>
          <t>BAF20</t>
        </is>
      </c>
      <c r="E682" t="inlineStr">
        <is>
          <t>PP</t>
        </is>
      </c>
      <c r="F682" t="n">
        <v>12.6</v>
      </c>
      <c r="G682" t="n">
        <v>64</v>
      </c>
      <c r="H682" t="n">
        <v>1</v>
      </c>
      <c r="I682" t="inlineStr">
        <is>
          <t>L</t>
        </is>
      </c>
      <c r="J682" t="inlineStr">
        <is>
          <t>S</t>
        </is>
      </c>
      <c r="K682" t="inlineStr"/>
      <c r="L682" t="inlineStr"/>
      <c r="M682" s="30">
        <f>0.005454*F682^2</f>
        <v/>
      </c>
      <c r="N682" s="31">
        <f>IF(D682="BAF20",20/M682,100)</f>
        <v/>
      </c>
      <c r="O682" s="31">
        <f>M682*N682</f>
        <v/>
      </c>
      <c r="P682" s="32">
        <f>83.7*N682</f>
        <v/>
      </c>
    </row>
    <row r="683">
      <c r="A683" t="inlineStr">
        <is>
          <t>U2-05</t>
        </is>
      </c>
      <c r="B683" t="n">
        <v>2</v>
      </c>
      <c r="C683" t="n">
        <v>3</v>
      </c>
      <c r="D683" t="inlineStr">
        <is>
          <t>BAF20</t>
        </is>
      </c>
      <c r="E683" t="inlineStr">
        <is>
          <t>WF</t>
        </is>
      </c>
      <c r="F683" t="n">
        <v>11.6</v>
      </c>
      <c r="G683" t="n">
        <v>57</v>
      </c>
      <c r="H683" t="n">
        <v>14</v>
      </c>
      <c r="I683" t="inlineStr">
        <is>
          <t>L</t>
        </is>
      </c>
      <c r="J683" t="inlineStr">
        <is>
          <t>S</t>
        </is>
      </c>
      <c r="K683" t="inlineStr">
        <is>
          <t>Y</t>
        </is>
      </c>
      <c r="L683" t="inlineStr"/>
      <c r="M683" s="30">
        <f>0.005454*F683^2</f>
        <v/>
      </c>
      <c r="N683" s="31">
        <f>IF(D683="BAF20",20/M683,100)</f>
        <v/>
      </c>
      <c r="O683" s="31">
        <f>M683*N683</f>
        <v/>
      </c>
      <c r="P683" s="32">
        <f>53.6*N683</f>
        <v/>
      </c>
    </row>
    <row r="684">
      <c r="A684" t="inlineStr">
        <is>
          <t>U2-05</t>
        </is>
      </c>
      <c r="B684" t="n">
        <v>2</v>
      </c>
      <c r="C684" t="n">
        <v>4</v>
      </c>
      <c r="D684" t="inlineStr">
        <is>
          <t>BAF20</t>
        </is>
      </c>
      <c r="E684" t="inlineStr">
        <is>
          <t>PP</t>
        </is>
      </c>
      <c r="F684" t="n">
        <v>9.699999999999999</v>
      </c>
      <c r="G684" t="n">
        <v>52</v>
      </c>
      <c r="H684" t="n">
        <v>12</v>
      </c>
      <c r="I684" t="inlineStr">
        <is>
          <t>L</t>
        </is>
      </c>
      <c r="J684" t="inlineStr">
        <is>
          <t>S</t>
        </is>
      </c>
      <c r="K684" t="inlineStr">
        <is>
          <t>Y</t>
        </is>
      </c>
      <c r="L684" t="inlineStr"/>
      <c r="M684" s="30">
        <f>0.005454*F684^2</f>
        <v/>
      </c>
      <c r="N684" s="31">
        <f>IF(D684="BAF20",20/M684,100)</f>
        <v/>
      </c>
      <c r="O684" s="31">
        <f>M684*N684</f>
        <v/>
      </c>
      <c r="P684" s="32">
        <f>0.0*N684</f>
        <v/>
      </c>
    </row>
    <row r="685">
      <c r="A685" t="inlineStr">
        <is>
          <t>U2-05</t>
        </is>
      </c>
      <c r="B685" t="n">
        <v>2</v>
      </c>
      <c r="C685" t="n">
        <v>5</v>
      </c>
      <c r="D685" t="inlineStr">
        <is>
          <t>BAF20</t>
        </is>
      </c>
      <c r="E685" t="inlineStr">
        <is>
          <t>PP</t>
        </is>
      </c>
      <c r="F685" t="n">
        <v>36.1</v>
      </c>
      <c r="G685" t="n">
        <v>124</v>
      </c>
      <c r="H685" t="n">
        <v>3</v>
      </c>
      <c r="I685" t="inlineStr">
        <is>
          <t>L</t>
        </is>
      </c>
      <c r="J685" t="inlineStr">
        <is>
          <t>D</t>
        </is>
      </c>
      <c r="K685" t="inlineStr"/>
      <c r="L685" t="inlineStr"/>
      <c r="M685" s="30">
        <f>0.005454*F685^2</f>
        <v/>
      </c>
      <c r="N685" s="31">
        <f>IF(D685="BAF20",20/M685,100)</f>
        <v/>
      </c>
      <c r="O685" s="31">
        <f>M685*N685</f>
        <v/>
      </c>
      <c r="P685" s="32">
        <f>1987.1*N685</f>
        <v/>
      </c>
    </row>
    <row r="686">
      <c r="A686" t="inlineStr">
        <is>
          <t>U2-05</t>
        </is>
      </c>
      <c r="B686" t="n">
        <v>2</v>
      </c>
      <c r="C686" t="n">
        <v>6</v>
      </c>
      <c r="D686" t="inlineStr">
        <is>
          <t>BAF20</t>
        </is>
      </c>
      <c r="E686" t="inlineStr">
        <is>
          <t>SP</t>
        </is>
      </c>
      <c r="F686" t="n">
        <v>40.3</v>
      </c>
      <c r="G686" t="n">
        <v>170</v>
      </c>
      <c r="H686" t="n">
        <v>2</v>
      </c>
      <c r="I686" t="inlineStr">
        <is>
          <t>L</t>
        </is>
      </c>
      <c r="J686" t="inlineStr">
        <is>
          <t>D</t>
        </is>
      </c>
      <c r="K686" t="inlineStr"/>
      <c r="L686" t="inlineStr"/>
      <c r="M686" s="30">
        <f>0.005454*F686^2</f>
        <v/>
      </c>
      <c r="N686" s="31">
        <f>IF(D686="BAF20",20/M686,100)</f>
        <v/>
      </c>
      <c r="O686" s="31">
        <f>M686*N686</f>
        <v/>
      </c>
      <c r="P686" s="32">
        <f>3458.5*N686</f>
        <v/>
      </c>
    </row>
    <row r="687">
      <c r="A687" t="inlineStr">
        <is>
          <t>U2-05</t>
        </is>
      </c>
      <c r="B687" t="n">
        <v>2</v>
      </c>
      <c r="C687" t="n">
        <v>7</v>
      </c>
      <c r="D687" t="inlineStr">
        <is>
          <t>BAF20</t>
        </is>
      </c>
      <c r="E687" t="inlineStr">
        <is>
          <t>PP</t>
        </is>
      </c>
      <c r="F687" t="n">
        <v>10.2</v>
      </c>
      <c r="G687" t="n">
        <v>49</v>
      </c>
      <c r="H687" t="n">
        <v>5</v>
      </c>
      <c r="I687" t="inlineStr">
        <is>
          <t>L</t>
        </is>
      </c>
      <c r="J687" t="inlineStr">
        <is>
          <t>S</t>
        </is>
      </c>
      <c r="K687" t="inlineStr">
        <is>
          <t>Y</t>
        </is>
      </c>
      <c r="L687" t="inlineStr"/>
      <c r="M687" s="30">
        <f>0.005454*F687^2</f>
        <v/>
      </c>
      <c r="N687" s="31">
        <f>IF(D687="BAF20",20/M687,100)</f>
        <v/>
      </c>
      <c r="O687" s="31">
        <f>M687*N687</f>
        <v/>
      </c>
      <c r="P687" s="32">
        <f>38.1*N687</f>
        <v/>
      </c>
    </row>
    <row r="688">
      <c r="A688" t="inlineStr">
        <is>
          <t>U2-05</t>
        </is>
      </c>
      <c r="B688" t="n">
        <v>2</v>
      </c>
      <c r="C688" t="n">
        <v>8</v>
      </c>
      <c r="D688" t="inlineStr">
        <is>
          <t>BAF20</t>
        </is>
      </c>
      <c r="E688" t="inlineStr">
        <is>
          <t>IC</t>
        </is>
      </c>
      <c r="F688" t="n">
        <v>36.2</v>
      </c>
      <c r="G688" t="n">
        <v>86</v>
      </c>
      <c r="H688" t="n">
        <v>9</v>
      </c>
      <c r="I688" t="inlineStr">
        <is>
          <t>L</t>
        </is>
      </c>
      <c r="J688" t="inlineStr">
        <is>
          <t>D</t>
        </is>
      </c>
      <c r="K688" t="inlineStr"/>
      <c r="L688" t="inlineStr"/>
      <c r="M688" s="30">
        <f>0.005454*F688^2</f>
        <v/>
      </c>
      <c r="N688" s="31">
        <f>IF(D688="BAF20",20/M688,100)</f>
        <v/>
      </c>
      <c r="O688" s="31">
        <f>M688*N688</f>
        <v/>
      </c>
      <c r="P688" s="32">
        <f>1302.0*N688</f>
        <v/>
      </c>
    </row>
    <row r="689">
      <c r="A689" t="inlineStr">
        <is>
          <t>U2-05</t>
        </is>
      </c>
      <c r="B689" t="n">
        <v>2</v>
      </c>
      <c r="C689" t="n">
        <v>9</v>
      </c>
      <c r="D689" t="inlineStr">
        <is>
          <t>BAF20</t>
        </is>
      </c>
      <c r="E689" t="inlineStr">
        <is>
          <t>DF</t>
        </is>
      </c>
      <c r="F689" t="n">
        <v>24</v>
      </c>
      <c r="G689" t="n">
        <v>95</v>
      </c>
      <c r="H689" t="n">
        <v>8</v>
      </c>
      <c r="I689" t="inlineStr">
        <is>
          <t>L</t>
        </is>
      </c>
      <c r="J689" t="inlineStr">
        <is>
          <t>C</t>
        </is>
      </c>
      <c r="K689" t="inlineStr"/>
      <c r="L689" t="inlineStr"/>
      <c r="M689" s="30">
        <f>0.005454*F689^2</f>
        <v/>
      </c>
      <c r="N689" s="31">
        <f>IF(D689="BAF20",20/M689,100)</f>
        <v/>
      </c>
      <c r="O689" s="31">
        <f>M689*N689</f>
        <v/>
      </c>
      <c r="P689" s="32">
        <f>525.2*N689</f>
        <v/>
      </c>
    </row>
    <row r="690">
      <c r="A690" t="inlineStr">
        <is>
          <t>U2-05</t>
        </is>
      </c>
      <c r="B690" t="n">
        <v>2</v>
      </c>
      <c r="C690" t="n">
        <v>10</v>
      </c>
      <c r="D690" t="inlineStr">
        <is>
          <t>BAF20</t>
        </is>
      </c>
      <c r="E690" t="inlineStr">
        <is>
          <t>PP</t>
        </is>
      </c>
      <c r="F690" t="n">
        <v>28.9</v>
      </c>
      <c r="G690" t="n">
        <v>107</v>
      </c>
      <c r="H690" t="n">
        <v>100</v>
      </c>
      <c r="I690" t="inlineStr">
        <is>
          <t>D</t>
        </is>
      </c>
      <c r="J690" t="inlineStr">
        <is>
          <t>D</t>
        </is>
      </c>
      <c r="K690" t="inlineStr"/>
      <c r="L690" t="inlineStr"/>
      <c r="M690" s="30">
        <f>0.005454*F690^2</f>
        <v/>
      </c>
      <c r="N690" s="31">
        <f>IF(D690="BAF20",20/M690,100)</f>
        <v/>
      </c>
      <c r="O690" s="31">
        <f>M690*N690</f>
        <v/>
      </c>
      <c r="P690" s="32">
        <f>0.0*N690</f>
        <v/>
      </c>
    </row>
    <row r="691">
      <c r="A691" t="inlineStr">
        <is>
          <t>U2-05</t>
        </is>
      </c>
      <c r="B691" t="n">
        <v>2</v>
      </c>
      <c r="C691" t="n">
        <v>11</v>
      </c>
      <c r="D691" t="inlineStr">
        <is>
          <t>BAF20</t>
        </is>
      </c>
      <c r="E691" t="inlineStr">
        <is>
          <t>PP</t>
        </is>
      </c>
      <c r="F691" t="n">
        <v>5.9</v>
      </c>
      <c r="G691" t="n">
        <v>32</v>
      </c>
      <c r="H691" t="n">
        <v>3</v>
      </c>
      <c r="I691" t="inlineStr">
        <is>
          <t>L</t>
        </is>
      </c>
      <c r="J691" t="inlineStr">
        <is>
          <t>S</t>
        </is>
      </c>
      <c r="K691" t="inlineStr">
        <is>
          <t>Y</t>
        </is>
      </c>
      <c r="L691" t="inlineStr"/>
      <c r="M691" s="30">
        <f>0.005454*F691^2</f>
        <v/>
      </c>
      <c r="N691" s="31">
        <f>IF(D691="BAF20",20/M691,100)</f>
        <v/>
      </c>
      <c r="O691" s="31">
        <f>M691*N691</f>
        <v/>
      </c>
      <c r="P691" s="32">
        <f>0.0*N691</f>
        <v/>
      </c>
    </row>
    <row r="692">
      <c r="A692" t="inlineStr">
        <is>
          <t>U2-05</t>
        </is>
      </c>
      <c r="B692" t="n">
        <v>2</v>
      </c>
      <c r="C692" t="n">
        <v>12</v>
      </c>
      <c r="D692" t="inlineStr">
        <is>
          <t>BAF20</t>
        </is>
      </c>
      <c r="E692" t="inlineStr">
        <is>
          <t>PP</t>
        </is>
      </c>
      <c r="F692" t="n">
        <v>9.5</v>
      </c>
      <c r="G692" t="n">
        <v>49</v>
      </c>
      <c r="H692" t="n">
        <v>4</v>
      </c>
      <c r="I692" t="inlineStr">
        <is>
          <t>L</t>
        </is>
      </c>
      <c r="J692" t="inlineStr">
        <is>
          <t>S</t>
        </is>
      </c>
      <c r="K692" t="inlineStr">
        <is>
          <t>Y</t>
        </is>
      </c>
      <c r="L692" t="inlineStr"/>
      <c r="M692" s="30">
        <f>0.005454*F692^2</f>
        <v/>
      </c>
      <c r="N692" s="31">
        <f>IF(D692="BAF20",20/M692,100)</f>
        <v/>
      </c>
      <c r="O692" s="31">
        <f>M692*N692</f>
        <v/>
      </c>
      <c r="P692" s="32">
        <f>0.0*N692</f>
        <v/>
      </c>
    </row>
    <row r="693">
      <c r="A693" t="inlineStr">
        <is>
          <t>U2-05</t>
        </is>
      </c>
      <c r="B693" t="n">
        <v>2</v>
      </c>
      <c r="C693" t="n">
        <v>13</v>
      </c>
      <c r="D693" t="inlineStr">
        <is>
          <t>BAF20</t>
        </is>
      </c>
      <c r="E693" t="inlineStr">
        <is>
          <t>WF</t>
        </is>
      </c>
      <c r="F693" t="n">
        <v>20</v>
      </c>
      <c r="G693" t="n">
        <v>101</v>
      </c>
      <c r="H693" t="n">
        <v>10</v>
      </c>
      <c r="I693" t="inlineStr">
        <is>
          <t>L</t>
        </is>
      </c>
      <c r="J693" t="inlineStr">
        <is>
          <t>C</t>
        </is>
      </c>
      <c r="K693" t="inlineStr"/>
      <c r="L693" t="inlineStr"/>
      <c r="M693" s="30">
        <f>0.005454*F693^2</f>
        <v/>
      </c>
      <c r="N693" s="31">
        <f>IF(D693="BAF20",20/M693,100)</f>
        <v/>
      </c>
      <c r="O693" s="31">
        <f>M693*N693</f>
        <v/>
      </c>
      <c r="P693" s="32">
        <f>352.3*N693</f>
        <v/>
      </c>
    </row>
    <row r="694">
      <c r="A694" t="inlineStr">
        <is>
          <t>U2-05</t>
        </is>
      </c>
      <c r="B694" t="n">
        <v>2</v>
      </c>
      <c r="C694" t="n">
        <v>14</v>
      </c>
      <c r="D694" t="inlineStr">
        <is>
          <t>FIX100</t>
        </is>
      </c>
      <c r="E694" t="inlineStr">
        <is>
          <t>DF</t>
        </is>
      </c>
      <c r="F694" t="n">
        <v>2.6</v>
      </c>
      <c r="G694" t="n">
        <v>19</v>
      </c>
      <c r="H694" t="n">
        <v>0</v>
      </c>
      <c r="I694" t="inlineStr">
        <is>
          <t>L</t>
        </is>
      </c>
      <c r="J694" t="inlineStr">
        <is>
          <t>S</t>
        </is>
      </c>
      <c r="K694" t="inlineStr"/>
      <c r="L694" t="inlineStr"/>
      <c r="M694" s="30">
        <f>0.005454*F694^2</f>
        <v/>
      </c>
      <c r="N694" s="31">
        <f>IF(D694="BAF20",20/M694,100)</f>
        <v/>
      </c>
      <c r="O694" s="31">
        <f>M694*N694</f>
        <v/>
      </c>
      <c r="P694" s="32">
        <f>0.0*N694</f>
        <v/>
      </c>
    </row>
    <row r="695">
      <c r="A695" t="inlineStr">
        <is>
          <t>U2-05</t>
        </is>
      </c>
      <c r="B695" t="n">
        <v>2</v>
      </c>
      <c r="C695" t="n">
        <v>15</v>
      </c>
      <c r="D695" t="inlineStr">
        <is>
          <t>FIX100</t>
        </is>
      </c>
      <c r="E695" t="inlineStr">
        <is>
          <t>BO</t>
        </is>
      </c>
      <c r="F695" t="n">
        <v>1.9</v>
      </c>
      <c r="G695" t="n">
        <v>11</v>
      </c>
      <c r="H695" t="n">
        <v>0</v>
      </c>
      <c r="I695" t="inlineStr">
        <is>
          <t>L</t>
        </is>
      </c>
      <c r="J695" t="inlineStr">
        <is>
          <t>S</t>
        </is>
      </c>
      <c r="K695" t="inlineStr"/>
      <c r="L695" t="inlineStr"/>
      <c r="M695" s="30">
        <f>0.005454*F695^2</f>
        <v/>
      </c>
      <c r="N695" s="31">
        <f>IF(D695="BAF20",20/M695,100)</f>
        <v/>
      </c>
      <c r="O695" s="31">
        <f>M695*N695</f>
        <v/>
      </c>
      <c r="P695" s="32">
        <f>0.0*N695</f>
        <v/>
      </c>
    </row>
    <row r="696">
      <c r="A696" t="inlineStr">
        <is>
          <t>U2-06</t>
        </is>
      </c>
      <c r="B696" t="n">
        <v>2</v>
      </c>
      <c r="C696" t="n">
        <v>1</v>
      </c>
      <c r="D696" t="inlineStr">
        <is>
          <t>BAF20</t>
        </is>
      </c>
      <c r="E696" t="inlineStr">
        <is>
          <t>BO</t>
        </is>
      </c>
      <c r="F696" t="n">
        <v>12.3</v>
      </c>
      <c r="G696" t="n">
        <v>47</v>
      </c>
      <c r="H696" t="n">
        <v>7</v>
      </c>
      <c r="I696" t="inlineStr">
        <is>
          <t>L</t>
        </is>
      </c>
      <c r="J696" t="inlineStr">
        <is>
          <t>S</t>
        </is>
      </c>
      <c r="K696" t="inlineStr">
        <is>
          <t>Y</t>
        </is>
      </c>
      <c r="L696" t="inlineStr"/>
      <c r="M696" s="30">
        <f>0.005454*F696^2</f>
        <v/>
      </c>
      <c r="N696" s="31">
        <f>IF(D696="BAF20",20/M696,100)</f>
        <v/>
      </c>
      <c r="O696" s="31">
        <f>M696*N696</f>
        <v/>
      </c>
      <c r="P696" s="32">
        <f>49.4*N696</f>
        <v/>
      </c>
    </row>
    <row r="697">
      <c r="A697" t="inlineStr">
        <is>
          <t>U2-06</t>
        </is>
      </c>
      <c r="B697" t="n">
        <v>2</v>
      </c>
      <c r="C697" t="n">
        <v>2</v>
      </c>
      <c r="D697" t="inlineStr">
        <is>
          <t>BAF20</t>
        </is>
      </c>
      <c r="E697" t="inlineStr">
        <is>
          <t>PP</t>
        </is>
      </c>
      <c r="F697" t="n">
        <v>12.2</v>
      </c>
      <c r="G697" t="n">
        <v>58</v>
      </c>
      <c r="H697" t="n">
        <v>2</v>
      </c>
      <c r="I697" t="inlineStr">
        <is>
          <t>L</t>
        </is>
      </c>
      <c r="J697" t="inlineStr">
        <is>
          <t>S</t>
        </is>
      </c>
      <c r="K697" t="inlineStr">
        <is>
          <t>Y</t>
        </is>
      </c>
      <c r="L697" t="inlineStr"/>
      <c r="M697" s="30">
        <f>0.005454*F697^2</f>
        <v/>
      </c>
      <c r="N697" s="31">
        <f>IF(D697="BAF20",20/M697,100)</f>
        <v/>
      </c>
      <c r="O697" s="31">
        <f>M697*N697</f>
        <v/>
      </c>
      <c r="P697" s="32">
        <f>69.7*N697</f>
        <v/>
      </c>
    </row>
    <row r="698">
      <c r="A698" t="inlineStr">
        <is>
          <t>U2-06</t>
        </is>
      </c>
      <c r="B698" t="n">
        <v>2</v>
      </c>
      <c r="C698" t="n">
        <v>3</v>
      </c>
      <c r="D698" t="inlineStr">
        <is>
          <t>BAF20</t>
        </is>
      </c>
      <c r="E698" t="inlineStr">
        <is>
          <t>PP</t>
        </is>
      </c>
      <c r="F698" t="n">
        <v>12.9</v>
      </c>
      <c r="G698" t="n">
        <v>67</v>
      </c>
      <c r="H698" t="n">
        <v>1</v>
      </c>
      <c r="I698" t="inlineStr">
        <is>
          <t>L</t>
        </is>
      </c>
      <c r="J698" t="inlineStr">
        <is>
          <t>S</t>
        </is>
      </c>
      <c r="K698" t="inlineStr"/>
      <c r="L698" t="inlineStr"/>
      <c r="M698" s="30">
        <f>0.005454*F698^2</f>
        <v/>
      </c>
      <c r="N698" s="31">
        <f>IF(D698="BAF20",20/M698,100)</f>
        <v/>
      </c>
      <c r="O698" s="31">
        <f>M698*N698</f>
        <v/>
      </c>
      <c r="P698" s="32">
        <f>92.4*N698</f>
        <v/>
      </c>
    </row>
    <row r="699">
      <c r="A699" t="inlineStr">
        <is>
          <t>U2-06</t>
        </is>
      </c>
      <c r="B699" t="n">
        <v>2</v>
      </c>
      <c r="C699" t="n">
        <v>4</v>
      </c>
      <c r="D699" t="inlineStr">
        <is>
          <t>BAF20</t>
        </is>
      </c>
      <c r="E699" t="inlineStr">
        <is>
          <t>DF</t>
        </is>
      </c>
      <c r="F699" t="n">
        <v>17.7</v>
      </c>
      <c r="G699" t="n">
        <v>74</v>
      </c>
      <c r="H699" t="n">
        <v>4</v>
      </c>
      <c r="I699" t="inlineStr">
        <is>
          <t>L</t>
        </is>
      </c>
      <c r="J699" t="inlineStr">
        <is>
          <t>I</t>
        </is>
      </c>
      <c r="K699" t="inlineStr"/>
      <c r="L699" t="inlineStr"/>
      <c r="M699" s="30">
        <f>0.005454*F699^2</f>
        <v/>
      </c>
      <c r="N699" s="31">
        <f>IF(D699="BAF20",20/M699,100)</f>
        <v/>
      </c>
      <c r="O699" s="31">
        <f>M699*N699</f>
        <v/>
      </c>
      <c r="P699" s="32">
        <f>206.2*N699</f>
        <v/>
      </c>
    </row>
    <row r="700">
      <c r="A700" t="inlineStr">
        <is>
          <t>U2-06</t>
        </is>
      </c>
      <c r="B700" t="n">
        <v>2</v>
      </c>
      <c r="C700" t="n">
        <v>5</v>
      </c>
      <c r="D700" t="inlineStr">
        <is>
          <t>BAF20</t>
        </is>
      </c>
      <c r="E700" t="inlineStr">
        <is>
          <t>PP</t>
        </is>
      </c>
      <c r="F700" t="n">
        <v>14.6</v>
      </c>
      <c r="G700" t="n">
        <v>74</v>
      </c>
      <c r="H700" t="n">
        <v>1</v>
      </c>
      <c r="I700" t="inlineStr">
        <is>
          <t>L</t>
        </is>
      </c>
      <c r="J700" t="inlineStr">
        <is>
          <t>I</t>
        </is>
      </c>
      <c r="K700" t="inlineStr"/>
      <c r="L700" t="inlineStr"/>
      <c r="M700" s="30">
        <f>0.005454*F700^2</f>
        <v/>
      </c>
      <c r="N700" s="31">
        <f>IF(D700="BAF20",20/M700,100)</f>
        <v/>
      </c>
      <c r="O700" s="31">
        <f>M700*N700</f>
        <v/>
      </c>
      <c r="P700" s="32">
        <f>135.7*N700</f>
        <v/>
      </c>
    </row>
    <row r="701">
      <c r="A701" t="inlineStr">
        <is>
          <t>U2-06</t>
        </is>
      </c>
      <c r="B701" t="n">
        <v>2</v>
      </c>
      <c r="C701" t="n">
        <v>6</v>
      </c>
      <c r="D701" t="inlineStr">
        <is>
          <t>BAF20</t>
        </is>
      </c>
      <c r="E701" t="inlineStr">
        <is>
          <t>SP</t>
        </is>
      </c>
      <c r="F701" t="n">
        <v>12.6</v>
      </c>
      <c r="G701" t="n">
        <v>62</v>
      </c>
      <c r="H701" t="n">
        <v>3</v>
      </c>
      <c r="I701" t="inlineStr">
        <is>
          <t>L</t>
        </is>
      </c>
      <c r="J701" t="inlineStr">
        <is>
          <t>S</t>
        </is>
      </c>
      <c r="K701" t="inlineStr"/>
      <c r="L701" t="inlineStr"/>
      <c r="M701" s="30">
        <f>0.005454*F701^2</f>
        <v/>
      </c>
      <c r="N701" s="31">
        <f>IF(D701="BAF20",20/M701,100)</f>
        <v/>
      </c>
      <c r="O701" s="31">
        <f>M701*N701</f>
        <v/>
      </c>
      <c r="P701" s="32">
        <f>79.4*N701</f>
        <v/>
      </c>
    </row>
    <row r="702">
      <c r="A702" t="inlineStr">
        <is>
          <t>U2-06</t>
        </is>
      </c>
      <c r="B702" t="n">
        <v>2</v>
      </c>
      <c r="C702" t="n">
        <v>7</v>
      </c>
      <c r="D702" t="inlineStr">
        <is>
          <t>BAF20</t>
        </is>
      </c>
      <c r="E702" t="inlineStr">
        <is>
          <t>IC</t>
        </is>
      </c>
      <c r="F702" t="n">
        <v>13</v>
      </c>
      <c r="G702" t="n">
        <v>57</v>
      </c>
      <c r="H702" t="n">
        <v>8</v>
      </c>
      <c r="I702" t="inlineStr">
        <is>
          <t>L</t>
        </is>
      </c>
      <c r="J702" t="inlineStr">
        <is>
          <t>S</t>
        </is>
      </c>
      <c r="K702" t="inlineStr"/>
      <c r="L702" t="inlineStr"/>
      <c r="M702" s="30">
        <f>0.005454*F702^2</f>
        <v/>
      </c>
      <c r="N702" s="31">
        <f>IF(D702="BAF20",20/M702,100)</f>
        <v/>
      </c>
      <c r="O702" s="31">
        <f>M702*N702</f>
        <v/>
      </c>
      <c r="P702" s="32">
        <f>74.4*N702</f>
        <v/>
      </c>
    </row>
    <row r="703">
      <c r="A703" t="inlineStr">
        <is>
          <t>U2-06</t>
        </is>
      </c>
      <c r="B703" t="n">
        <v>2</v>
      </c>
      <c r="C703" t="n">
        <v>8</v>
      </c>
      <c r="D703" t="inlineStr">
        <is>
          <t>BAF20</t>
        </is>
      </c>
      <c r="E703" t="inlineStr">
        <is>
          <t>WF</t>
        </is>
      </c>
      <c r="F703" t="n">
        <v>32.5</v>
      </c>
      <c r="G703" t="n">
        <v>111</v>
      </c>
      <c r="H703" t="n">
        <v>13</v>
      </c>
      <c r="I703" t="inlineStr">
        <is>
          <t>L</t>
        </is>
      </c>
      <c r="J703" t="inlineStr">
        <is>
          <t>D</t>
        </is>
      </c>
      <c r="K703" t="inlineStr"/>
      <c r="L703" t="inlineStr"/>
      <c r="M703" s="30">
        <f>0.005454*F703^2</f>
        <v/>
      </c>
      <c r="N703" s="31">
        <f>IF(D703="BAF20",20/M703,100)</f>
        <v/>
      </c>
      <c r="O703" s="31">
        <f>M703*N703</f>
        <v/>
      </c>
      <c r="P703" s="32">
        <f>1224.9*N703</f>
        <v/>
      </c>
    </row>
    <row r="704">
      <c r="A704" t="inlineStr">
        <is>
          <t>U2-06</t>
        </is>
      </c>
      <c r="B704" t="n">
        <v>2</v>
      </c>
      <c r="C704" t="n">
        <v>9</v>
      </c>
      <c r="D704" t="inlineStr">
        <is>
          <t>FIX100</t>
        </is>
      </c>
      <c r="E704" t="inlineStr">
        <is>
          <t>IC</t>
        </is>
      </c>
      <c r="F704" t="n">
        <v>1.2</v>
      </c>
      <c r="G704" t="n">
        <v>8</v>
      </c>
      <c r="H704" t="n">
        <v>0</v>
      </c>
      <c r="I704" t="inlineStr">
        <is>
          <t>L</t>
        </is>
      </c>
      <c r="J704" t="inlineStr">
        <is>
          <t>S</t>
        </is>
      </c>
      <c r="K704" t="inlineStr"/>
      <c r="L704" t="inlineStr"/>
      <c r="M704" s="30">
        <f>0.005454*F704^2</f>
        <v/>
      </c>
      <c r="N704" s="31">
        <f>IF(D704="BAF20",20/M704,100)</f>
        <v/>
      </c>
      <c r="O704" s="31">
        <f>M704*N704</f>
        <v/>
      </c>
      <c r="P704" s="32">
        <f>0.0*N704</f>
        <v/>
      </c>
    </row>
    <row r="705">
      <c r="A705" t="inlineStr">
        <is>
          <t>U2-06</t>
        </is>
      </c>
      <c r="B705" t="n">
        <v>2</v>
      </c>
      <c r="C705" t="n">
        <v>10</v>
      </c>
      <c r="D705" t="inlineStr">
        <is>
          <t>FIX100</t>
        </is>
      </c>
      <c r="E705" t="inlineStr">
        <is>
          <t>PP</t>
        </is>
      </c>
      <c r="F705" t="n">
        <v>3.2</v>
      </c>
      <c r="G705" t="n">
        <v>19</v>
      </c>
      <c r="H705" t="n">
        <v>0</v>
      </c>
      <c r="I705" t="inlineStr">
        <is>
          <t>L</t>
        </is>
      </c>
      <c r="J705" t="inlineStr">
        <is>
          <t>S</t>
        </is>
      </c>
      <c r="K705" t="inlineStr"/>
      <c r="L705" t="inlineStr"/>
      <c r="M705" s="30">
        <f>0.005454*F705^2</f>
        <v/>
      </c>
      <c r="N705" s="31">
        <f>IF(D705="BAF20",20/M705,100)</f>
        <v/>
      </c>
      <c r="O705" s="31">
        <f>M705*N705</f>
        <v/>
      </c>
      <c r="P705" s="32">
        <f>0.0*N705</f>
        <v/>
      </c>
    </row>
    <row r="706">
      <c r="A706" t="inlineStr">
        <is>
          <t>U2-07</t>
        </is>
      </c>
      <c r="B706" t="n">
        <v>2</v>
      </c>
      <c r="C706" t="n">
        <v>1</v>
      </c>
      <c r="D706" t="inlineStr">
        <is>
          <t>BAF20</t>
        </is>
      </c>
      <c r="E706" t="inlineStr">
        <is>
          <t>BO</t>
        </is>
      </c>
      <c r="F706" t="n">
        <v>11.5</v>
      </c>
      <c r="G706" t="n">
        <v>51</v>
      </c>
      <c r="H706" t="n">
        <v>42</v>
      </c>
      <c r="I706" t="inlineStr">
        <is>
          <t>L</t>
        </is>
      </c>
      <c r="J706" t="inlineStr">
        <is>
          <t>S</t>
        </is>
      </c>
      <c r="K706" t="inlineStr">
        <is>
          <t>Y</t>
        </is>
      </c>
      <c r="L706" t="inlineStr"/>
      <c r="M706" s="30">
        <f>0.005454*F706^2</f>
        <v/>
      </c>
      <c r="N706" s="31">
        <f>IF(D706="BAF20",20/M706,100)</f>
        <v/>
      </c>
      <c r="O706" s="31">
        <f>M706*N706</f>
        <v/>
      </c>
      <c r="P706" s="32">
        <f>28.7*N706</f>
        <v/>
      </c>
    </row>
    <row r="707">
      <c r="A707" t="inlineStr">
        <is>
          <t>U2-07</t>
        </is>
      </c>
      <c r="B707" t="n">
        <v>2</v>
      </c>
      <c r="C707" t="n">
        <v>2</v>
      </c>
      <c r="D707" t="inlineStr">
        <is>
          <t>BAF20</t>
        </is>
      </c>
      <c r="E707" t="inlineStr">
        <is>
          <t>DF</t>
        </is>
      </c>
      <c r="F707" t="n">
        <v>20.4</v>
      </c>
      <c r="G707" t="n">
        <v>95</v>
      </c>
      <c r="H707" t="n">
        <v>4</v>
      </c>
      <c r="I707" t="inlineStr">
        <is>
          <t>L</t>
        </is>
      </c>
      <c r="J707" t="inlineStr">
        <is>
          <t>C</t>
        </is>
      </c>
      <c r="K707" t="inlineStr"/>
      <c r="L707" t="inlineStr"/>
      <c r="M707" s="30">
        <f>0.005454*F707^2</f>
        <v/>
      </c>
      <c r="N707" s="31">
        <f>IF(D707="BAF20",20/M707,100)</f>
        <v/>
      </c>
      <c r="O707" s="31">
        <f>M707*N707</f>
        <v/>
      </c>
      <c r="P707" s="32">
        <f>370.6*N707</f>
        <v/>
      </c>
    </row>
    <row r="708">
      <c r="A708" t="inlineStr">
        <is>
          <t>U2-07</t>
        </is>
      </c>
      <c r="B708" t="n">
        <v>2</v>
      </c>
      <c r="C708" t="n">
        <v>3</v>
      </c>
      <c r="D708" t="inlineStr">
        <is>
          <t>BAF20</t>
        </is>
      </c>
      <c r="E708" t="inlineStr">
        <is>
          <t>WF</t>
        </is>
      </c>
      <c r="F708" t="n">
        <v>22.9</v>
      </c>
      <c r="G708" t="n">
        <v>105</v>
      </c>
      <c r="H708" t="n">
        <v>3</v>
      </c>
      <c r="I708" t="inlineStr">
        <is>
          <t>L</t>
        </is>
      </c>
      <c r="J708" t="inlineStr">
        <is>
          <t>C</t>
        </is>
      </c>
      <c r="K708" t="inlineStr"/>
      <c r="L708" t="inlineStr"/>
      <c r="M708" s="30">
        <f>0.005454*F708^2</f>
        <v/>
      </c>
      <c r="N708" s="31">
        <f>IF(D708="BAF20",20/M708,100)</f>
        <v/>
      </c>
      <c r="O708" s="31">
        <f>M708*N708</f>
        <v/>
      </c>
      <c r="P708" s="32">
        <f>546.3*N708</f>
        <v/>
      </c>
    </row>
    <row r="709">
      <c r="A709" t="inlineStr">
        <is>
          <t>U2-07</t>
        </is>
      </c>
      <c r="B709" t="n">
        <v>2</v>
      </c>
      <c r="C709" t="n">
        <v>4</v>
      </c>
      <c r="D709" t="inlineStr">
        <is>
          <t>BAF20</t>
        </is>
      </c>
      <c r="E709" t="inlineStr">
        <is>
          <t>SP</t>
        </is>
      </c>
      <c r="F709" t="n">
        <v>21.7</v>
      </c>
      <c r="G709" t="n">
        <v>97</v>
      </c>
      <c r="H709" t="n">
        <v>4</v>
      </c>
      <c r="I709" t="inlineStr">
        <is>
          <t>L</t>
        </is>
      </c>
      <c r="J709" t="inlineStr">
        <is>
          <t>C</t>
        </is>
      </c>
      <c r="K709" t="inlineStr"/>
      <c r="L709" t="inlineStr"/>
      <c r="M709" s="30">
        <f>0.005454*F709^2</f>
        <v/>
      </c>
      <c r="N709" s="31">
        <f>IF(D709="BAF20",20/M709,100)</f>
        <v/>
      </c>
      <c r="O709" s="31">
        <f>M709*N709</f>
        <v/>
      </c>
      <c r="P709" s="32">
        <f>438.7*N709</f>
        <v/>
      </c>
    </row>
    <row r="710">
      <c r="A710" t="inlineStr">
        <is>
          <t>U2-07</t>
        </is>
      </c>
      <c r="B710" t="n">
        <v>2</v>
      </c>
      <c r="C710" t="n">
        <v>5</v>
      </c>
      <c r="D710" t="inlineStr">
        <is>
          <t>BAF20</t>
        </is>
      </c>
      <c r="E710" t="inlineStr">
        <is>
          <t>PP</t>
        </is>
      </c>
      <c r="F710" t="n">
        <v>18.6</v>
      </c>
      <c r="G710" t="n">
        <v>85</v>
      </c>
      <c r="H710" t="n">
        <v>4</v>
      </c>
      <c r="I710" t="inlineStr">
        <is>
          <t>L</t>
        </is>
      </c>
      <c r="J710" t="inlineStr">
        <is>
          <t>I</t>
        </is>
      </c>
      <c r="K710" t="inlineStr"/>
      <c r="L710" t="inlineStr"/>
      <c r="M710" s="30">
        <f>0.005454*F710^2</f>
        <v/>
      </c>
      <c r="N710" s="31">
        <f>IF(D710="BAF20",20/M710,100)</f>
        <v/>
      </c>
      <c r="O710" s="31">
        <f>M710*N710</f>
        <v/>
      </c>
      <c r="P710" s="32">
        <f>266.2*N710</f>
        <v/>
      </c>
    </row>
    <row r="711">
      <c r="A711" t="inlineStr">
        <is>
          <t>U2-07</t>
        </is>
      </c>
      <c r="B711" t="n">
        <v>2</v>
      </c>
      <c r="C711" t="n">
        <v>6</v>
      </c>
      <c r="D711" t="inlineStr">
        <is>
          <t>BAF20</t>
        </is>
      </c>
      <c r="E711" t="inlineStr">
        <is>
          <t>WF</t>
        </is>
      </c>
      <c r="F711" t="n">
        <v>18.4</v>
      </c>
      <c r="G711" t="n">
        <v>88</v>
      </c>
      <c r="H711" t="n">
        <v>10</v>
      </c>
      <c r="I711" t="inlineStr">
        <is>
          <t>L</t>
        </is>
      </c>
      <c r="J711" t="inlineStr">
        <is>
          <t>I</t>
        </is>
      </c>
      <c r="K711" t="inlineStr"/>
      <c r="L711" t="inlineStr"/>
      <c r="M711" s="30">
        <f>0.005454*F711^2</f>
        <v/>
      </c>
      <c r="N711" s="31">
        <f>IF(D711="BAF20",20/M711,100)</f>
        <v/>
      </c>
      <c r="O711" s="31">
        <f>M711*N711</f>
        <v/>
      </c>
      <c r="P711" s="32">
        <f>251.9*N711</f>
        <v/>
      </c>
    </row>
    <row r="712">
      <c r="A712" t="inlineStr">
        <is>
          <t>U2-07</t>
        </is>
      </c>
      <c r="B712" t="n">
        <v>2</v>
      </c>
      <c r="C712" t="n">
        <v>7</v>
      </c>
      <c r="D712" t="inlineStr">
        <is>
          <t>BAF20</t>
        </is>
      </c>
      <c r="E712" t="inlineStr">
        <is>
          <t>DF</t>
        </is>
      </c>
      <c r="F712" t="n">
        <v>12.1</v>
      </c>
      <c r="G712" t="n">
        <v>57</v>
      </c>
      <c r="H712" t="n">
        <v>5</v>
      </c>
      <c r="I712" t="inlineStr">
        <is>
          <t>L</t>
        </is>
      </c>
      <c r="J712" t="inlineStr">
        <is>
          <t>S</t>
        </is>
      </c>
      <c r="K712" t="inlineStr">
        <is>
          <t>Y</t>
        </is>
      </c>
      <c r="L712" t="inlineStr"/>
      <c r="M712" s="30">
        <f>0.005454*F712^2</f>
        <v/>
      </c>
      <c r="N712" s="31">
        <f>IF(D712="BAF20",20/M712,100)</f>
        <v/>
      </c>
      <c r="O712" s="31">
        <f>M712*N712</f>
        <v/>
      </c>
      <c r="P712" s="32">
        <f>65.2*N712</f>
        <v/>
      </c>
    </row>
    <row r="713">
      <c r="A713" t="inlineStr">
        <is>
          <t>U2-07</t>
        </is>
      </c>
      <c r="B713" t="n">
        <v>2</v>
      </c>
      <c r="C713" t="n">
        <v>8</v>
      </c>
      <c r="D713" t="inlineStr">
        <is>
          <t>BAF20</t>
        </is>
      </c>
      <c r="E713" t="inlineStr">
        <is>
          <t>WF</t>
        </is>
      </c>
      <c r="F713" t="n">
        <v>28.6</v>
      </c>
      <c r="G713" t="n">
        <v>102</v>
      </c>
      <c r="H713" t="n">
        <v>14</v>
      </c>
      <c r="I713" t="inlineStr">
        <is>
          <t>L</t>
        </is>
      </c>
      <c r="J713" t="inlineStr">
        <is>
          <t>D</t>
        </is>
      </c>
      <c r="K713" t="inlineStr"/>
      <c r="L713" t="inlineStr"/>
      <c r="M713" s="30">
        <f>0.005454*F713^2</f>
        <v/>
      </c>
      <c r="N713" s="31">
        <f>IF(D713="BAF20",20/M713,100)</f>
        <v/>
      </c>
      <c r="O713" s="31">
        <f>M713*N713</f>
        <v/>
      </c>
      <c r="P713" s="32">
        <f>809.7*N713</f>
        <v/>
      </c>
    </row>
    <row r="714">
      <c r="A714" t="inlineStr">
        <is>
          <t>U2-07</t>
        </is>
      </c>
      <c r="B714" t="n">
        <v>2</v>
      </c>
      <c r="C714" t="n">
        <v>9</v>
      </c>
      <c r="D714" t="inlineStr">
        <is>
          <t>BAF20</t>
        </is>
      </c>
      <c r="E714" t="inlineStr">
        <is>
          <t>BO</t>
        </is>
      </c>
      <c r="F714" t="n">
        <v>14.3</v>
      </c>
      <c r="G714" t="n">
        <v>48</v>
      </c>
      <c r="H714" t="n">
        <v>20</v>
      </c>
      <c r="I714" t="inlineStr">
        <is>
          <t>L</t>
        </is>
      </c>
      <c r="J714" t="inlineStr">
        <is>
          <t>I</t>
        </is>
      </c>
      <c r="K714" t="inlineStr"/>
      <c r="L714" t="inlineStr"/>
      <c r="M714" s="30">
        <f>0.005454*F714^2</f>
        <v/>
      </c>
      <c r="N714" s="31">
        <f>IF(D714="BAF20",20/M714,100)</f>
        <v/>
      </c>
      <c r="O714" s="31">
        <f>M714*N714</f>
        <v/>
      </c>
      <c r="P714" s="32">
        <f>61.3*N714</f>
        <v/>
      </c>
    </row>
    <row r="715">
      <c r="A715" t="inlineStr">
        <is>
          <t>U2-07</t>
        </is>
      </c>
      <c r="B715" t="n">
        <v>2</v>
      </c>
      <c r="C715" t="n">
        <v>10</v>
      </c>
      <c r="D715" t="inlineStr">
        <is>
          <t>BAF20</t>
        </is>
      </c>
      <c r="E715" t="inlineStr">
        <is>
          <t>IC</t>
        </is>
      </c>
      <c r="F715" t="n">
        <v>8.199999999999999</v>
      </c>
      <c r="G715" t="n">
        <v>37</v>
      </c>
      <c r="H715" t="n">
        <v>7</v>
      </c>
      <c r="I715" t="inlineStr">
        <is>
          <t>L</t>
        </is>
      </c>
      <c r="J715" t="inlineStr">
        <is>
          <t>S</t>
        </is>
      </c>
      <c r="K715" t="inlineStr">
        <is>
          <t>Y</t>
        </is>
      </c>
      <c r="L715" t="inlineStr"/>
      <c r="M715" s="30">
        <f>0.005454*F715^2</f>
        <v/>
      </c>
      <c r="N715" s="31">
        <f>IF(D715="BAF20",20/M715,100)</f>
        <v/>
      </c>
      <c r="O715" s="31">
        <f>M715*N715</f>
        <v/>
      </c>
      <c r="P715" s="32">
        <f>0.0*N715</f>
        <v/>
      </c>
    </row>
    <row r="716">
      <c r="A716" t="inlineStr">
        <is>
          <t>U2-07</t>
        </is>
      </c>
      <c r="B716" t="n">
        <v>2</v>
      </c>
      <c r="C716" t="n">
        <v>11</v>
      </c>
      <c r="D716" t="inlineStr">
        <is>
          <t>BAF20</t>
        </is>
      </c>
      <c r="E716" t="inlineStr">
        <is>
          <t>PP</t>
        </is>
      </c>
      <c r="F716" t="n">
        <v>26</v>
      </c>
      <c r="G716" t="n">
        <v>98</v>
      </c>
      <c r="H716" t="n">
        <v>3</v>
      </c>
      <c r="I716" t="inlineStr">
        <is>
          <t>L</t>
        </is>
      </c>
      <c r="J716" t="inlineStr">
        <is>
          <t>D</t>
        </is>
      </c>
      <c r="K716" t="inlineStr"/>
      <c r="L716" t="inlineStr"/>
      <c r="M716" s="30">
        <f>0.005454*F716^2</f>
        <v/>
      </c>
      <c r="N716" s="31">
        <f>IF(D716="BAF20",20/M716,100)</f>
        <v/>
      </c>
      <c r="O716" s="31">
        <f>M716*N716</f>
        <v/>
      </c>
      <c r="P716" s="32">
        <f>694.2*N716</f>
        <v/>
      </c>
    </row>
    <row r="717">
      <c r="A717" t="inlineStr">
        <is>
          <t>U2-07</t>
        </is>
      </c>
      <c r="B717" t="n">
        <v>2</v>
      </c>
      <c r="C717" t="n">
        <v>12</v>
      </c>
      <c r="D717" t="inlineStr">
        <is>
          <t>BAF20</t>
        </is>
      </c>
      <c r="E717" t="inlineStr">
        <is>
          <t>WF</t>
        </is>
      </c>
      <c r="F717" t="n">
        <v>6.2</v>
      </c>
      <c r="G717" t="n">
        <v>38</v>
      </c>
      <c r="H717" t="n">
        <v>12</v>
      </c>
      <c r="I717" t="inlineStr">
        <is>
          <t>L</t>
        </is>
      </c>
      <c r="J717" t="inlineStr">
        <is>
          <t>S</t>
        </is>
      </c>
      <c r="K717" t="inlineStr">
        <is>
          <t>Y</t>
        </is>
      </c>
      <c r="L717" t="inlineStr"/>
      <c r="M717" s="30">
        <f>0.005454*F717^2</f>
        <v/>
      </c>
      <c r="N717" s="31">
        <f>IF(D717="BAF20",20/M717,100)</f>
        <v/>
      </c>
      <c r="O717" s="31">
        <f>M717*N717</f>
        <v/>
      </c>
      <c r="P717" s="32">
        <f>0.0*N717</f>
        <v/>
      </c>
    </row>
    <row r="718">
      <c r="A718" t="inlineStr">
        <is>
          <t>U2-07</t>
        </is>
      </c>
      <c r="B718" t="n">
        <v>2</v>
      </c>
      <c r="C718" t="n">
        <v>13</v>
      </c>
      <c r="D718" t="inlineStr">
        <is>
          <t>BAF20</t>
        </is>
      </c>
      <c r="E718" t="inlineStr">
        <is>
          <t>DF</t>
        </is>
      </c>
      <c r="F718" t="n">
        <v>13.4</v>
      </c>
      <c r="G718" t="n">
        <v>64</v>
      </c>
      <c r="H718" t="n">
        <v>3</v>
      </c>
      <c r="I718" t="inlineStr">
        <is>
          <t>L</t>
        </is>
      </c>
      <c r="J718" t="inlineStr">
        <is>
          <t>S</t>
        </is>
      </c>
      <c r="K718" t="inlineStr"/>
      <c r="L718" t="inlineStr"/>
      <c r="M718" s="30">
        <f>0.005454*F718^2</f>
        <v/>
      </c>
      <c r="N718" s="31">
        <f>IF(D718="BAF20",20/M718,100)</f>
        <v/>
      </c>
      <c r="O718" s="31">
        <f>M718*N718</f>
        <v/>
      </c>
      <c r="P718" s="32">
        <f>94.4*N718</f>
        <v/>
      </c>
    </row>
    <row r="719">
      <c r="A719" t="inlineStr">
        <is>
          <t>U2-07</t>
        </is>
      </c>
      <c r="B719" t="n">
        <v>2</v>
      </c>
      <c r="C719" t="n">
        <v>14</v>
      </c>
      <c r="D719" t="inlineStr">
        <is>
          <t>BAF20</t>
        </is>
      </c>
      <c r="E719" t="inlineStr">
        <is>
          <t>DF</t>
        </is>
      </c>
      <c r="F719" t="n">
        <v>20.7</v>
      </c>
      <c r="G719" t="n">
        <v>93</v>
      </c>
      <c r="H719" t="n">
        <v>5</v>
      </c>
      <c r="I719" t="inlineStr">
        <is>
          <t>L</t>
        </is>
      </c>
      <c r="J719" t="inlineStr">
        <is>
          <t>C</t>
        </is>
      </c>
      <c r="K719" t="inlineStr"/>
      <c r="L719" t="inlineStr"/>
      <c r="M719" s="30">
        <f>0.005454*F719^2</f>
        <v/>
      </c>
      <c r="N719" s="31">
        <f>IF(D719="BAF20",20/M719,100)</f>
        <v/>
      </c>
      <c r="O719" s="31">
        <f>M719*N719</f>
        <v/>
      </c>
      <c r="P719" s="32">
        <f>371.7*N719</f>
        <v/>
      </c>
    </row>
    <row r="720">
      <c r="A720" t="inlineStr">
        <is>
          <t>U2-08</t>
        </is>
      </c>
      <c r="B720" t="n">
        <v>2</v>
      </c>
      <c r="C720" t="n">
        <v>1</v>
      </c>
      <c r="D720" t="inlineStr">
        <is>
          <t>BAF20</t>
        </is>
      </c>
      <c r="E720" t="inlineStr">
        <is>
          <t>PP</t>
        </is>
      </c>
      <c r="F720" t="n">
        <v>7.1</v>
      </c>
      <c r="G720" t="n">
        <v>39</v>
      </c>
      <c r="H720" t="n">
        <v>3</v>
      </c>
      <c r="I720" t="inlineStr">
        <is>
          <t>L</t>
        </is>
      </c>
      <c r="J720" t="inlineStr">
        <is>
          <t>S</t>
        </is>
      </c>
      <c r="K720" t="inlineStr">
        <is>
          <t>Y</t>
        </is>
      </c>
      <c r="L720" t="inlineStr"/>
      <c r="M720" s="30">
        <f>0.005454*F720^2</f>
        <v/>
      </c>
      <c r="N720" s="31">
        <f>IF(D720="BAF20",20/M720,100)</f>
        <v/>
      </c>
      <c r="O720" s="31">
        <f>M720*N720</f>
        <v/>
      </c>
      <c r="P720" s="32">
        <f>0.0*N720</f>
        <v/>
      </c>
    </row>
    <row r="721">
      <c r="A721" t="inlineStr">
        <is>
          <t>U2-08</t>
        </is>
      </c>
      <c r="B721" t="n">
        <v>2</v>
      </c>
      <c r="C721" t="n">
        <v>2</v>
      </c>
      <c r="D721" t="inlineStr">
        <is>
          <t>BAF20</t>
        </is>
      </c>
      <c r="E721" t="inlineStr">
        <is>
          <t>WF</t>
        </is>
      </c>
      <c r="F721" t="n">
        <v>22</v>
      </c>
      <c r="G721" t="n">
        <v>82</v>
      </c>
      <c r="H721" t="n">
        <v>9</v>
      </c>
      <c r="I721" t="inlineStr">
        <is>
          <t>L</t>
        </is>
      </c>
      <c r="J721" t="inlineStr">
        <is>
          <t>C</t>
        </is>
      </c>
      <c r="K721" t="inlineStr"/>
      <c r="L721" t="inlineStr"/>
      <c r="M721" s="30">
        <f>0.005454*F721^2</f>
        <v/>
      </c>
      <c r="N721" s="31">
        <f>IF(D721="BAF20",20/M721,100)</f>
        <v/>
      </c>
      <c r="O721" s="31">
        <f>M721*N721</f>
        <v/>
      </c>
      <c r="P721" s="32">
        <f>363.4*N721</f>
        <v/>
      </c>
    </row>
    <row r="722">
      <c r="A722" t="inlineStr">
        <is>
          <t>U2-08</t>
        </is>
      </c>
      <c r="B722" t="n">
        <v>2</v>
      </c>
      <c r="C722" t="n">
        <v>3</v>
      </c>
      <c r="D722" t="inlineStr">
        <is>
          <t>BAF20</t>
        </is>
      </c>
      <c r="E722" t="inlineStr">
        <is>
          <t>BO</t>
        </is>
      </c>
      <c r="F722" t="n">
        <v>21.8</v>
      </c>
      <c r="G722" t="n">
        <v>62</v>
      </c>
      <c r="H722" t="n">
        <v>19</v>
      </c>
      <c r="I722" t="inlineStr">
        <is>
          <t>L</t>
        </is>
      </c>
      <c r="J722" t="inlineStr">
        <is>
          <t>C</t>
        </is>
      </c>
      <c r="K722" t="inlineStr"/>
      <c r="L722" t="inlineStr"/>
      <c r="M722" s="30">
        <f>0.005454*F722^2</f>
        <v/>
      </c>
      <c r="N722" s="31">
        <f>IF(D722="BAF20",20/M722,100)</f>
        <v/>
      </c>
      <c r="O722" s="31">
        <f>M722*N722</f>
        <v/>
      </c>
      <c r="P722" s="32">
        <f>216.4*N722</f>
        <v/>
      </c>
    </row>
    <row r="723">
      <c r="A723" t="inlineStr">
        <is>
          <t>U2-08</t>
        </is>
      </c>
      <c r="B723" t="n">
        <v>2</v>
      </c>
      <c r="C723" t="n">
        <v>4</v>
      </c>
      <c r="D723" t="inlineStr">
        <is>
          <t>BAF20</t>
        </is>
      </c>
      <c r="E723" t="inlineStr">
        <is>
          <t>PP</t>
        </is>
      </c>
      <c r="F723" t="n">
        <v>22.2</v>
      </c>
      <c r="G723" t="n">
        <v>91</v>
      </c>
      <c r="H723" t="n">
        <v>5</v>
      </c>
      <c r="I723" t="inlineStr">
        <is>
          <t>L</t>
        </is>
      </c>
      <c r="J723" t="inlineStr">
        <is>
          <t>C</t>
        </is>
      </c>
      <c r="K723" t="inlineStr"/>
      <c r="L723" t="inlineStr"/>
      <c r="M723" s="30">
        <f>0.005454*F723^2</f>
        <v/>
      </c>
      <c r="N723" s="31">
        <f>IF(D723="BAF20",20/M723,100)</f>
        <v/>
      </c>
      <c r="O723" s="31">
        <f>M723*N723</f>
        <v/>
      </c>
      <c r="P723" s="32">
        <f>430.2*N723</f>
        <v/>
      </c>
    </row>
    <row r="724">
      <c r="A724" t="inlineStr">
        <is>
          <t>U2-08</t>
        </is>
      </c>
      <c r="B724" t="n">
        <v>2</v>
      </c>
      <c r="C724" t="n">
        <v>5</v>
      </c>
      <c r="D724" t="inlineStr">
        <is>
          <t>BAF20</t>
        </is>
      </c>
      <c r="E724" t="inlineStr">
        <is>
          <t>WF</t>
        </is>
      </c>
      <c r="F724" t="n">
        <v>14.8</v>
      </c>
      <c r="G724" t="n">
        <v>78</v>
      </c>
      <c r="H724" t="n">
        <v>100</v>
      </c>
      <c r="I724" t="inlineStr">
        <is>
          <t>D</t>
        </is>
      </c>
      <c r="J724" t="inlineStr">
        <is>
          <t>I</t>
        </is>
      </c>
      <c r="K724" t="inlineStr"/>
      <c r="L724" t="inlineStr"/>
      <c r="M724" s="30">
        <f>0.005454*F724^2</f>
        <v/>
      </c>
      <c r="N724" s="31">
        <f>IF(D724="BAF20",20/M724,100)</f>
        <v/>
      </c>
      <c r="O724" s="31">
        <f>M724*N724</f>
        <v/>
      </c>
      <c r="P724" s="32">
        <f>0.0*N724</f>
        <v/>
      </c>
    </row>
    <row r="725">
      <c r="A725" t="inlineStr">
        <is>
          <t>U2-08</t>
        </is>
      </c>
      <c r="B725" t="n">
        <v>2</v>
      </c>
      <c r="C725" t="n">
        <v>6</v>
      </c>
      <c r="D725" t="inlineStr">
        <is>
          <t>BAF20</t>
        </is>
      </c>
      <c r="E725" t="inlineStr">
        <is>
          <t>WF</t>
        </is>
      </c>
      <c r="F725" t="n">
        <v>37.7</v>
      </c>
      <c r="G725" t="n">
        <v>140</v>
      </c>
      <c r="H725" t="n">
        <v>1</v>
      </c>
      <c r="I725" t="inlineStr">
        <is>
          <t>L</t>
        </is>
      </c>
      <c r="J725" t="inlineStr">
        <is>
          <t>D</t>
        </is>
      </c>
      <c r="K725" t="inlineStr"/>
      <c r="L725" t="inlineStr"/>
      <c r="M725" s="30">
        <f>0.005454*F725^2</f>
        <v/>
      </c>
      <c r="N725" s="31">
        <f>IF(D725="BAF20",20/M725,100)</f>
        <v/>
      </c>
      <c r="O725" s="31">
        <f>M725*N725</f>
        <v/>
      </c>
      <c r="P725" s="32">
        <f>2517.9*N725</f>
        <v/>
      </c>
    </row>
    <row r="726">
      <c r="A726" t="inlineStr">
        <is>
          <t>U2-08</t>
        </is>
      </c>
      <c r="B726" t="n">
        <v>2</v>
      </c>
      <c r="C726" t="n">
        <v>7</v>
      </c>
      <c r="D726" t="inlineStr">
        <is>
          <t>BAF20</t>
        </is>
      </c>
      <c r="E726" t="inlineStr">
        <is>
          <t>BO</t>
        </is>
      </c>
      <c r="F726" t="n">
        <v>12.9</v>
      </c>
      <c r="G726" t="n">
        <v>54</v>
      </c>
      <c r="H726" t="n">
        <v>27</v>
      </c>
      <c r="I726" t="inlineStr">
        <is>
          <t>L</t>
        </is>
      </c>
      <c r="J726" t="inlineStr">
        <is>
          <t>S</t>
        </is>
      </c>
      <c r="K726" t="inlineStr"/>
      <c r="L726" t="inlineStr"/>
      <c r="M726" s="30">
        <f>0.005454*F726^2</f>
        <v/>
      </c>
      <c r="N726" s="31">
        <f>IF(D726="BAF20",20/M726,100)</f>
        <v/>
      </c>
      <c r="O726" s="31">
        <f>M726*N726</f>
        <v/>
      </c>
      <c r="P726" s="32">
        <f>49.7*N726</f>
        <v/>
      </c>
    </row>
    <row r="727">
      <c r="A727" t="inlineStr">
        <is>
          <t>U2-08</t>
        </is>
      </c>
      <c r="B727" t="n">
        <v>2</v>
      </c>
      <c r="C727" t="n">
        <v>8</v>
      </c>
      <c r="D727" t="inlineStr">
        <is>
          <t>BAF20</t>
        </is>
      </c>
      <c r="E727" t="inlineStr">
        <is>
          <t>IC</t>
        </is>
      </c>
      <c r="F727" t="n">
        <v>24.6</v>
      </c>
      <c r="G727" t="n">
        <v>87</v>
      </c>
      <c r="H727" t="n">
        <v>7</v>
      </c>
      <c r="I727" t="inlineStr">
        <is>
          <t>L</t>
        </is>
      </c>
      <c r="J727" t="inlineStr">
        <is>
          <t>C</t>
        </is>
      </c>
      <c r="K727" t="inlineStr"/>
      <c r="L727" t="inlineStr"/>
      <c r="M727" s="30">
        <f>0.005454*F727^2</f>
        <v/>
      </c>
      <c r="N727" s="31">
        <f>IF(D727="BAF20",20/M727,100)</f>
        <v/>
      </c>
      <c r="O727" s="31">
        <f>M727*N727</f>
        <v/>
      </c>
      <c r="P727" s="32">
        <f>516.2*N727</f>
        <v/>
      </c>
    </row>
    <row r="728">
      <c r="A728" t="inlineStr">
        <is>
          <t>U2-08</t>
        </is>
      </c>
      <c r="B728" t="n">
        <v>2</v>
      </c>
      <c r="C728" t="n">
        <v>9</v>
      </c>
      <c r="D728" t="inlineStr">
        <is>
          <t>BAF20</t>
        </is>
      </c>
      <c r="E728" t="inlineStr">
        <is>
          <t>BO</t>
        </is>
      </c>
      <c r="F728" t="n">
        <v>18</v>
      </c>
      <c r="G728" t="n">
        <v>61</v>
      </c>
      <c r="H728" t="n">
        <v>17</v>
      </c>
      <c r="I728" t="inlineStr">
        <is>
          <t>L</t>
        </is>
      </c>
      <c r="J728" t="inlineStr">
        <is>
          <t>I</t>
        </is>
      </c>
      <c r="K728" t="inlineStr"/>
      <c r="L728" t="inlineStr"/>
      <c r="M728" s="30">
        <f>0.005454*F728^2</f>
        <v/>
      </c>
      <c r="N728" s="31">
        <f>IF(D728="BAF20",20/M728,100)</f>
        <v/>
      </c>
      <c r="O728" s="31">
        <f>M728*N728</f>
        <v/>
      </c>
      <c r="P728" s="32">
        <f>138.3*N728</f>
        <v/>
      </c>
    </row>
    <row r="729">
      <c r="A729" t="inlineStr">
        <is>
          <t>U2-08</t>
        </is>
      </c>
      <c r="B729" t="n">
        <v>2</v>
      </c>
      <c r="C729" t="n">
        <v>10</v>
      </c>
      <c r="D729" t="inlineStr">
        <is>
          <t>BAF20</t>
        </is>
      </c>
      <c r="E729" t="inlineStr">
        <is>
          <t>PP</t>
        </is>
      </c>
      <c r="F729" t="n">
        <v>9.800000000000001</v>
      </c>
      <c r="G729" t="n">
        <v>51</v>
      </c>
      <c r="H729" t="n">
        <v>8</v>
      </c>
      <c r="I729" t="inlineStr">
        <is>
          <t>L</t>
        </is>
      </c>
      <c r="J729" t="inlineStr">
        <is>
          <t>S</t>
        </is>
      </c>
      <c r="K729" t="inlineStr">
        <is>
          <t>Y</t>
        </is>
      </c>
      <c r="L729" t="inlineStr"/>
      <c r="M729" s="30">
        <f>0.005454*F729^2</f>
        <v/>
      </c>
      <c r="N729" s="31">
        <f>IF(D729="BAF20",20/M729,100)</f>
        <v/>
      </c>
      <c r="O729" s="31">
        <f>M729*N729</f>
        <v/>
      </c>
      <c r="P729" s="32">
        <f>0.0*N729</f>
        <v/>
      </c>
    </row>
    <row r="730">
      <c r="A730" t="inlineStr">
        <is>
          <t>U2-08</t>
        </is>
      </c>
      <c r="B730" t="n">
        <v>2</v>
      </c>
      <c r="C730" t="n">
        <v>11</v>
      </c>
      <c r="D730" t="inlineStr">
        <is>
          <t>BAF20</t>
        </is>
      </c>
      <c r="E730" t="inlineStr">
        <is>
          <t>DF</t>
        </is>
      </c>
      <c r="F730" t="n">
        <v>11.6</v>
      </c>
      <c r="G730" t="n">
        <v>59</v>
      </c>
      <c r="H730" t="n">
        <v>7</v>
      </c>
      <c r="I730" t="inlineStr">
        <is>
          <t>L</t>
        </is>
      </c>
      <c r="J730" t="inlineStr">
        <is>
          <t>S</t>
        </is>
      </c>
      <c r="K730" t="inlineStr">
        <is>
          <t>Y</t>
        </is>
      </c>
      <c r="L730" t="inlineStr"/>
      <c r="M730" s="30">
        <f>0.005454*F730^2</f>
        <v/>
      </c>
      <c r="N730" s="31">
        <f>IF(D730="BAF20",20/M730,100)</f>
        <v/>
      </c>
      <c r="O730" s="31">
        <f>M730*N730</f>
        <v/>
      </c>
      <c r="P730" s="32">
        <f>60.0*N730</f>
        <v/>
      </c>
    </row>
    <row r="731">
      <c r="A731" t="inlineStr">
        <is>
          <t>U2-08</t>
        </is>
      </c>
      <c r="B731" t="n">
        <v>2</v>
      </c>
      <c r="C731" t="n">
        <v>12</v>
      </c>
      <c r="D731" t="inlineStr">
        <is>
          <t>BAF20</t>
        </is>
      </c>
      <c r="E731" t="inlineStr">
        <is>
          <t>IC</t>
        </is>
      </c>
      <c r="F731" t="n">
        <v>27.5</v>
      </c>
      <c r="G731" t="n">
        <v>83</v>
      </c>
      <c r="H731" t="n">
        <v>5</v>
      </c>
      <c r="I731" t="inlineStr">
        <is>
          <t>L</t>
        </is>
      </c>
      <c r="J731" t="inlineStr">
        <is>
          <t>D</t>
        </is>
      </c>
      <c r="K731" t="inlineStr"/>
      <c r="L731" t="inlineStr"/>
      <c r="M731" s="30">
        <f>0.005454*F731^2</f>
        <v/>
      </c>
      <c r="N731" s="31">
        <f>IF(D731="BAF20",20/M731,100)</f>
        <v/>
      </c>
      <c r="O731" s="31">
        <f>M731*N731</f>
        <v/>
      </c>
      <c r="P731" s="32">
        <f>660.8*N731</f>
        <v/>
      </c>
    </row>
    <row r="732">
      <c r="A732" t="inlineStr">
        <is>
          <t>U2-08</t>
        </is>
      </c>
      <c r="B732" t="n">
        <v>2</v>
      </c>
      <c r="C732" t="n">
        <v>13</v>
      </c>
      <c r="D732" t="inlineStr">
        <is>
          <t>BAF20</t>
        </is>
      </c>
      <c r="E732" t="inlineStr">
        <is>
          <t>PP</t>
        </is>
      </c>
      <c r="F732" t="n">
        <v>31.2</v>
      </c>
      <c r="G732" t="n">
        <v>114</v>
      </c>
      <c r="H732" t="n">
        <v>3</v>
      </c>
      <c r="I732" t="inlineStr">
        <is>
          <t>L</t>
        </is>
      </c>
      <c r="J732" t="inlineStr">
        <is>
          <t>D</t>
        </is>
      </c>
      <c r="K732" t="inlineStr"/>
      <c r="L732" t="inlineStr"/>
      <c r="M732" s="30">
        <f>0.005454*F732^2</f>
        <v/>
      </c>
      <c r="N732" s="31">
        <f>IF(D732="BAF20",20/M732,100)</f>
        <v/>
      </c>
      <c r="O732" s="31">
        <f>M732*N732</f>
        <v/>
      </c>
      <c r="P732" s="32">
        <f>1266.7*N732</f>
        <v/>
      </c>
    </row>
    <row r="733">
      <c r="A733" t="inlineStr">
        <is>
          <t>U2-08</t>
        </is>
      </c>
      <c r="B733" t="n">
        <v>2</v>
      </c>
      <c r="C733" t="n">
        <v>14</v>
      </c>
      <c r="D733" t="inlineStr">
        <is>
          <t>BAF20</t>
        </is>
      </c>
      <c r="E733" t="inlineStr">
        <is>
          <t>IC</t>
        </is>
      </c>
      <c r="F733" t="n">
        <v>12.2</v>
      </c>
      <c r="G733" t="n">
        <v>50</v>
      </c>
      <c r="H733" t="n">
        <v>13</v>
      </c>
      <c r="I733" t="inlineStr">
        <is>
          <t>L</t>
        </is>
      </c>
      <c r="J733" t="inlineStr">
        <is>
          <t>S</t>
        </is>
      </c>
      <c r="K733" t="inlineStr">
        <is>
          <t>Y</t>
        </is>
      </c>
      <c r="L733" t="inlineStr"/>
      <c r="M733" s="30">
        <f>0.005454*F733^2</f>
        <v/>
      </c>
      <c r="N733" s="31">
        <f>IF(D733="BAF20",20/M733,100)</f>
        <v/>
      </c>
      <c r="O733" s="31">
        <f>M733*N733</f>
        <v/>
      </c>
      <c r="P733" s="32">
        <f>53.4*N733</f>
        <v/>
      </c>
    </row>
    <row r="734">
      <c r="A734" t="inlineStr">
        <is>
          <t>U2-08</t>
        </is>
      </c>
      <c r="B734" t="n">
        <v>2</v>
      </c>
      <c r="C734" t="n">
        <v>15</v>
      </c>
      <c r="D734" t="inlineStr">
        <is>
          <t>FIX100</t>
        </is>
      </c>
      <c r="E734" t="inlineStr">
        <is>
          <t>IC</t>
        </is>
      </c>
      <c r="F734" t="n">
        <v>2.4</v>
      </c>
      <c r="G734" t="n">
        <v>13</v>
      </c>
      <c r="H734" t="n">
        <v>0</v>
      </c>
      <c r="I734" t="inlineStr">
        <is>
          <t>L</t>
        </is>
      </c>
      <c r="J734" t="inlineStr">
        <is>
          <t>S</t>
        </is>
      </c>
      <c r="K734" t="inlineStr"/>
      <c r="L734" t="inlineStr"/>
      <c r="M734" s="30">
        <f>0.005454*F734^2</f>
        <v/>
      </c>
      <c r="N734" s="31">
        <f>IF(D734="BAF20",20/M734,100)</f>
        <v/>
      </c>
      <c r="O734" s="31">
        <f>M734*N734</f>
        <v/>
      </c>
      <c r="P734" s="32">
        <f>0.0*N734</f>
        <v/>
      </c>
    </row>
    <row r="735">
      <c r="A735" t="inlineStr">
        <is>
          <t>U2-08</t>
        </is>
      </c>
      <c r="B735" t="n">
        <v>2</v>
      </c>
      <c r="C735" t="n">
        <v>16</v>
      </c>
      <c r="D735" t="inlineStr">
        <is>
          <t>FIX100</t>
        </is>
      </c>
      <c r="E735" t="inlineStr">
        <is>
          <t>IC</t>
        </is>
      </c>
      <c r="F735" t="n">
        <v>3.6</v>
      </c>
      <c r="G735" t="n">
        <v>15</v>
      </c>
      <c r="H735" t="n">
        <v>0</v>
      </c>
      <c r="I735" t="inlineStr">
        <is>
          <t>L</t>
        </is>
      </c>
      <c r="J735" t="inlineStr">
        <is>
          <t>S</t>
        </is>
      </c>
      <c r="K735" t="inlineStr"/>
      <c r="L735" t="inlineStr"/>
      <c r="M735" s="30">
        <f>0.005454*F735^2</f>
        <v/>
      </c>
      <c r="N735" s="31">
        <f>IF(D735="BAF20",20/M735,100)</f>
        <v/>
      </c>
      <c r="O735" s="31">
        <f>M735*N735</f>
        <v/>
      </c>
      <c r="P735" s="32">
        <f>0.0*N735</f>
        <v/>
      </c>
    </row>
    <row r="736">
      <c r="A736" t="inlineStr">
        <is>
          <t>U2-09</t>
        </is>
      </c>
      <c r="B736" t="n">
        <v>2</v>
      </c>
      <c r="C736" t="n">
        <v>1</v>
      </c>
      <c r="D736" t="inlineStr">
        <is>
          <t>BAF20</t>
        </is>
      </c>
      <c r="E736" t="inlineStr">
        <is>
          <t>WF</t>
        </is>
      </c>
      <c r="F736" t="n">
        <v>20.9</v>
      </c>
      <c r="G736" t="n">
        <v>99</v>
      </c>
      <c r="H736" t="n">
        <v>9</v>
      </c>
      <c r="I736" t="inlineStr">
        <is>
          <t>L</t>
        </is>
      </c>
      <c r="J736" t="inlineStr">
        <is>
          <t>C</t>
        </is>
      </c>
      <c r="K736" t="inlineStr"/>
      <c r="L736" t="inlineStr"/>
      <c r="M736" s="30">
        <f>0.005454*F736^2</f>
        <v/>
      </c>
      <c r="N736" s="31">
        <f>IF(D736="BAF20",20/M736,100)</f>
        <v/>
      </c>
      <c r="O736" s="31">
        <f>M736*N736</f>
        <v/>
      </c>
      <c r="P736" s="32">
        <f>387.9*N736</f>
        <v/>
      </c>
    </row>
    <row r="737">
      <c r="A737" t="inlineStr">
        <is>
          <t>U2-09</t>
        </is>
      </c>
      <c r="B737" t="n">
        <v>2</v>
      </c>
      <c r="C737" t="n">
        <v>2</v>
      </c>
      <c r="D737" t="inlineStr">
        <is>
          <t>BAF20</t>
        </is>
      </c>
      <c r="E737" t="inlineStr">
        <is>
          <t>DF</t>
        </is>
      </c>
      <c r="F737" t="n">
        <v>24.1</v>
      </c>
      <c r="G737" t="n">
        <v>114</v>
      </c>
      <c r="H737" t="n">
        <v>2</v>
      </c>
      <c r="I737" t="inlineStr">
        <is>
          <t>L</t>
        </is>
      </c>
      <c r="J737" t="inlineStr">
        <is>
          <t>C</t>
        </is>
      </c>
      <c r="K737" t="inlineStr"/>
      <c r="L737" t="inlineStr"/>
      <c r="M737" s="30">
        <f>0.005454*F737^2</f>
        <v/>
      </c>
      <c r="N737" s="31">
        <f>IF(D737="BAF20",20/M737,100)</f>
        <v/>
      </c>
      <c r="O737" s="31">
        <f>M737*N737</f>
        <v/>
      </c>
      <c r="P737" s="32">
        <f>678.1*N737</f>
        <v/>
      </c>
    </row>
    <row r="738">
      <c r="A738" t="inlineStr">
        <is>
          <t>U2-09</t>
        </is>
      </c>
      <c r="B738" t="n">
        <v>2</v>
      </c>
      <c r="C738" t="n">
        <v>3</v>
      </c>
      <c r="D738" t="inlineStr">
        <is>
          <t>BAF20</t>
        </is>
      </c>
      <c r="E738" t="inlineStr">
        <is>
          <t>PP</t>
        </is>
      </c>
      <c r="F738" t="n">
        <v>8.6</v>
      </c>
      <c r="G738" t="n">
        <v>45</v>
      </c>
      <c r="H738" t="n">
        <v>7</v>
      </c>
      <c r="I738" t="inlineStr">
        <is>
          <t>L</t>
        </is>
      </c>
      <c r="J738" t="inlineStr">
        <is>
          <t>S</t>
        </is>
      </c>
      <c r="K738" t="inlineStr">
        <is>
          <t>Y</t>
        </is>
      </c>
      <c r="L738" t="inlineStr"/>
      <c r="M738" s="30">
        <f>0.005454*F738^2</f>
        <v/>
      </c>
      <c r="N738" s="31">
        <f>IF(D738="BAF20",20/M738,100)</f>
        <v/>
      </c>
      <c r="O738" s="31">
        <f>M738*N738</f>
        <v/>
      </c>
      <c r="P738" s="32">
        <f>0.0*N738</f>
        <v/>
      </c>
    </row>
    <row r="739">
      <c r="A739" t="inlineStr">
        <is>
          <t>U2-09</t>
        </is>
      </c>
      <c r="B739" t="n">
        <v>2</v>
      </c>
      <c r="C739" t="n">
        <v>4</v>
      </c>
      <c r="D739" t="inlineStr">
        <is>
          <t>BAF20</t>
        </is>
      </c>
      <c r="E739" t="inlineStr">
        <is>
          <t>PP</t>
        </is>
      </c>
      <c r="F739" t="n">
        <v>33.4</v>
      </c>
      <c r="G739" t="n">
        <v>113</v>
      </c>
      <c r="H739" t="n">
        <v>6</v>
      </c>
      <c r="I739" t="inlineStr">
        <is>
          <t>L</t>
        </is>
      </c>
      <c r="J739" t="inlineStr">
        <is>
          <t>D</t>
        </is>
      </c>
      <c r="K739" t="inlineStr"/>
      <c r="L739" t="inlineStr"/>
      <c r="M739" s="30">
        <f>0.005454*F739^2</f>
        <v/>
      </c>
      <c r="N739" s="31">
        <f>IF(D739="BAF20",20/M739,100)</f>
        <v/>
      </c>
      <c r="O739" s="31">
        <f>M739*N739</f>
        <v/>
      </c>
      <c r="P739" s="32">
        <f>1442.8*N739</f>
        <v/>
      </c>
    </row>
    <row r="740">
      <c r="A740" t="inlineStr">
        <is>
          <t>U2-09</t>
        </is>
      </c>
      <c r="B740" t="n">
        <v>2</v>
      </c>
      <c r="C740" t="n">
        <v>5</v>
      </c>
      <c r="D740" t="inlineStr">
        <is>
          <t>BAF20</t>
        </is>
      </c>
      <c r="E740" t="inlineStr">
        <is>
          <t>IC</t>
        </is>
      </c>
      <c r="F740" t="n">
        <v>10.4</v>
      </c>
      <c r="G740" t="n">
        <v>43</v>
      </c>
      <c r="H740" t="n">
        <v>16</v>
      </c>
      <c r="I740" t="inlineStr">
        <is>
          <t>L</t>
        </is>
      </c>
      <c r="J740" t="inlineStr">
        <is>
          <t>S</t>
        </is>
      </c>
      <c r="K740" t="inlineStr">
        <is>
          <t>Y</t>
        </is>
      </c>
      <c r="L740" t="inlineStr"/>
      <c r="M740" s="30">
        <f>0.005454*F740^2</f>
        <v/>
      </c>
      <c r="N740" s="31">
        <f>IF(D740="BAF20",20/M740,100)</f>
        <v/>
      </c>
      <c r="O740" s="31">
        <f>M740*N740</f>
        <v/>
      </c>
      <c r="P740" s="32">
        <f>30.9*N740</f>
        <v/>
      </c>
    </row>
    <row r="741">
      <c r="A741" t="inlineStr">
        <is>
          <t>U2-09</t>
        </is>
      </c>
      <c r="B741" t="n">
        <v>2</v>
      </c>
      <c r="C741" t="n">
        <v>6</v>
      </c>
      <c r="D741" t="inlineStr">
        <is>
          <t>BAF20</t>
        </is>
      </c>
      <c r="E741" t="inlineStr">
        <is>
          <t>PP</t>
        </is>
      </c>
      <c r="F741" t="n">
        <v>5</v>
      </c>
      <c r="G741" t="n">
        <v>28</v>
      </c>
      <c r="H741" t="n">
        <v>17</v>
      </c>
      <c r="I741" t="inlineStr">
        <is>
          <t>L</t>
        </is>
      </c>
      <c r="J741" t="inlineStr">
        <is>
          <t>S</t>
        </is>
      </c>
      <c r="K741" t="inlineStr">
        <is>
          <t>Y</t>
        </is>
      </c>
      <c r="L741" t="inlineStr"/>
      <c r="M741" s="30">
        <f>0.005454*F741^2</f>
        <v/>
      </c>
      <c r="N741" s="31">
        <f>IF(D741="BAF20",20/M741,100)</f>
        <v/>
      </c>
      <c r="O741" s="31">
        <f>M741*N741</f>
        <v/>
      </c>
      <c r="P741" s="32">
        <f>0.0*N741</f>
        <v/>
      </c>
    </row>
    <row r="742">
      <c r="A742" t="inlineStr">
        <is>
          <t>U2-09</t>
        </is>
      </c>
      <c r="B742" t="n">
        <v>2</v>
      </c>
      <c r="C742" t="n">
        <v>7</v>
      </c>
      <c r="D742" t="inlineStr">
        <is>
          <t>BAF20</t>
        </is>
      </c>
      <c r="E742" t="inlineStr">
        <is>
          <t>PP</t>
        </is>
      </c>
      <c r="F742" t="n">
        <v>28.3</v>
      </c>
      <c r="G742" t="n">
        <v>85</v>
      </c>
      <c r="H742" t="n">
        <v>4</v>
      </c>
      <c r="I742" t="inlineStr">
        <is>
          <t>L</t>
        </is>
      </c>
      <c r="J742" t="inlineStr">
        <is>
          <t>D</t>
        </is>
      </c>
      <c r="K742" t="inlineStr"/>
      <c r="L742" t="inlineStr"/>
      <c r="M742" s="30">
        <f>0.005454*F742^2</f>
        <v/>
      </c>
      <c r="N742" s="31">
        <f>IF(D742="BAF20",20/M742,100)</f>
        <v/>
      </c>
      <c r="O742" s="31">
        <f>M742*N742</f>
        <v/>
      </c>
      <c r="P742" s="32">
        <f>733.9*N742</f>
        <v/>
      </c>
    </row>
    <row r="743">
      <c r="A743" t="inlineStr">
        <is>
          <t>U2-09</t>
        </is>
      </c>
      <c r="B743" t="n">
        <v>2</v>
      </c>
      <c r="C743" t="n">
        <v>8</v>
      </c>
      <c r="D743" t="inlineStr">
        <is>
          <t>BAF20</t>
        </is>
      </c>
      <c r="E743" t="inlineStr">
        <is>
          <t>IC</t>
        </is>
      </c>
      <c r="F743" t="n">
        <v>11.4</v>
      </c>
      <c r="G743" t="n">
        <v>44</v>
      </c>
      <c r="H743" t="n">
        <v>0</v>
      </c>
      <c r="I743" t="inlineStr">
        <is>
          <t>L</t>
        </is>
      </c>
      <c r="J743" t="inlineStr">
        <is>
          <t>S</t>
        </is>
      </c>
      <c r="K743" t="inlineStr">
        <is>
          <t>Y</t>
        </is>
      </c>
      <c r="L743" t="inlineStr"/>
      <c r="M743" s="30">
        <f>0.005454*F743^2</f>
        <v/>
      </c>
      <c r="N743" s="31">
        <f>IF(D743="BAF20",20/M743,100)</f>
        <v/>
      </c>
      <c r="O743" s="31">
        <f>M743*N743</f>
        <v/>
      </c>
      <c r="P743" s="32">
        <f>46.3*N743</f>
        <v/>
      </c>
    </row>
    <row r="744">
      <c r="A744" t="inlineStr">
        <is>
          <t>U2-09</t>
        </is>
      </c>
      <c r="B744" t="n">
        <v>2</v>
      </c>
      <c r="C744" t="n">
        <v>9</v>
      </c>
      <c r="D744" t="inlineStr">
        <is>
          <t>BAF20</t>
        </is>
      </c>
      <c r="E744" t="inlineStr">
        <is>
          <t>SP</t>
        </is>
      </c>
      <c r="F744" t="n">
        <v>12.2</v>
      </c>
      <c r="G744" t="n">
        <v>71</v>
      </c>
      <c r="H744" t="n">
        <v>3</v>
      </c>
      <c r="I744" t="inlineStr">
        <is>
          <t>L</t>
        </is>
      </c>
      <c r="J744" t="inlineStr">
        <is>
          <t>S</t>
        </is>
      </c>
      <c r="K744" t="inlineStr"/>
      <c r="L744" t="inlineStr"/>
      <c r="M744" s="30">
        <f>0.005454*F744^2</f>
        <v/>
      </c>
      <c r="N744" s="31">
        <f>IF(D744="BAF20",20/M744,100)</f>
        <v/>
      </c>
      <c r="O744" s="31">
        <f>M744*N744</f>
        <v/>
      </c>
      <c r="P744" s="32">
        <f>84.5*N744</f>
        <v/>
      </c>
    </row>
    <row r="745">
      <c r="A745" t="inlineStr">
        <is>
          <t>U2-09</t>
        </is>
      </c>
      <c r="B745" t="n">
        <v>2</v>
      </c>
      <c r="C745" t="n">
        <v>10</v>
      </c>
      <c r="D745" t="inlineStr">
        <is>
          <t>BAF20</t>
        </is>
      </c>
      <c r="E745" t="inlineStr">
        <is>
          <t>PP</t>
        </is>
      </c>
      <c r="F745" t="n">
        <v>40.4</v>
      </c>
      <c r="G745" t="n">
        <v>128</v>
      </c>
      <c r="H745" t="n">
        <v>12</v>
      </c>
      <c r="I745" t="inlineStr">
        <is>
          <t>L</t>
        </is>
      </c>
      <c r="J745" t="inlineStr">
        <is>
          <t>D</t>
        </is>
      </c>
      <c r="K745" t="inlineStr"/>
      <c r="L745" t="inlineStr"/>
      <c r="M745" s="30">
        <f>0.005454*F745^2</f>
        <v/>
      </c>
      <c r="N745" s="31">
        <f>IF(D745="BAF20",20/M745,100)</f>
        <v/>
      </c>
      <c r="O745" s="31">
        <f>M745*N745</f>
        <v/>
      </c>
      <c r="P745" s="32">
        <f>2349.9*N745</f>
        <v/>
      </c>
    </row>
    <row r="746">
      <c r="A746" t="inlineStr">
        <is>
          <t>U2-09</t>
        </is>
      </c>
      <c r="B746" t="n">
        <v>2</v>
      </c>
      <c r="C746" t="n">
        <v>11</v>
      </c>
      <c r="D746" t="inlineStr">
        <is>
          <t>BAF20</t>
        </is>
      </c>
      <c r="E746" t="inlineStr">
        <is>
          <t>PP</t>
        </is>
      </c>
      <c r="F746" t="n">
        <v>21.7</v>
      </c>
      <c r="G746" t="n">
        <v>102</v>
      </c>
      <c r="H746" t="n">
        <v>11</v>
      </c>
      <c r="I746" t="inlineStr">
        <is>
          <t>L</t>
        </is>
      </c>
      <c r="J746" t="inlineStr">
        <is>
          <t>C</t>
        </is>
      </c>
      <c r="K746" t="inlineStr"/>
      <c r="L746" t="inlineStr"/>
      <c r="M746" s="30">
        <f>0.005454*F746^2</f>
        <v/>
      </c>
      <c r="N746" s="31">
        <f>IF(D746="BAF20",20/M746,100)</f>
        <v/>
      </c>
      <c r="O746" s="31">
        <f>M746*N746</f>
        <v/>
      </c>
      <c r="P746" s="32">
        <f>427.7*N746</f>
        <v/>
      </c>
    </row>
    <row r="747">
      <c r="A747" t="inlineStr">
        <is>
          <t>U2-09</t>
        </is>
      </c>
      <c r="B747" t="n">
        <v>2</v>
      </c>
      <c r="C747" t="n">
        <v>12</v>
      </c>
      <c r="D747" t="inlineStr">
        <is>
          <t>BAF20</t>
        </is>
      </c>
      <c r="E747" t="inlineStr">
        <is>
          <t>BO</t>
        </is>
      </c>
      <c r="F747" t="n">
        <v>8.9</v>
      </c>
      <c r="G747" t="n">
        <v>36</v>
      </c>
      <c r="H747" t="n">
        <v>9</v>
      </c>
      <c r="I747" t="inlineStr">
        <is>
          <t>L</t>
        </is>
      </c>
      <c r="J747" t="inlineStr">
        <is>
          <t>S</t>
        </is>
      </c>
      <c r="K747" t="inlineStr">
        <is>
          <t>Y</t>
        </is>
      </c>
      <c r="L747" t="inlineStr"/>
      <c r="M747" s="30">
        <f>0.005454*F747^2</f>
        <v/>
      </c>
      <c r="N747" s="31">
        <f>IF(D747="BAF20",20/M747,100)</f>
        <v/>
      </c>
      <c r="O747" s="31">
        <f>M747*N747</f>
        <v/>
      </c>
      <c r="P747" s="32">
        <f>0.0*N747</f>
        <v/>
      </c>
    </row>
    <row r="748">
      <c r="A748" t="inlineStr">
        <is>
          <t>U2-09</t>
        </is>
      </c>
      <c r="B748" t="n">
        <v>2</v>
      </c>
      <c r="C748" t="n">
        <v>13</v>
      </c>
      <c r="D748" t="inlineStr">
        <is>
          <t>BAF20</t>
        </is>
      </c>
      <c r="E748" t="inlineStr">
        <is>
          <t>IC</t>
        </is>
      </c>
      <c r="F748" t="n">
        <v>11.7</v>
      </c>
      <c r="G748" t="n">
        <v>51</v>
      </c>
      <c r="H748" t="n">
        <v>14</v>
      </c>
      <c r="I748" t="inlineStr">
        <is>
          <t>L</t>
        </is>
      </c>
      <c r="J748" t="inlineStr">
        <is>
          <t>S</t>
        </is>
      </c>
      <c r="K748" t="inlineStr">
        <is>
          <t>Y</t>
        </is>
      </c>
      <c r="L748" t="inlineStr"/>
      <c r="M748" s="30">
        <f>0.005454*F748^2</f>
        <v/>
      </c>
      <c r="N748" s="31">
        <f>IF(D748="BAF20",20/M748,100)</f>
        <v/>
      </c>
      <c r="O748" s="31">
        <f>M748*N748</f>
        <v/>
      </c>
      <c r="P748" s="32">
        <f>48.9*N748</f>
        <v/>
      </c>
    </row>
    <row r="749">
      <c r="A749" t="inlineStr">
        <is>
          <t>U2-09</t>
        </is>
      </c>
      <c r="B749" t="n">
        <v>2</v>
      </c>
      <c r="C749" t="n">
        <v>14</v>
      </c>
      <c r="D749" t="inlineStr">
        <is>
          <t>FIX100</t>
        </is>
      </c>
      <c r="E749" t="inlineStr">
        <is>
          <t>IC</t>
        </is>
      </c>
      <c r="F749" t="n">
        <v>2.1</v>
      </c>
      <c r="G749" t="n">
        <v>13</v>
      </c>
      <c r="H749" t="n">
        <v>0</v>
      </c>
      <c r="I749" t="inlineStr">
        <is>
          <t>L</t>
        </is>
      </c>
      <c r="J749" t="inlineStr">
        <is>
          <t>S</t>
        </is>
      </c>
      <c r="K749" t="inlineStr"/>
      <c r="L749" t="inlineStr"/>
      <c r="M749" s="30">
        <f>0.005454*F749^2</f>
        <v/>
      </c>
      <c r="N749" s="31">
        <f>IF(D749="BAF20",20/M749,100)</f>
        <v/>
      </c>
      <c r="O749" s="31">
        <f>M749*N749</f>
        <v/>
      </c>
      <c r="P749" s="32">
        <f>0.0*N749</f>
        <v/>
      </c>
    </row>
    <row r="750">
      <c r="A750" t="inlineStr">
        <is>
          <t>U2-09</t>
        </is>
      </c>
      <c r="B750" t="n">
        <v>2</v>
      </c>
      <c r="C750" t="n">
        <v>15</v>
      </c>
      <c r="D750" t="inlineStr">
        <is>
          <t>FIX100</t>
        </is>
      </c>
      <c r="E750" t="inlineStr">
        <is>
          <t>PP</t>
        </is>
      </c>
      <c r="F750" t="n">
        <v>2.6</v>
      </c>
      <c r="G750" t="n">
        <v>15</v>
      </c>
      <c r="H750" t="n">
        <v>0</v>
      </c>
      <c r="I750" t="inlineStr">
        <is>
          <t>L</t>
        </is>
      </c>
      <c r="J750" t="inlineStr">
        <is>
          <t>S</t>
        </is>
      </c>
      <c r="K750" t="inlineStr"/>
      <c r="L750" t="inlineStr"/>
      <c r="M750" s="30">
        <f>0.005454*F750^2</f>
        <v/>
      </c>
      <c r="N750" s="31">
        <f>IF(D750="BAF20",20/M750,100)</f>
        <v/>
      </c>
      <c r="O750" s="31">
        <f>M750*N750</f>
        <v/>
      </c>
      <c r="P750" s="32">
        <f>0.0*N750</f>
        <v/>
      </c>
    </row>
    <row r="751">
      <c r="A751" t="inlineStr">
        <is>
          <t>U2-10</t>
        </is>
      </c>
      <c r="B751" t="n">
        <v>2</v>
      </c>
      <c r="C751" t="n">
        <v>1</v>
      </c>
      <c r="D751" t="inlineStr">
        <is>
          <t>BAF20</t>
        </is>
      </c>
      <c r="E751" t="inlineStr">
        <is>
          <t>PP</t>
        </is>
      </c>
      <c r="F751" t="n">
        <v>8.800000000000001</v>
      </c>
      <c r="G751" t="n">
        <v>48</v>
      </c>
      <c r="H751" t="n">
        <v>3</v>
      </c>
      <c r="I751" t="inlineStr">
        <is>
          <t>L</t>
        </is>
      </c>
      <c r="J751" t="inlineStr">
        <is>
          <t>S</t>
        </is>
      </c>
      <c r="K751" t="inlineStr">
        <is>
          <t>Y</t>
        </is>
      </c>
      <c r="L751" t="inlineStr"/>
      <c r="M751" s="30">
        <f>0.005454*F751^2</f>
        <v/>
      </c>
      <c r="N751" s="31">
        <f>IF(D751="BAF20",20/M751,100)</f>
        <v/>
      </c>
      <c r="O751" s="31">
        <f>M751*N751</f>
        <v/>
      </c>
      <c r="P751" s="32">
        <f>0.0*N751</f>
        <v/>
      </c>
    </row>
    <row r="752">
      <c r="A752" t="inlineStr">
        <is>
          <t>U2-10</t>
        </is>
      </c>
      <c r="B752" t="n">
        <v>2</v>
      </c>
      <c r="C752" t="n">
        <v>2</v>
      </c>
      <c r="D752" t="inlineStr">
        <is>
          <t>BAF20</t>
        </is>
      </c>
      <c r="E752" t="inlineStr">
        <is>
          <t>DF</t>
        </is>
      </c>
      <c r="F752" t="n">
        <v>21.2</v>
      </c>
      <c r="G752" t="n">
        <v>98</v>
      </c>
      <c r="H752" t="n">
        <v>2</v>
      </c>
      <c r="I752" t="inlineStr">
        <is>
          <t>L</t>
        </is>
      </c>
      <c r="J752" t="inlineStr">
        <is>
          <t>C</t>
        </is>
      </c>
      <c r="K752" t="inlineStr"/>
      <c r="L752" t="inlineStr"/>
      <c r="M752" s="30">
        <f>0.005454*F752^2</f>
        <v/>
      </c>
      <c r="N752" s="31">
        <f>IF(D752="BAF20",20/M752,100)</f>
        <v/>
      </c>
      <c r="O752" s="31">
        <f>M752*N752</f>
        <v/>
      </c>
      <c r="P752" s="32">
        <f>427.9*N752</f>
        <v/>
      </c>
    </row>
    <row r="753">
      <c r="A753" t="inlineStr">
        <is>
          <t>U2-10</t>
        </is>
      </c>
      <c r="B753" t="n">
        <v>2</v>
      </c>
      <c r="C753" t="n">
        <v>3</v>
      </c>
      <c r="D753" t="inlineStr">
        <is>
          <t>BAF20</t>
        </is>
      </c>
      <c r="E753" t="inlineStr">
        <is>
          <t>IC</t>
        </is>
      </c>
      <c r="F753" t="n">
        <v>16.7</v>
      </c>
      <c r="G753" t="n">
        <v>61</v>
      </c>
      <c r="H753" t="n">
        <v>3</v>
      </c>
      <c r="I753" t="inlineStr">
        <is>
          <t>L</t>
        </is>
      </c>
      <c r="J753" t="inlineStr">
        <is>
          <t>I</t>
        </is>
      </c>
      <c r="K753" t="inlineStr"/>
      <c r="L753" t="inlineStr"/>
      <c r="M753" s="30">
        <f>0.005454*F753^2</f>
        <v/>
      </c>
      <c r="N753" s="31">
        <f>IF(D753="BAF20",20/M753,100)</f>
        <v/>
      </c>
      <c r="O753" s="31">
        <f>M753*N753</f>
        <v/>
      </c>
      <c r="P753" s="32">
        <f>149.8*N753</f>
        <v/>
      </c>
    </row>
    <row r="754">
      <c r="A754" t="inlineStr">
        <is>
          <t>U2-10</t>
        </is>
      </c>
      <c r="B754" t="n">
        <v>2</v>
      </c>
      <c r="C754" t="n">
        <v>4</v>
      </c>
      <c r="D754" t="inlineStr">
        <is>
          <t>BAF20</t>
        </is>
      </c>
      <c r="E754" t="inlineStr">
        <is>
          <t>IC</t>
        </is>
      </c>
      <c r="F754" t="n">
        <v>7.2</v>
      </c>
      <c r="G754" t="n">
        <v>29</v>
      </c>
      <c r="H754" t="n">
        <v>15</v>
      </c>
      <c r="I754" t="inlineStr">
        <is>
          <t>L</t>
        </is>
      </c>
      <c r="J754" t="inlineStr">
        <is>
          <t>S</t>
        </is>
      </c>
      <c r="K754" t="inlineStr">
        <is>
          <t>Y</t>
        </is>
      </c>
      <c r="L754" t="inlineStr"/>
      <c r="M754" s="30">
        <f>0.005454*F754^2</f>
        <v/>
      </c>
      <c r="N754" s="31">
        <f>IF(D754="BAF20",20/M754,100)</f>
        <v/>
      </c>
      <c r="O754" s="31">
        <f>M754*N754</f>
        <v/>
      </c>
      <c r="P754" s="32">
        <f>0.0*N754</f>
        <v/>
      </c>
    </row>
    <row r="755">
      <c r="A755" t="inlineStr">
        <is>
          <t>U2-10</t>
        </is>
      </c>
      <c r="B755" t="n">
        <v>2</v>
      </c>
      <c r="C755" t="n">
        <v>5</v>
      </c>
      <c r="D755" t="inlineStr">
        <is>
          <t>BAF20</t>
        </is>
      </c>
      <c r="E755" t="inlineStr">
        <is>
          <t>BO</t>
        </is>
      </c>
      <c r="F755" t="n">
        <v>14.5</v>
      </c>
      <c r="G755" t="n">
        <v>51</v>
      </c>
      <c r="H755" t="n">
        <v>18</v>
      </c>
      <c r="I755" t="inlineStr">
        <is>
          <t>L</t>
        </is>
      </c>
      <c r="J755" t="inlineStr">
        <is>
          <t>I</t>
        </is>
      </c>
      <c r="K755" t="inlineStr"/>
      <c r="L755" t="inlineStr"/>
      <c r="M755" s="30">
        <f>0.005454*F755^2</f>
        <v/>
      </c>
      <c r="N755" s="31">
        <f>IF(D755="BAF20",20/M755,100)</f>
        <v/>
      </c>
      <c r="O755" s="31">
        <f>M755*N755</f>
        <v/>
      </c>
      <c r="P755" s="32">
        <f>69.0*N755</f>
        <v/>
      </c>
    </row>
    <row r="756">
      <c r="A756" t="inlineStr">
        <is>
          <t>U2-10</t>
        </is>
      </c>
      <c r="B756" t="n">
        <v>2</v>
      </c>
      <c r="C756" t="n">
        <v>6</v>
      </c>
      <c r="D756" t="inlineStr">
        <is>
          <t>BAF20</t>
        </is>
      </c>
      <c r="E756" t="inlineStr">
        <is>
          <t>PP</t>
        </is>
      </c>
      <c r="F756" t="n">
        <v>17.9</v>
      </c>
      <c r="G756" t="n">
        <v>87</v>
      </c>
      <c r="H756" t="n">
        <v>2</v>
      </c>
      <c r="I756" t="inlineStr">
        <is>
          <t>L</t>
        </is>
      </c>
      <c r="J756" t="inlineStr">
        <is>
          <t>I</t>
        </is>
      </c>
      <c r="K756" t="inlineStr"/>
      <c r="L756" t="inlineStr"/>
      <c r="M756" s="30">
        <f>0.005454*F756^2</f>
        <v/>
      </c>
      <c r="N756" s="31">
        <f>IF(D756="BAF20",20/M756,100)</f>
        <v/>
      </c>
      <c r="O756" s="31">
        <f>M756*N756</f>
        <v/>
      </c>
      <c r="P756" s="32">
        <f>254.1*N756</f>
        <v/>
      </c>
    </row>
    <row r="757">
      <c r="A757" t="inlineStr">
        <is>
          <t>U2-10</t>
        </is>
      </c>
      <c r="B757" t="n">
        <v>2</v>
      </c>
      <c r="C757" t="n">
        <v>7</v>
      </c>
      <c r="D757" t="inlineStr">
        <is>
          <t>BAF20</t>
        </is>
      </c>
      <c r="E757" t="inlineStr">
        <is>
          <t>PP</t>
        </is>
      </c>
      <c r="F757" t="n">
        <v>7.8</v>
      </c>
      <c r="G757" t="n">
        <v>42</v>
      </c>
      <c r="H757" t="n">
        <v>4</v>
      </c>
      <c r="I757" t="inlineStr">
        <is>
          <t>L</t>
        </is>
      </c>
      <c r="J757" t="inlineStr">
        <is>
          <t>S</t>
        </is>
      </c>
      <c r="K757" t="inlineStr">
        <is>
          <t>Y</t>
        </is>
      </c>
      <c r="L757" t="inlineStr"/>
      <c r="M757" s="30">
        <f>0.005454*F757^2</f>
        <v/>
      </c>
      <c r="N757" s="31">
        <f>IF(D757="BAF20",20/M757,100)</f>
        <v/>
      </c>
      <c r="O757" s="31">
        <f>M757*N757</f>
        <v/>
      </c>
      <c r="P757" s="32">
        <f>0.0*N757</f>
        <v/>
      </c>
    </row>
    <row r="758">
      <c r="A758" t="inlineStr">
        <is>
          <t>U2-10</t>
        </is>
      </c>
      <c r="B758" t="n">
        <v>2</v>
      </c>
      <c r="C758" t="n">
        <v>8</v>
      </c>
      <c r="D758" t="inlineStr">
        <is>
          <t>BAF20</t>
        </is>
      </c>
      <c r="E758" t="inlineStr">
        <is>
          <t>IC</t>
        </is>
      </c>
      <c r="F758" t="n">
        <v>24.4</v>
      </c>
      <c r="G758" t="n">
        <v>87</v>
      </c>
      <c r="H758" t="n">
        <v>7</v>
      </c>
      <c r="I758" t="inlineStr">
        <is>
          <t>L</t>
        </is>
      </c>
      <c r="J758" t="inlineStr">
        <is>
          <t>C</t>
        </is>
      </c>
      <c r="K758" t="inlineStr"/>
      <c r="L758" t="inlineStr"/>
      <c r="M758" s="30">
        <f>0.005454*F758^2</f>
        <v/>
      </c>
      <c r="N758" s="31">
        <f>IF(D758="BAF20",20/M758,100)</f>
        <v/>
      </c>
      <c r="O758" s="31">
        <f>M758*N758</f>
        <v/>
      </c>
      <c r="P758" s="32">
        <f>506.1*N758</f>
        <v/>
      </c>
    </row>
    <row r="759">
      <c r="A759" t="inlineStr">
        <is>
          <t>U2-10</t>
        </is>
      </c>
      <c r="B759" t="n">
        <v>2</v>
      </c>
      <c r="C759" t="n">
        <v>9</v>
      </c>
      <c r="D759" t="inlineStr">
        <is>
          <t>BAF20</t>
        </is>
      </c>
      <c r="E759" t="inlineStr">
        <is>
          <t>WF</t>
        </is>
      </c>
      <c r="F759" t="n">
        <v>26.2</v>
      </c>
      <c r="G759" t="n">
        <v>114</v>
      </c>
      <c r="H759" t="n">
        <v>5</v>
      </c>
      <c r="I759" t="inlineStr">
        <is>
          <t>L</t>
        </is>
      </c>
      <c r="J759" t="inlineStr">
        <is>
          <t>D</t>
        </is>
      </c>
      <c r="K759" t="inlineStr"/>
      <c r="L759" t="inlineStr"/>
      <c r="M759" s="30">
        <f>0.005454*F759^2</f>
        <v/>
      </c>
      <c r="N759" s="31">
        <f>IF(D759="BAF20",20/M759,100)</f>
        <v/>
      </c>
      <c r="O759" s="31">
        <f>M759*N759</f>
        <v/>
      </c>
      <c r="P759" s="32">
        <f>805.9*N759</f>
        <v/>
      </c>
    </row>
    <row r="760">
      <c r="A760" t="inlineStr">
        <is>
          <t>U2-10</t>
        </is>
      </c>
      <c r="B760" t="n">
        <v>2</v>
      </c>
      <c r="C760" t="n">
        <v>10</v>
      </c>
      <c r="D760" t="inlineStr">
        <is>
          <t>BAF20</t>
        </is>
      </c>
      <c r="E760" t="inlineStr">
        <is>
          <t>BO</t>
        </is>
      </c>
      <c r="F760" t="n">
        <v>7.5</v>
      </c>
      <c r="G760" t="n">
        <v>34</v>
      </c>
      <c r="H760" t="n">
        <v>27</v>
      </c>
      <c r="I760" t="inlineStr">
        <is>
          <t>L</t>
        </is>
      </c>
      <c r="J760" t="inlineStr">
        <is>
          <t>S</t>
        </is>
      </c>
      <c r="K760" t="inlineStr">
        <is>
          <t>Y</t>
        </is>
      </c>
      <c r="L760" t="inlineStr"/>
      <c r="M760" s="30">
        <f>0.005454*F760^2</f>
        <v/>
      </c>
      <c r="N760" s="31">
        <f>IF(D760="BAF20",20/M760,100)</f>
        <v/>
      </c>
      <c r="O760" s="31">
        <f>M760*N760</f>
        <v/>
      </c>
      <c r="P760" s="32">
        <f>0.0*N760</f>
        <v/>
      </c>
    </row>
    <row r="761">
      <c r="A761" t="inlineStr">
        <is>
          <t>U2-10</t>
        </is>
      </c>
      <c r="B761" t="n">
        <v>2</v>
      </c>
      <c r="C761" t="n">
        <v>11</v>
      </c>
      <c r="D761" t="inlineStr">
        <is>
          <t>BAF20</t>
        </is>
      </c>
      <c r="E761" t="inlineStr">
        <is>
          <t>BO</t>
        </is>
      </c>
      <c r="F761" t="n">
        <v>10.8</v>
      </c>
      <c r="G761" t="n">
        <v>37</v>
      </c>
      <c r="H761" t="n">
        <v>7</v>
      </c>
      <c r="I761" t="inlineStr">
        <is>
          <t>L</t>
        </is>
      </c>
      <c r="J761" t="inlineStr">
        <is>
          <t>S</t>
        </is>
      </c>
      <c r="K761" t="inlineStr">
        <is>
          <t>Y</t>
        </is>
      </c>
      <c r="L761" t="inlineStr"/>
      <c r="M761" s="30">
        <f>0.005454*F761^2</f>
        <v/>
      </c>
      <c r="N761" s="31">
        <f>IF(D761="BAF20",20/M761,100)</f>
        <v/>
      </c>
      <c r="O761" s="31">
        <f>M761*N761</f>
        <v/>
      </c>
      <c r="P761" s="32">
        <f>29.0*N761</f>
        <v/>
      </c>
    </row>
    <row r="762">
      <c r="A762" t="inlineStr">
        <is>
          <t>U2-10</t>
        </is>
      </c>
      <c r="B762" t="n">
        <v>2</v>
      </c>
      <c r="C762" t="n">
        <v>12</v>
      </c>
      <c r="D762" t="inlineStr">
        <is>
          <t>BAF20</t>
        </is>
      </c>
      <c r="E762" t="inlineStr">
        <is>
          <t>IC</t>
        </is>
      </c>
      <c r="F762" t="n">
        <v>16.2</v>
      </c>
      <c r="G762" t="n">
        <v>67</v>
      </c>
      <c r="H762" t="n">
        <v>6</v>
      </c>
      <c r="I762" t="inlineStr">
        <is>
          <t>L</t>
        </is>
      </c>
      <c r="J762" t="inlineStr">
        <is>
          <t>I</t>
        </is>
      </c>
      <c r="K762" t="inlineStr"/>
      <c r="L762" t="inlineStr"/>
      <c r="M762" s="30">
        <f>0.005454*F762^2</f>
        <v/>
      </c>
      <c r="N762" s="31">
        <f>IF(D762="BAF20",20/M762,100)</f>
        <v/>
      </c>
      <c r="O762" s="31">
        <f>M762*N762</f>
        <v/>
      </c>
      <c r="P762" s="32">
        <f>148.5*N762</f>
        <v/>
      </c>
    </row>
    <row r="763">
      <c r="A763" t="inlineStr">
        <is>
          <t>U2-10</t>
        </is>
      </c>
      <c r="B763" t="n">
        <v>2</v>
      </c>
      <c r="C763" t="n">
        <v>13</v>
      </c>
      <c r="D763" t="inlineStr">
        <is>
          <t>BAF20</t>
        </is>
      </c>
      <c r="E763" t="inlineStr">
        <is>
          <t>IC</t>
        </is>
      </c>
      <c r="F763" t="n">
        <v>9.699999999999999</v>
      </c>
      <c r="G763" t="n">
        <v>43</v>
      </c>
      <c r="H763" t="n">
        <v>1</v>
      </c>
      <c r="I763" t="inlineStr">
        <is>
          <t>L</t>
        </is>
      </c>
      <c r="J763" t="inlineStr">
        <is>
          <t>S</t>
        </is>
      </c>
      <c r="K763" t="inlineStr">
        <is>
          <t>Y</t>
        </is>
      </c>
      <c r="L763" t="inlineStr"/>
      <c r="M763" s="30">
        <f>0.005454*F763^2</f>
        <v/>
      </c>
      <c r="N763" s="31">
        <f>IF(D763="BAF20",20/M763,100)</f>
        <v/>
      </c>
      <c r="O763" s="31">
        <f>M763*N763</f>
        <v/>
      </c>
      <c r="P763" s="32">
        <f>0.0*N763</f>
        <v/>
      </c>
    </row>
    <row r="764">
      <c r="A764" t="inlineStr">
        <is>
          <t>U2-10</t>
        </is>
      </c>
      <c r="B764" t="n">
        <v>2</v>
      </c>
      <c r="C764" t="n">
        <v>14</v>
      </c>
      <c r="D764" t="inlineStr">
        <is>
          <t>FIX100</t>
        </is>
      </c>
      <c r="E764" t="inlineStr">
        <is>
          <t>PP</t>
        </is>
      </c>
      <c r="F764" t="n">
        <v>4.8</v>
      </c>
      <c r="G764" t="n">
        <v>24</v>
      </c>
      <c r="H764" t="n">
        <v>0</v>
      </c>
      <c r="I764" t="inlineStr">
        <is>
          <t>L</t>
        </is>
      </c>
      <c r="J764" t="inlineStr">
        <is>
          <t>S</t>
        </is>
      </c>
      <c r="K764" t="inlineStr"/>
      <c r="L764" t="inlineStr"/>
      <c r="M764" s="30">
        <f>0.005454*F764^2</f>
        <v/>
      </c>
      <c r="N764" s="31">
        <f>IF(D764="BAF20",20/M764,100)</f>
        <v/>
      </c>
      <c r="O764" s="31">
        <f>M764*N764</f>
        <v/>
      </c>
      <c r="P764" s="32">
        <f>0.0*N764</f>
        <v/>
      </c>
    </row>
    <row r="765">
      <c r="A765" t="inlineStr">
        <is>
          <t>U2-10</t>
        </is>
      </c>
      <c r="B765" t="n">
        <v>2</v>
      </c>
      <c r="C765" t="n">
        <v>15</v>
      </c>
      <c r="D765" t="inlineStr">
        <is>
          <t>FIX100</t>
        </is>
      </c>
      <c r="E765" t="inlineStr">
        <is>
          <t>DF</t>
        </is>
      </c>
      <c r="F765" t="n">
        <v>2.2</v>
      </c>
      <c r="G765" t="n">
        <v>15</v>
      </c>
      <c r="H765" t="n">
        <v>0</v>
      </c>
      <c r="I765" t="inlineStr">
        <is>
          <t>L</t>
        </is>
      </c>
      <c r="J765" t="inlineStr">
        <is>
          <t>S</t>
        </is>
      </c>
      <c r="K765" t="inlineStr"/>
      <c r="L765" t="inlineStr"/>
      <c r="M765" s="30">
        <f>0.005454*F765^2</f>
        <v/>
      </c>
      <c r="N765" s="31">
        <f>IF(D765="BAF20",20/M765,100)</f>
        <v/>
      </c>
      <c r="O765" s="31">
        <f>M765*N765</f>
        <v/>
      </c>
      <c r="P765" s="32">
        <f>0.0*N765</f>
        <v/>
      </c>
    </row>
    <row r="766">
      <c r="A766" t="inlineStr">
        <is>
          <t>U2-10</t>
        </is>
      </c>
      <c r="B766" t="n">
        <v>2</v>
      </c>
      <c r="C766" t="n">
        <v>16</v>
      </c>
      <c r="D766" t="inlineStr">
        <is>
          <t>FIX100</t>
        </is>
      </c>
      <c r="E766" t="inlineStr">
        <is>
          <t>PP</t>
        </is>
      </c>
      <c r="F766" t="n">
        <v>3.8</v>
      </c>
      <c r="G766" t="n">
        <v>24</v>
      </c>
      <c r="H766" t="n">
        <v>0</v>
      </c>
      <c r="I766" t="inlineStr">
        <is>
          <t>L</t>
        </is>
      </c>
      <c r="J766" t="inlineStr">
        <is>
          <t>S</t>
        </is>
      </c>
      <c r="K766" t="inlineStr"/>
      <c r="L766" t="inlineStr"/>
      <c r="M766" s="30">
        <f>0.005454*F766^2</f>
        <v/>
      </c>
      <c r="N766" s="31">
        <f>IF(D766="BAF20",20/M766,100)</f>
        <v/>
      </c>
      <c r="O766" s="31">
        <f>M766*N766</f>
        <v/>
      </c>
      <c r="P766" s="32">
        <f>0.0*N766</f>
        <v/>
      </c>
    </row>
    <row r="767">
      <c r="A767" t="inlineStr">
        <is>
          <t>U2-11</t>
        </is>
      </c>
      <c r="B767" t="n">
        <v>2</v>
      </c>
      <c r="C767" t="n">
        <v>1</v>
      </c>
      <c r="D767" t="inlineStr">
        <is>
          <t>BAF20</t>
        </is>
      </c>
      <c r="E767" t="inlineStr">
        <is>
          <t>IC</t>
        </is>
      </c>
      <c r="F767" t="n">
        <v>32.1</v>
      </c>
      <c r="G767" t="n">
        <v>92</v>
      </c>
      <c r="H767" t="n">
        <v>3</v>
      </c>
      <c r="I767" t="inlineStr">
        <is>
          <t>L</t>
        </is>
      </c>
      <c r="J767" t="inlineStr">
        <is>
          <t>D</t>
        </is>
      </c>
      <c r="K767" t="inlineStr"/>
      <c r="L767" t="inlineStr"/>
      <c r="M767" s="30">
        <f>0.005454*F767^2</f>
        <v/>
      </c>
      <c r="N767" s="31">
        <f>IF(D767="BAF20",20/M767,100)</f>
        <v/>
      </c>
      <c r="O767" s="31">
        <f>M767*N767</f>
        <v/>
      </c>
      <c r="P767" s="32">
        <f>1097.4*N767</f>
        <v/>
      </c>
    </row>
    <row r="768">
      <c r="A768" t="inlineStr">
        <is>
          <t>U2-11</t>
        </is>
      </c>
      <c r="B768" t="n">
        <v>2</v>
      </c>
      <c r="C768" t="n">
        <v>2</v>
      </c>
      <c r="D768" t="inlineStr">
        <is>
          <t>BAF20</t>
        </is>
      </c>
      <c r="E768" t="inlineStr">
        <is>
          <t>PP</t>
        </is>
      </c>
      <c r="F768" t="n">
        <v>51.2</v>
      </c>
      <c r="G768" t="n">
        <v>139</v>
      </c>
      <c r="H768" t="n">
        <v>3</v>
      </c>
      <c r="I768" t="inlineStr">
        <is>
          <t>L</t>
        </is>
      </c>
      <c r="J768" t="inlineStr">
        <is>
          <t>D</t>
        </is>
      </c>
      <c r="K768" t="inlineStr"/>
      <c r="L768" t="inlineStr"/>
      <c r="M768" s="30">
        <f>0.005454*F768^2</f>
        <v/>
      </c>
      <c r="N768" s="31">
        <f>IF(D768="BAF20",20/M768,100)</f>
        <v/>
      </c>
      <c r="O768" s="31">
        <f>M768*N768</f>
        <v/>
      </c>
      <c r="P768" s="32">
        <f>4517.8*N768</f>
        <v/>
      </c>
    </row>
    <row r="769">
      <c r="A769" t="inlineStr">
        <is>
          <t>U2-11</t>
        </is>
      </c>
      <c r="B769" t="n">
        <v>2</v>
      </c>
      <c r="C769" t="n">
        <v>3</v>
      </c>
      <c r="D769" t="inlineStr">
        <is>
          <t>BAF20</t>
        </is>
      </c>
      <c r="E769" t="inlineStr">
        <is>
          <t>BO</t>
        </is>
      </c>
      <c r="F769" t="n">
        <v>14.3</v>
      </c>
      <c r="G769" t="n">
        <v>49</v>
      </c>
      <c r="H769" t="n">
        <v>49</v>
      </c>
      <c r="I769" t="inlineStr">
        <is>
          <t>L</t>
        </is>
      </c>
      <c r="J769" t="inlineStr">
        <is>
          <t>I</t>
        </is>
      </c>
      <c r="K769" t="inlineStr"/>
      <c r="L769" t="inlineStr"/>
      <c r="M769" s="30">
        <f>0.005454*F769^2</f>
        <v/>
      </c>
      <c r="N769" s="31">
        <f>IF(D769="BAF20",20/M769,100)</f>
        <v/>
      </c>
      <c r="O769" s="31">
        <f>M769*N769</f>
        <v/>
      </c>
      <c r="P769" s="32">
        <f>39.9*N769</f>
        <v/>
      </c>
    </row>
    <row r="770">
      <c r="A770" t="inlineStr">
        <is>
          <t>U2-11</t>
        </is>
      </c>
      <c r="B770" t="n">
        <v>2</v>
      </c>
      <c r="C770" t="n">
        <v>4</v>
      </c>
      <c r="D770" t="inlineStr">
        <is>
          <t>BAF20</t>
        </is>
      </c>
      <c r="E770" t="inlineStr">
        <is>
          <t>WF</t>
        </is>
      </c>
      <c r="F770" t="n">
        <v>14.9</v>
      </c>
      <c r="G770" t="n">
        <v>76</v>
      </c>
      <c r="H770" t="n">
        <v>5</v>
      </c>
      <c r="I770" t="inlineStr">
        <is>
          <t>L</t>
        </is>
      </c>
      <c r="J770" t="inlineStr">
        <is>
          <t>I</t>
        </is>
      </c>
      <c r="K770" t="inlineStr"/>
      <c r="L770" t="inlineStr"/>
      <c r="M770" s="30">
        <f>0.005454*F770^2</f>
        <v/>
      </c>
      <c r="N770" s="31">
        <f>IF(D770="BAF20",20/M770,100)</f>
        <v/>
      </c>
      <c r="O770" s="31">
        <f>M770*N770</f>
        <v/>
      </c>
      <c r="P770" s="32">
        <f>140.1*N770</f>
        <v/>
      </c>
    </row>
    <row r="771">
      <c r="A771" t="inlineStr">
        <is>
          <t>U2-11</t>
        </is>
      </c>
      <c r="B771" t="n">
        <v>2</v>
      </c>
      <c r="C771" t="n">
        <v>5</v>
      </c>
      <c r="D771" t="inlineStr">
        <is>
          <t>BAF20</t>
        </is>
      </c>
      <c r="E771" t="inlineStr">
        <is>
          <t>WF</t>
        </is>
      </c>
      <c r="F771" t="n">
        <v>10.4</v>
      </c>
      <c r="G771" t="n">
        <v>57</v>
      </c>
      <c r="H771" t="n">
        <v>11</v>
      </c>
      <c r="I771" t="inlineStr">
        <is>
          <t>L</t>
        </is>
      </c>
      <c r="J771" t="inlineStr">
        <is>
          <t>S</t>
        </is>
      </c>
      <c r="K771" t="inlineStr">
        <is>
          <t>Y</t>
        </is>
      </c>
      <c r="L771" t="inlineStr"/>
      <c r="M771" s="30">
        <f>0.005454*F771^2</f>
        <v/>
      </c>
      <c r="N771" s="31">
        <f>IF(D771="BAF20",20/M771,100)</f>
        <v/>
      </c>
      <c r="O771" s="31">
        <f>M771*N771</f>
        <v/>
      </c>
      <c r="P771" s="32">
        <f>43.4*N771</f>
        <v/>
      </c>
    </row>
    <row r="772">
      <c r="A772" t="inlineStr">
        <is>
          <t>U2-11</t>
        </is>
      </c>
      <c r="B772" t="n">
        <v>2</v>
      </c>
      <c r="C772" t="n">
        <v>6</v>
      </c>
      <c r="D772" t="inlineStr">
        <is>
          <t>BAF20</t>
        </is>
      </c>
      <c r="E772" t="inlineStr">
        <is>
          <t>IC</t>
        </is>
      </c>
      <c r="F772" t="n">
        <v>33.3</v>
      </c>
      <c r="G772" t="n">
        <v>102</v>
      </c>
      <c r="H772" t="n">
        <v>5</v>
      </c>
      <c r="I772" t="inlineStr">
        <is>
          <t>L</t>
        </is>
      </c>
      <c r="J772" t="inlineStr">
        <is>
          <t>D</t>
        </is>
      </c>
      <c r="K772" t="inlineStr"/>
      <c r="L772" t="inlineStr"/>
      <c r="M772" s="30">
        <f>0.005454*F772^2</f>
        <v/>
      </c>
      <c r="N772" s="31">
        <f>IF(D772="BAF20",20/M772,100)</f>
        <v/>
      </c>
      <c r="O772" s="31">
        <f>M772*N772</f>
        <v/>
      </c>
      <c r="P772" s="32">
        <f>1306.3*N772</f>
        <v/>
      </c>
    </row>
    <row r="773">
      <c r="A773" t="inlineStr">
        <is>
          <t>U2-11</t>
        </is>
      </c>
      <c r="B773" t="n">
        <v>2</v>
      </c>
      <c r="C773" t="n">
        <v>7</v>
      </c>
      <c r="D773" t="inlineStr">
        <is>
          <t>BAF20</t>
        </is>
      </c>
      <c r="E773" t="inlineStr">
        <is>
          <t>PP</t>
        </is>
      </c>
      <c r="F773" t="n">
        <v>18.6</v>
      </c>
      <c r="G773" t="n">
        <v>74</v>
      </c>
      <c r="H773" t="n">
        <v>2</v>
      </c>
      <c r="I773" t="inlineStr">
        <is>
          <t>L</t>
        </is>
      </c>
      <c r="J773" t="inlineStr">
        <is>
          <t>I</t>
        </is>
      </c>
      <c r="K773" t="inlineStr"/>
      <c r="L773" t="inlineStr"/>
      <c r="M773" s="30">
        <f>0.005454*F773^2</f>
        <v/>
      </c>
      <c r="N773" s="31">
        <f>IF(D773="BAF20",20/M773,100)</f>
        <v/>
      </c>
      <c r="O773" s="31">
        <f>M773*N773</f>
        <v/>
      </c>
      <c r="P773" s="32">
        <f>236.6*N773</f>
        <v/>
      </c>
    </row>
    <row r="774">
      <c r="A774" t="inlineStr">
        <is>
          <t>U2-11</t>
        </is>
      </c>
      <c r="B774" t="n">
        <v>2</v>
      </c>
      <c r="C774" t="n">
        <v>8</v>
      </c>
      <c r="D774" t="inlineStr">
        <is>
          <t>BAF20</t>
        </is>
      </c>
      <c r="E774" t="inlineStr">
        <is>
          <t>BO</t>
        </is>
      </c>
      <c r="F774" t="n">
        <v>12.9</v>
      </c>
      <c r="G774" t="n">
        <v>48</v>
      </c>
      <c r="H774" t="n">
        <v>47</v>
      </c>
      <c r="I774" t="inlineStr">
        <is>
          <t>L</t>
        </is>
      </c>
      <c r="J774" t="inlineStr">
        <is>
          <t>S</t>
        </is>
      </c>
      <c r="K774" t="inlineStr"/>
      <c r="L774" t="inlineStr"/>
      <c r="M774" s="30">
        <f>0.005454*F774^2</f>
        <v/>
      </c>
      <c r="N774" s="31">
        <f>IF(D774="BAF20",20/M774,100)</f>
        <v/>
      </c>
      <c r="O774" s="31">
        <f>M774*N774</f>
        <v/>
      </c>
      <c r="P774" s="32">
        <f>32.1*N774</f>
        <v/>
      </c>
    </row>
    <row r="775">
      <c r="A775" t="inlineStr">
        <is>
          <t>U2-11</t>
        </is>
      </c>
      <c r="B775" t="n">
        <v>2</v>
      </c>
      <c r="C775" t="n">
        <v>9</v>
      </c>
      <c r="D775" t="inlineStr">
        <is>
          <t>BAF20</t>
        </is>
      </c>
      <c r="E775" t="inlineStr">
        <is>
          <t>WF</t>
        </is>
      </c>
      <c r="F775" t="n">
        <v>35.4</v>
      </c>
      <c r="G775" t="n">
        <v>136</v>
      </c>
      <c r="H775" t="n">
        <v>5</v>
      </c>
      <c r="I775" t="inlineStr">
        <is>
          <t>L</t>
        </is>
      </c>
      <c r="J775" t="inlineStr">
        <is>
          <t>D</t>
        </is>
      </c>
      <c r="K775" t="inlineStr"/>
      <c r="L775" t="inlineStr"/>
      <c r="M775" s="30">
        <f>0.005454*F775^2</f>
        <v/>
      </c>
      <c r="N775" s="31">
        <f>IF(D775="BAF20",20/M775,100)</f>
        <v/>
      </c>
      <c r="O775" s="31">
        <f>M775*N775</f>
        <v/>
      </c>
      <c r="P775" s="32">
        <f>2031.5*N775</f>
        <v/>
      </c>
    </row>
    <row r="776">
      <c r="A776" t="inlineStr">
        <is>
          <t>U2-11</t>
        </is>
      </c>
      <c r="B776" t="n">
        <v>2</v>
      </c>
      <c r="C776" t="n">
        <v>10</v>
      </c>
      <c r="D776" t="inlineStr">
        <is>
          <t>BAF20</t>
        </is>
      </c>
      <c r="E776" t="inlineStr">
        <is>
          <t>BO</t>
        </is>
      </c>
      <c r="F776" t="n">
        <v>10.4</v>
      </c>
      <c r="G776" t="n">
        <v>45</v>
      </c>
      <c r="H776" t="n">
        <v>14</v>
      </c>
      <c r="I776" t="inlineStr">
        <is>
          <t>L</t>
        </is>
      </c>
      <c r="J776" t="inlineStr">
        <is>
          <t>S</t>
        </is>
      </c>
      <c r="K776" t="inlineStr">
        <is>
          <t>Y</t>
        </is>
      </c>
      <c r="L776" t="inlineStr"/>
      <c r="M776" s="30">
        <f>0.005454*F776^2</f>
        <v/>
      </c>
      <c r="N776" s="31">
        <f>IF(D776="BAF20",20/M776,100)</f>
        <v/>
      </c>
      <c r="O776" s="31">
        <f>M776*N776</f>
        <v/>
      </c>
      <c r="P776" s="32">
        <f>30.0*N776</f>
        <v/>
      </c>
    </row>
    <row r="777">
      <c r="A777" t="inlineStr">
        <is>
          <t>U2-11</t>
        </is>
      </c>
      <c r="B777" t="n">
        <v>2</v>
      </c>
      <c r="C777" t="n">
        <v>11</v>
      </c>
      <c r="D777" t="inlineStr">
        <is>
          <t>BAF20</t>
        </is>
      </c>
      <c r="E777" t="inlineStr">
        <is>
          <t>PP</t>
        </is>
      </c>
      <c r="F777" t="n">
        <v>23</v>
      </c>
      <c r="G777" t="n">
        <v>107</v>
      </c>
      <c r="H777" t="n">
        <v>10</v>
      </c>
      <c r="I777" t="inlineStr">
        <is>
          <t>L</t>
        </is>
      </c>
      <c r="J777" t="inlineStr">
        <is>
          <t>C</t>
        </is>
      </c>
      <c r="K777" t="inlineStr"/>
      <c r="L777" t="inlineStr"/>
      <c r="M777" s="30">
        <f>0.005454*F777^2</f>
        <v/>
      </c>
      <c r="N777" s="31">
        <f>IF(D777="BAF20",20/M777,100)</f>
        <v/>
      </c>
      <c r="O777" s="31">
        <f>M777*N777</f>
        <v/>
      </c>
      <c r="P777" s="32">
        <f>522.0*N777</f>
        <v/>
      </c>
    </row>
    <row r="778">
      <c r="A778" t="inlineStr">
        <is>
          <t>U2-11</t>
        </is>
      </c>
      <c r="B778" t="n">
        <v>2</v>
      </c>
      <c r="C778" t="n">
        <v>12</v>
      </c>
      <c r="D778" t="inlineStr">
        <is>
          <t>BAF20</t>
        </is>
      </c>
      <c r="E778" t="inlineStr">
        <is>
          <t>PP</t>
        </is>
      </c>
      <c r="F778" t="n">
        <v>41.3</v>
      </c>
      <c r="G778" t="n">
        <v>129</v>
      </c>
      <c r="H778" t="n">
        <v>3</v>
      </c>
      <c r="I778" t="inlineStr">
        <is>
          <t>L</t>
        </is>
      </c>
      <c r="J778" t="inlineStr">
        <is>
          <t>D</t>
        </is>
      </c>
      <c r="K778" t="inlineStr"/>
      <c r="L778" t="inlineStr"/>
      <c r="M778" s="30">
        <f>0.005454*F778^2</f>
        <v/>
      </c>
      <c r="N778" s="31">
        <f>IF(D778="BAF20",20/M778,100)</f>
        <v/>
      </c>
      <c r="O778" s="31">
        <f>M778*N778</f>
        <v/>
      </c>
      <c r="P778" s="32">
        <f>2728.1*N778</f>
        <v/>
      </c>
    </row>
    <row r="779">
      <c r="A779" t="inlineStr">
        <is>
          <t>U2-12</t>
        </is>
      </c>
      <c r="B779" t="n">
        <v>2</v>
      </c>
      <c r="C779" t="n">
        <v>1</v>
      </c>
      <c r="D779" t="inlineStr">
        <is>
          <t>BAF20</t>
        </is>
      </c>
      <c r="E779" t="inlineStr">
        <is>
          <t>DF</t>
        </is>
      </c>
      <c r="F779" t="n">
        <v>9.5</v>
      </c>
      <c r="G779" t="n">
        <v>45</v>
      </c>
      <c r="H779" t="n">
        <v>12</v>
      </c>
      <c r="I779" t="inlineStr">
        <is>
          <t>L</t>
        </is>
      </c>
      <c r="J779" t="inlineStr">
        <is>
          <t>S</t>
        </is>
      </c>
      <c r="K779" t="inlineStr">
        <is>
          <t>Y</t>
        </is>
      </c>
      <c r="L779" t="inlineStr"/>
      <c r="M779" s="30">
        <f>0.005454*F779^2</f>
        <v/>
      </c>
      <c r="N779" s="31">
        <f>IF(D779="BAF20",20/M779,100)</f>
        <v/>
      </c>
      <c r="O779" s="31">
        <f>M779*N779</f>
        <v/>
      </c>
      <c r="P779" s="32">
        <f>0.0*N779</f>
        <v/>
      </c>
    </row>
    <row r="780">
      <c r="A780" t="inlineStr">
        <is>
          <t>U2-12</t>
        </is>
      </c>
      <c r="B780" t="n">
        <v>2</v>
      </c>
      <c r="C780" t="n">
        <v>2</v>
      </c>
      <c r="D780" t="inlineStr">
        <is>
          <t>BAF20</t>
        </is>
      </c>
      <c r="E780" t="inlineStr">
        <is>
          <t>PP</t>
        </is>
      </c>
      <c r="F780" t="n">
        <v>30.5</v>
      </c>
      <c r="G780" t="n">
        <v>112</v>
      </c>
      <c r="H780" t="n">
        <v>2</v>
      </c>
      <c r="I780" t="inlineStr">
        <is>
          <t>L</t>
        </is>
      </c>
      <c r="J780" t="inlineStr">
        <is>
          <t>D</t>
        </is>
      </c>
      <c r="K780" t="inlineStr"/>
      <c r="L780" t="inlineStr"/>
      <c r="M780" s="30">
        <f>0.005454*F780^2</f>
        <v/>
      </c>
      <c r="N780" s="31">
        <f>IF(D780="BAF20",20/M780,100)</f>
        <v/>
      </c>
      <c r="O780" s="31">
        <f>M780*N780</f>
        <v/>
      </c>
      <c r="P780" s="32">
        <f>1188.3*N780</f>
        <v/>
      </c>
    </row>
    <row r="781">
      <c r="A781" t="inlineStr">
        <is>
          <t>U2-12</t>
        </is>
      </c>
      <c r="B781" t="n">
        <v>2</v>
      </c>
      <c r="C781" t="n">
        <v>3</v>
      </c>
      <c r="D781" t="inlineStr">
        <is>
          <t>BAF20</t>
        </is>
      </c>
      <c r="E781" t="inlineStr">
        <is>
          <t>WF</t>
        </is>
      </c>
      <c r="F781" t="n">
        <v>31.2</v>
      </c>
      <c r="G781" t="n">
        <v>118</v>
      </c>
      <c r="H781" t="n">
        <v>13</v>
      </c>
      <c r="I781" t="inlineStr">
        <is>
          <t>L</t>
        </is>
      </c>
      <c r="J781" t="inlineStr">
        <is>
          <t>D</t>
        </is>
      </c>
      <c r="K781" t="inlineStr"/>
      <c r="L781" t="inlineStr"/>
      <c r="M781" s="30">
        <f>0.005454*F781^2</f>
        <v/>
      </c>
      <c r="N781" s="31">
        <f>IF(D781="BAF20",20/M781,100)</f>
        <v/>
      </c>
      <c r="O781" s="31">
        <f>M781*N781</f>
        <v/>
      </c>
      <c r="P781" s="32">
        <f>1176.0*N781</f>
        <v/>
      </c>
    </row>
    <row r="782">
      <c r="A782" t="inlineStr">
        <is>
          <t>U2-12</t>
        </is>
      </c>
      <c r="B782" t="n">
        <v>2</v>
      </c>
      <c r="C782" t="n">
        <v>4</v>
      </c>
      <c r="D782" t="inlineStr">
        <is>
          <t>BAF20</t>
        </is>
      </c>
      <c r="E782" t="inlineStr">
        <is>
          <t>DF</t>
        </is>
      </c>
      <c r="F782" t="n">
        <v>30.3</v>
      </c>
      <c r="G782" t="n">
        <v>108</v>
      </c>
      <c r="H782" t="n">
        <v>4</v>
      </c>
      <c r="I782" t="inlineStr">
        <is>
          <t>L</t>
        </is>
      </c>
      <c r="J782" t="inlineStr">
        <is>
          <t>D</t>
        </is>
      </c>
      <c r="K782" t="inlineStr"/>
      <c r="L782" t="inlineStr"/>
      <c r="M782" s="30">
        <f>0.005454*F782^2</f>
        <v/>
      </c>
      <c r="N782" s="31">
        <f>IF(D782="BAF20",20/M782,100)</f>
        <v/>
      </c>
      <c r="O782" s="31">
        <f>M782*N782</f>
        <v/>
      </c>
      <c r="P782" s="32">
        <f>1104.2*N782</f>
        <v/>
      </c>
    </row>
    <row r="783">
      <c r="A783" t="inlineStr">
        <is>
          <t>U2-12</t>
        </is>
      </c>
      <c r="B783" t="n">
        <v>2</v>
      </c>
      <c r="C783" t="n">
        <v>5</v>
      </c>
      <c r="D783" t="inlineStr">
        <is>
          <t>BAF20</t>
        </is>
      </c>
      <c r="E783" t="inlineStr">
        <is>
          <t>WF</t>
        </is>
      </c>
      <c r="F783" t="n">
        <v>30.7</v>
      </c>
      <c r="G783" t="n">
        <v>133</v>
      </c>
      <c r="H783" t="n">
        <v>6</v>
      </c>
      <c r="I783" t="inlineStr">
        <is>
          <t>L</t>
        </is>
      </c>
      <c r="J783" t="inlineStr">
        <is>
          <t>D</t>
        </is>
      </c>
      <c r="K783" t="inlineStr"/>
      <c r="L783" t="inlineStr"/>
      <c r="M783" s="30">
        <f>0.005454*F783^2</f>
        <v/>
      </c>
      <c r="N783" s="31">
        <f>IF(D783="BAF20",20/M783,100)</f>
        <v/>
      </c>
      <c r="O783" s="31">
        <f>M783*N783</f>
        <v/>
      </c>
      <c r="P783" s="32">
        <f>1375.7*N783</f>
        <v/>
      </c>
    </row>
    <row r="784">
      <c r="A784" t="inlineStr">
        <is>
          <t>U2-12</t>
        </is>
      </c>
      <c r="B784" t="n">
        <v>2</v>
      </c>
      <c r="C784" t="n">
        <v>6</v>
      </c>
      <c r="D784" t="inlineStr">
        <is>
          <t>BAF20</t>
        </is>
      </c>
      <c r="E784" t="inlineStr">
        <is>
          <t>IC</t>
        </is>
      </c>
      <c r="F784" t="n">
        <v>16.7</v>
      </c>
      <c r="G784" t="n">
        <v>62</v>
      </c>
      <c r="H784" t="n">
        <v>8</v>
      </c>
      <c r="I784" t="inlineStr">
        <is>
          <t>L</t>
        </is>
      </c>
      <c r="J784" t="inlineStr">
        <is>
          <t>I</t>
        </is>
      </c>
      <c r="K784" t="inlineStr"/>
      <c r="L784" t="inlineStr"/>
      <c r="M784" s="30">
        <f>0.005454*F784^2</f>
        <v/>
      </c>
      <c r="N784" s="31">
        <f>IF(D784="BAF20",20/M784,100)</f>
        <v/>
      </c>
      <c r="O784" s="31">
        <f>M784*N784</f>
        <v/>
      </c>
      <c r="P784" s="32">
        <f>144.4*N784</f>
        <v/>
      </c>
    </row>
    <row r="785">
      <c r="A785" t="inlineStr">
        <is>
          <t>U2-12</t>
        </is>
      </c>
      <c r="B785" t="n">
        <v>2</v>
      </c>
      <c r="C785" t="n">
        <v>7</v>
      </c>
      <c r="D785" t="inlineStr">
        <is>
          <t>BAF20</t>
        </is>
      </c>
      <c r="E785" t="inlineStr">
        <is>
          <t>DF</t>
        </is>
      </c>
      <c r="F785" t="n">
        <v>31.5</v>
      </c>
      <c r="G785" t="n">
        <v>109</v>
      </c>
      <c r="H785" t="n">
        <v>3</v>
      </c>
      <c r="I785" t="inlineStr">
        <is>
          <t>L</t>
        </is>
      </c>
      <c r="J785" t="inlineStr">
        <is>
          <t>D</t>
        </is>
      </c>
      <c r="K785" t="inlineStr"/>
      <c r="L785" t="inlineStr"/>
      <c r="M785" s="30">
        <f>0.005454*F785^2</f>
        <v/>
      </c>
      <c r="N785" s="31">
        <f>IF(D785="BAF20",20/M785,100)</f>
        <v/>
      </c>
      <c r="O785" s="31">
        <f>M785*N785</f>
        <v/>
      </c>
      <c r="P785" s="32">
        <f>1240.4*N785</f>
        <v/>
      </c>
    </row>
    <row r="786">
      <c r="A786" t="inlineStr">
        <is>
          <t>U2-12</t>
        </is>
      </c>
      <c r="B786" t="n">
        <v>2</v>
      </c>
      <c r="C786" t="n">
        <v>8</v>
      </c>
      <c r="D786" t="inlineStr">
        <is>
          <t>BAF20</t>
        </is>
      </c>
      <c r="E786" t="inlineStr">
        <is>
          <t>SP</t>
        </is>
      </c>
      <c r="F786" t="n">
        <v>16.1</v>
      </c>
      <c r="G786" t="n">
        <v>79</v>
      </c>
      <c r="H786" t="n">
        <v>0</v>
      </c>
      <c r="I786" t="inlineStr">
        <is>
          <t>L</t>
        </is>
      </c>
      <c r="J786" t="inlineStr">
        <is>
          <t>I</t>
        </is>
      </c>
      <c r="K786" t="inlineStr"/>
      <c r="L786" t="inlineStr"/>
      <c r="M786" s="30">
        <f>0.005454*F786^2</f>
        <v/>
      </c>
      <c r="N786" s="31">
        <f>IF(D786="BAF20",20/M786,100)</f>
        <v/>
      </c>
      <c r="O786" s="31">
        <f>M786*N786</f>
        <v/>
      </c>
      <c r="P786" s="32">
        <f>183.6*N786</f>
        <v/>
      </c>
    </row>
    <row r="787">
      <c r="A787" t="inlineStr">
        <is>
          <t>U2-12</t>
        </is>
      </c>
      <c r="B787" t="n">
        <v>2</v>
      </c>
      <c r="C787" t="n">
        <v>9</v>
      </c>
      <c r="D787" t="inlineStr">
        <is>
          <t>BAF20</t>
        </is>
      </c>
      <c r="E787" t="inlineStr">
        <is>
          <t>IC</t>
        </is>
      </c>
      <c r="F787" t="n">
        <v>18.3</v>
      </c>
      <c r="G787" t="n">
        <v>72</v>
      </c>
      <c r="H787" t="n">
        <v>11</v>
      </c>
      <c r="I787" t="inlineStr">
        <is>
          <t>L</t>
        </is>
      </c>
      <c r="J787" t="inlineStr">
        <is>
          <t>I</t>
        </is>
      </c>
      <c r="K787" t="inlineStr"/>
      <c r="L787" t="inlineStr"/>
      <c r="M787" s="30">
        <f>0.005454*F787^2</f>
        <v/>
      </c>
      <c r="N787" s="31">
        <f>IF(D787="BAF20",20/M787,100)</f>
        <v/>
      </c>
      <c r="O787" s="31">
        <f>M787*N787</f>
        <v/>
      </c>
      <c r="P787" s="32">
        <f>201.2*N787</f>
        <v/>
      </c>
    </row>
    <row r="788">
      <c r="A788" t="inlineStr">
        <is>
          <t>U2-12</t>
        </is>
      </c>
      <c r="B788" t="n">
        <v>2</v>
      </c>
      <c r="C788" t="n">
        <v>10</v>
      </c>
      <c r="D788" t="inlineStr">
        <is>
          <t>BAF20</t>
        </is>
      </c>
      <c r="E788" t="inlineStr">
        <is>
          <t>IC</t>
        </is>
      </c>
      <c r="F788" t="n">
        <v>15.6</v>
      </c>
      <c r="G788" t="n">
        <v>57</v>
      </c>
      <c r="H788" t="n">
        <v>6</v>
      </c>
      <c r="I788" t="inlineStr">
        <is>
          <t>L</t>
        </is>
      </c>
      <c r="J788" t="inlineStr">
        <is>
          <t>I</t>
        </is>
      </c>
      <c r="K788" t="inlineStr"/>
      <c r="L788" t="inlineStr"/>
      <c r="M788" s="30">
        <f>0.005454*F788^2</f>
        <v/>
      </c>
      <c r="N788" s="31">
        <f>IF(D788="BAF20",20/M788,100)</f>
        <v/>
      </c>
      <c r="O788" s="31">
        <f>M788*N788</f>
        <v/>
      </c>
      <c r="P788" s="32">
        <f>115.7*N788</f>
        <v/>
      </c>
    </row>
    <row r="789">
      <c r="A789" t="inlineStr">
        <is>
          <t>U2-12</t>
        </is>
      </c>
      <c r="B789" t="n">
        <v>2</v>
      </c>
      <c r="C789" t="n">
        <v>11</v>
      </c>
      <c r="D789" t="inlineStr">
        <is>
          <t>FIX100</t>
        </is>
      </c>
      <c r="E789" t="inlineStr">
        <is>
          <t>PP</t>
        </is>
      </c>
      <c r="F789" t="n">
        <v>1.7</v>
      </c>
      <c r="G789" t="n">
        <v>9</v>
      </c>
      <c r="H789" t="n">
        <v>0</v>
      </c>
      <c r="I789" t="inlineStr">
        <is>
          <t>L</t>
        </is>
      </c>
      <c r="J789" t="inlineStr">
        <is>
          <t>S</t>
        </is>
      </c>
      <c r="K789" t="inlineStr"/>
      <c r="L789" t="inlineStr"/>
      <c r="M789" s="30">
        <f>0.005454*F789^2</f>
        <v/>
      </c>
      <c r="N789" s="31">
        <f>IF(D789="BAF20",20/M789,100)</f>
        <v/>
      </c>
      <c r="O789" s="31">
        <f>M789*N789</f>
        <v/>
      </c>
      <c r="P789" s="32">
        <f>0.0*N789</f>
        <v/>
      </c>
    </row>
    <row r="790">
      <c r="A790" t="inlineStr">
        <is>
          <t>U2-13</t>
        </is>
      </c>
      <c r="B790" t="n">
        <v>2</v>
      </c>
      <c r="C790" t="n">
        <v>1</v>
      </c>
      <c r="D790" t="inlineStr">
        <is>
          <t>BAF20</t>
        </is>
      </c>
      <c r="E790" t="inlineStr">
        <is>
          <t>BO</t>
        </is>
      </c>
      <c r="F790" t="n">
        <v>14.6</v>
      </c>
      <c r="G790" t="n">
        <v>54</v>
      </c>
      <c r="H790" t="n">
        <v>20</v>
      </c>
      <c r="I790" t="inlineStr">
        <is>
          <t>L</t>
        </is>
      </c>
      <c r="J790" t="inlineStr">
        <is>
          <t>I</t>
        </is>
      </c>
      <c r="K790" t="inlineStr"/>
      <c r="L790" t="inlineStr"/>
      <c r="M790" s="30">
        <f>0.005454*F790^2</f>
        <v/>
      </c>
      <c r="N790" s="31">
        <f>IF(D790="BAF20",20/M790,100)</f>
        <v/>
      </c>
      <c r="O790" s="31">
        <f>M790*N790</f>
        <v/>
      </c>
      <c r="P790" s="32">
        <f>72.4*N790</f>
        <v/>
      </c>
    </row>
    <row r="791">
      <c r="A791" t="inlineStr">
        <is>
          <t>U2-13</t>
        </is>
      </c>
      <c r="B791" t="n">
        <v>2</v>
      </c>
      <c r="C791" t="n">
        <v>2</v>
      </c>
      <c r="D791" t="inlineStr">
        <is>
          <t>BAF20</t>
        </is>
      </c>
      <c r="E791" t="inlineStr">
        <is>
          <t>PP</t>
        </is>
      </c>
      <c r="F791" t="n">
        <v>5.6</v>
      </c>
      <c r="G791" t="n">
        <v>30</v>
      </c>
      <c r="H791" t="n">
        <v>4</v>
      </c>
      <c r="I791" t="inlineStr">
        <is>
          <t>L</t>
        </is>
      </c>
      <c r="J791" t="inlineStr">
        <is>
          <t>S</t>
        </is>
      </c>
      <c r="K791" t="inlineStr">
        <is>
          <t>Y</t>
        </is>
      </c>
      <c r="L791" t="inlineStr"/>
      <c r="M791" s="30">
        <f>0.005454*F791^2</f>
        <v/>
      </c>
      <c r="N791" s="31">
        <f>IF(D791="BAF20",20/M791,100)</f>
        <v/>
      </c>
      <c r="O791" s="31">
        <f>M791*N791</f>
        <v/>
      </c>
      <c r="P791" s="32">
        <f>0.0*N791</f>
        <v/>
      </c>
    </row>
    <row r="792">
      <c r="A792" t="inlineStr">
        <is>
          <t>U2-13</t>
        </is>
      </c>
      <c r="B792" t="n">
        <v>2</v>
      </c>
      <c r="C792" t="n">
        <v>3</v>
      </c>
      <c r="D792" t="inlineStr">
        <is>
          <t>BAF20</t>
        </is>
      </c>
      <c r="E792" t="inlineStr">
        <is>
          <t>DF</t>
        </is>
      </c>
      <c r="F792" t="n">
        <v>5.4</v>
      </c>
      <c r="G792" t="n">
        <v>31</v>
      </c>
      <c r="H792" t="n">
        <v>18</v>
      </c>
      <c r="I792" t="inlineStr">
        <is>
          <t>L</t>
        </is>
      </c>
      <c r="J792" t="inlineStr">
        <is>
          <t>S</t>
        </is>
      </c>
      <c r="K792" t="inlineStr">
        <is>
          <t>Y</t>
        </is>
      </c>
      <c r="L792" t="inlineStr"/>
      <c r="M792" s="30">
        <f>0.005454*F792^2</f>
        <v/>
      </c>
      <c r="N792" s="31">
        <f>IF(D792="BAF20",20/M792,100)</f>
        <v/>
      </c>
      <c r="O792" s="31">
        <f>M792*N792</f>
        <v/>
      </c>
      <c r="P792" s="32">
        <f>0.0*N792</f>
        <v/>
      </c>
    </row>
    <row r="793">
      <c r="A793" t="inlineStr">
        <is>
          <t>U2-13</t>
        </is>
      </c>
      <c r="B793" t="n">
        <v>2</v>
      </c>
      <c r="C793" t="n">
        <v>4</v>
      </c>
      <c r="D793" t="inlineStr">
        <is>
          <t>BAF20</t>
        </is>
      </c>
      <c r="E793" t="inlineStr">
        <is>
          <t>BO</t>
        </is>
      </c>
      <c r="F793" t="n">
        <v>8.699999999999999</v>
      </c>
      <c r="G793" t="n">
        <v>32</v>
      </c>
      <c r="H793" t="n">
        <v>19</v>
      </c>
      <c r="I793" t="inlineStr">
        <is>
          <t>L</t>
        </is>
      </c>
      <c r="J793" t="inlineStr">
        <is>
          <t>S</t>
        </is>
      </c>
      <c r="K793" t="inlineStr">
        <is>
          <t>Y</t>
        </is>
      </c>
      <c r="L793" t="inlineStr"/>
      <c r="M793" s="30">
        <f>0.005454*F793^2</f>
        <v/>
      </c>
      <c r="N793" s="31">
        <f>IF(D793="BAF20",20/M793,100)</f>
        <v/>
      </c>
      <c r="O793" s="31">
        <f>M793*N793</f>
        <v/>
      </c>
      <c r="P793" s="32">
        <f>0.0*N793</f>
        <v/>
      </c>
    </row>
    <row r="794">
      <c r="A794" t="inlineStr">
        <is>
          <t>U2-13</t>
        </is>
      </c>
      <c r="B794" t="n">
        <v>2</v>
      </c>
      <c r="C794" t="n">
        <v>5</v>
      </c>
      <c r="D794" t="inlineStr">
        <is>
          <t>BAF20</t>
        </is>
      </c>
      <c r="E794" t="inlineStr">
        <is>
          <t>PP</t>
        </is>
      </c>
      <c r="F794" t="n">
        <v>13.5</v>
      </c>
      <c r="G794" t="n">
        <v>57</v>
      </c>
      <c r="H794" t="n">
        <v>3</v>
      </c>
      <c r="I794" t="inlineStr">
        <is>
          <t>L</t>
        </is>
      </c>
      <c r="J794" t="inlineStr">
        <is>
          <t>S</t>
        </is>
      </c>
      <c r="K794" t="inlineStr"/>
      <c r="L794" t="inlineStr"/>
      <c r="M794" s="30">
        <f>0.005454*F794^2</f>
        <v/>
      </c>
      <c r="N794" s="31">
        <f>IF(D794="BAF20",20/M794,100)</f>
        <v/>
      </c>
      <c r="O794" s="31">
        <f>M794*N794</f>
        <v/>
      </c>
      <c r="P794" s="32">
        <f>85.5*N794</f>
        <v/>
      </c>
    </row>
    <row r="795">
      <c r="A795" t="inlineStr">
        <is>
          <t>U2-13</t>
        </is>
      </c>
      <c r="B795" t="n">
        <v>2</v>
      </c>
      <c r="C795" t="n">
        <v>6</v>
      </c>
      <c r="D795" t="inlineStr">
        <is>
          <t>BAF20</t>
        </is>
      </c>
      <c r="E795" t="inlineStr">
        <is>
          <t>PP</t>
        </is>
      </c>
      <c r="F795" t="n">
        <v>5.4</v>
      </c>
      <c r="G795" t="n">
        <v>27</v>
      </c>
      <c r="H795" t="n">
        <v>0</v>
      </c>
      <c r="I795" t="inlineStr">
        <is>
          <t>L</t>
        </is>
      </c>
      <c r="J795" t="inlineStr">
        <is>
          <t>S</t>
        </is>
      </c>
      <c r="K795" t="inlineStr">
        <is>
          <t>Y</t>
        </is>
      </c>
      <c r="L795" t="inlineStr"/>
      <c r="M795" s="30">
        <f>0.005454*F795^2</f>
        <v/>
      </c>
      <c r="N795" s="31">
        <f>IF(D795="BAF20",20/M795,100)</f>
        <v/>
      </c>
      <c r="O795" s="31">
        <f>M795*N795</f>
        <v/>
      </c>
      <c r="P795" s="32">
        <f>0.0*N795</f>
        <v/>
      </c>
    </row>
    <row r="796">
      <c r="A796" t="inlineStr">
        <is>
          <t>U2-13</t>
        </is>
      </c>
      <c r="B796" t="n">
        <v>2</v>
      </c>
      <c r="C796" t="n">
        <v>7</v>
      </c>
      <c r="D796" t="inlineStr">
        <is>
          <t>BAF20</t>
        </is>
      </c>
      <c r="E796" t="inlineStr">
        <is>
          <t>DF</t>
        </is>
      </c>
      <c r="F796" t="n">
        <v>21.3</v>
      </c>
      <c r="G796" t="n">
        <v>97</v>
      </c>
      <c r="H796" t="n">
        <v>6</v>
      </c>
      <c r="I796" t="inlineStr">
        <is>
          <t>L</t>
        </is>
      </c>
      <c r="J796" t="inlineStr">
        <is>
          <t>C</t>
        </is>
      </c>
      <c r="K796" t="inlineStr"/>
      <c r="L796" t="inlineStr"/>
      <c r="M796" s="30">
        <f>0.005454*F796^2</f>
        <v/>
      </c>
      <c r="N796" s="31">
        <f>IF(D796="BAF20",20/M796,100)</f>
        <v/>
      </c>
      <c r="O796" s="31">
        <f>M796*N796</f>
        <v/>
      </c>
      <c r="P796" s="32">
        <f>410.8*N796</f>
        <v/>
      </c>
    </row>
    <row r="797">
      <c r="A797" t="inlineStr">
        <is>
          <t>U2-13</t>
        </is>
      </c>
      <c r="B797" t="n">
        <v>2</v>
      </c>
      <c r="C797" t="n">
        <v>8</v>
      </c>
      <c r="D797" t="inlineStr">
        <is>
          <t>BAF20</t>
        </is>
      </c>
      <c r="E797" t="inlineStr">
        <is>
          <t>IC</t>
        </is>
      </c>
      <c r="F797" t="n">
        <v>12.4</v>
      </c>
      <c r="G797" t="n">
        <v>47</v>
      </c>
      <c r="H797" t="n">
        <v>3</v>
      </c>
      <c r="I797" t="inlineStr">
        <is>
          <t>L</t>
        </is>
      </c>
      <c r="J797" t="inlineStr">
        <is>
          <t>S</t>
        </is>
      </c>
      <c r="K797" t="inlineStr">
        <is>
          <t>Y</t>
        </is>
      </c>
      <c r="L797" t="inlineStr"/>
      <c r="M797" s="30">
        <f>0.005454*F797^2</f>
        <v/>
      </c>
      <c r="N797" s="31">
        <f>IF(D797="BAF20",20/M797,100)</f>
        <v/>
      </c>
      <c r="O797" s="31">
        <f>M797*N797</f>
        <v/>
      </c>
      <c r="P797" s="32">
        <f>58.0*N797</f>
        <v/>
      </c>
    </row>
    <row r="798">
      <c r="A798" t="inlineStr">
        <is>
          <t>U2-13</t>
        </is>
      </c>
      <c r="B798" t="n">
        <v>2</v>
      </c>
      <c r="C798" t="n">
        <v>9</v>
      </c>
      <c r="D798" t="inlineStr">
        <is>
          <t>BAF20</t>
        </is>
      </c>
      <c r="E798" t="inlineStr">
        <is>
          <t>IC</t>
        </is>
      </c>
      <c r="F798" t="n">
        <v>26.4</v>
      </c>
      <c r="G798" t="n">
        <v>89</v>
      </c>
      <c r="H798" t="n">
        <v>12</v>
      </c>
      <c r="I798" t="inlineStr">
        <is>
          <t>L</t>
        </is>
      </c>
      <c r="J798" t="inlineStr">
        <is>
          <t>D</t>
        </is>
      </c>
      <c r="K798" t="inlineStr"/>
      <c r="L798" t="inlineStr"/>
      <c r="M798" s="30">
        <f>0.005454*F798^2</f>
        <v/>
      </c>
      <c r="N798" s="31">
        <f>IF(D798="BAF20",20/M798,100)</f>
        <v/>
      </c>
      <c r="O798" s="31">
        <f>M798*N798</f>
        <v/>
      </c>
      <c r="P798" s="32">
        <f>593.7*N798</f>
        <v/>
      </c>
    </row>
    <row r="799">
      <c r="A799" t="inlineStr">
        <is>
          <t>U2-13</t>
        </is>
      </c>
      <c r="B799" t="n">
        <v>2</v>
      </c>
      <c r="C799" t="n">
        <v>10</v>
      </c>
      <c r="D799" t="inlineStr">
        <is>
          <t>BAF20</t>
        </is>
      </c>
      <c r="E799" t="inlineStr">
        <is>
          <t>PP</t>
        </is>
      </c>
      <c r="F799" t="n">
        <v>10.7</v>
      </c>
      <c r="G799" t="n">
        <v>61</v>
      </c>
      <c r="H799" t="n">
        <v>0</v>
      </c>
      <c r="I799" t="inlineStr">
        <is>
          <t>L</t>
        </is>
      </c>
      <c r="J799" t="inlineStr">
        <is>
          <t>S</t>
        </is>
      </c>
      <c r="K799" t="inlineStr">
        <is>
          <t>Y</t>
        </is>
      </c>
      <c r="L799" t="inlineStr"/>
      <c r="M799" s="30">
        <f>0.005454*F799^2</f>
        <v/>
      </c>
      <c r="N799" s="31">
        <f>IF(D799="BAF20",20/M799,100)</f>
        <v/>
      </c>
      <c r="O799" s="31">
        <f>M799*N799</f>
        <v/>
      </c>
      <c r="P799" s="32">
        <f>55.6*N799</f>
        <v/>
      </c>
    </row>
    <row r="800">
      <c r="A800" t="inlineStr">
        <is>
          <t>U2-13</t>
        </is>
      </c>
      <c r="B800" t="n">
        <v>2</v>
      </c>
      <c r="C800" t="n">
        <v>11</v>
      </c>
      <c r="D800" t="inlineStr">
        <is>
          <t>BAF20</t>
        </is>
      </c>
      <c r="E800" t="inlineStr">
        <is>
          <t>BO</t>
        </is>
      </c>
      <c r="F800" t="n">
        <v>14.7</v>
      </c>
      <c r="G800" t="n">
        <v>54</v>
      </c>
      <c r="H800" t="n">
        <v>17</v>
      </c>
      <c r="I800" t="inlineStr">
        <is>
          <t>L</t>
        </is>
      </c>
      <c r="J800" t="inlineStr">
        <is>
          <t>I</t>
        </is>
      </c>
      <c r="K800" t="inlineStr"/>
      <c r="L800" t="inlineStr"/>
      <c r="M800" s="30">
        <f>0.005454*F800^2</f>
        <v/>
      </c>
      <c r="N800" s="31">
        <f>IF(D800="BAF20",20/M800,100)</f>
        <v/>
      </c>
      <c r="O800" s="31">
        <f>M800*N800</f>
        <v/>
      </c>
      <c r="P800" s="32">
        <f>76.3*N800</f>
        <v/>
      </c>
    </row>
    <row r="801">
      <c r="A801" t="inlineStr">
        <is>
          <t>U2-13</t>
        </is>
      </c>
      <c r="B801" t="n">
        <v>2</v>
      </c>
      <c r="C801" t="n">
        <v>12</v>
      </c>
      <c r="D801" t="inlineStr">
        <is>
          <t>BAF20</t>
        </is>
      </c>
      <c r="E801" t="inlineStr">
        <is>
          <t>PP</t>
        </is>
      </c>
      <c r="F801" t="n">
        <v>22</v>
      </c>
      <c r="G801" t="n">
        <v>106</v>
      </c>
      <c r="H801" t="n">
        <v>3</v>
      </c>
      <c r="I801" t="inlineStr">
        <is>
          <t>L</t>
        </is>
      </c>
      <c r="J801" t="inlineStr">
        <is>
          <t>C</t>
        </is>
      </c>
      <c r="K801" t="inlineStr"/>
      <c r="L801" t="inlineStr"/>
      <c r="M801" s="30">
        <f>0.005454*F801^2</f>
        <v/>
      </c>
      <c r="N801" s="31">
        <f>IF(D801="BAF20",20/M801,100)</f>
        <v/>
      </c>
      <c r="O801" s="31">
        <f>M801*N801</f>
        <v/>
      </c>
      <c r="P801" s="32">
        <f>500.7*N801</f>
        <v/>
      </c>
    </row>
    <row r="802">
      <c r="A802" t="inlineStr">
        <is>
          <t>U2-13</t>
        </is>
      </c>
      <c r="B802" t="n">
        <v>2</v>
      </c>
      <c r="C802" t="n">
        <v>13</v>
      </c>
      <c r="D802" t="inlineStr">
        <is>
          <t>BAF20</t>
        </is>
      </c>
      <c r="E802" t="inlineStr">
        <is>
          <t>SP</t>
        </is>
      </c>
      <c r="F802" t="n">
        <v>46.9</v>
      </c>
      <c r="G802" t="n">
        <v>136</v>
      </c>
      <c r="H802" t="n">
        <v>3</v>
      </c>
      <c r="I802" t="inlineStr">
        <is>
          <t>L</t>
        </is>
      </c>
      <c r="J802" t="inlineStr">
        <is>
          <t>D</t>
        </is>
      </c>
      <c r="K802" t="inlineStr"/>
      <c r="L802" t="inlineStr"/>
      <c r="M802" s="30">
        <f>0.005454*F802^2</f>
        <v/>
      </c>
      <c r="N802" s="31">
        <f>IF(D802="BAF20",20/M802,100)</f>
        <v/>
      </c>
      <c r="O802" s="31">
        <f>M802*N802</f>
        <v/>
      </c>
      <c r="P802" s="32">
        <f>3709.0*N802</f>
        <v/>
      </c>
    </row>
    <row r="803">
      <c r="A803" t="inlineStr">
        <is>
          <t>U2-13</t>
        </is>
      </c>
      <c r="B803" t="n">
        <v>2</v>
      </c>
      <c r="C803" t="n">
        <v>14</v>
      </c>
      <c r="D803" t="inlineStr">
        <is>
          <t>BAF20</t>
        </is>
      </c>
      <c r="E803" t="inlineStr">
        <is>
          <t>BO</t>
        </is>
      </c>
      <c r="F803" t="n">
        <v>5</v>
      </c>
      <c r="G803" t="n">
        <v>24</v>
      </c>
      <c r="H803" t="n">
        <v>13</v>
      </c>
      <c r="I803" t="inlineStr">
        <is>
          <t>L</t>
        </is>
      </c>
      <c r="J803" t="inlineStr">
        <is>
          <t>S</t>
        </is>
      </c>
      <c r="K803" t="inlineStr">
        <is>
          <t>Y</t>
        </is>
      </c>
      <c r="L803" t="inlineStr"/>
      <c r="M803" s="30">
        <f>0.005454*F803^2</f>
        <v/>
      </c>
      <c r="N803" s="31">
        <f>IF(D803="BAF20",20/M803,100)</f>
        <v/>
      </c>
      <c r="O803" s="31">
        <f>M803*N803</f>
        <v/>
      </c>
      <c r="P803" s="32">
        <f>0.0*N803</f>
        <v/>
      </c>
    </row>
    <row r="804">
      <c r="A804" t="inlineStr">
        <is>
          <t>U2-13</t>
        </is>
      </c>
      <c r="B804" t="n">
        <v>2</v>
      </c>
      <c r="C804" t="n">
        <v>15</v>
      </c>
      <c r="D804" t="inlineStr">
        <is>
          <t>BAF20</t>
        </is>
      </c>
      <c r="E804" t="inlineStr">
        <is>
          <t>IC</t>
        </is>
      </c>
      <c r="F804" t="n">
        <v>8.699999999999999</v>
      </c>
      <c r="G804" t="n">
        <v>34</v>
      </c>
      <c r="H804" t="n">
        <v>3</v>
      </c>
      <c r="I804" t="inlineStr">
        <is>
          <t>L</t>
        </is>
      </c>
      <c r="J804" t="inlineStr">
        <is>
          <t>S</t>
        </is>
      </c>
      <c r="K804" t="inlineStr">
        <is>
          <t>Y</t>
        </is>
      </c>
      <c r="L804" t="inlineStr"/>
      <c r="M804" s="30">
        <f>0.005454*F804^2</f>
        <v/>
      </c>
      <c r="N804" s="31">
        <f>IF(D804="BAF20",20/M804,100)</f>
        <v/>
      </c>
      <c r="O804" s="31">
        <f>M804*N804</f>
        <v/>
      </c>
      <c r="P804" s="32">
        <f>0.0*N804</f>
        <v/>
      </c>
    </row>
    <row r="805">
      <c r="A805" t="inlineStr">
        <is>
          <t>U2-13</t>
        </is>
      </c>
      <c r="B805" t="n">
        <v>2</v>
      </c>
      <c r="C805" t="n">
        <v>16</v>
      </c>
      <c r="D805" t="inlineStr">
        <is>
          <t>FIX100</t>
        </is>
      </c>
      <c r="E805" t="inlineStr">
        <is>
          <t>IC</t>
        </is>
      </c>
      <c r="F805" t="n">
        <v>4.9</v>
      </c>
      <c r="G805" t="n">
        <v>21</v>
      </c>
      <c r="H805" t="n">
        <v>0</v>
      </c>
      <c r="I805" t="inlineStr">
        <is>
          <t>L</t>
        </is>
      </c>
      <c r="J805" t="inlineStr">
        <is>
          <t>S</t>
        </is>
      </c>
      <c r="K805" t="inlineStr"/>
      <c r="L805" t="inlineStr"/>
      <c r="M805" s="30">
        <f>0.005454*F805^2</f>
        <v/>
      </c>
      <c r="N805" s="31">
        <f>IF(D805="BAF20",20/M805,100)</f>
        <v/>
      </c>
      <c r="O805" s="31">
        <f>M805*N805</f>
        <v/>
      </c>
      <c r="P805" s="32">
        <f>0.0*N805</f>
        <v/>
      </c>
    </row>
    <row r="806">
      <c r="A806" t="inlineStr">
        <is>
          <t>U2-13</t>
        </is>
      </c>
      <c r="B806" t="n">
        <v>2</v>
      </c>
      <c r="C806" t="n">
        <v>17</v>
      </c>
      <c r="D806" t="inlineStr">
        <is>
          <t>FIX100</t>
        </is>
      </c>
      <c r="E806" t="inlineStr">
        <is>
          <t>DF</t>
        </is>
      </c>
      <c r="F806" t="n">
        <v>4.7</v>
      </c>
      <c r="G806" t="n">
        <v>29</v>
      </c>
      <c r="H806" t="n">
        <v>0</v>
      </c>
      <c r="I806" t="inlineStr">
        <is>
          <t>L</t>
        </is>
      </c>
      <c r="J806" t="inlineStr">
        <is>
          <t>S</t>
        </is>
      </c>
      <c r="K806" t="inlineStr"/>
      <c r="L806" t="inlineStr"/>
      <c r="M806" s="30">
        <f>0.005454*F806^2</f>
        <v/>
      </c>
      <c r="N806" s="31">
        <f>IF(D806="BAF20",20/M806,100)</f>
        <v/>
      </c>
      <c r="O806" s="31">
        <f>M806*N806</f>
        <v/>
      </c>
      <c r="P806" s="32">
        <f>0.0*N806</f>
        <v/>
      </c>
    </row>
    <row r="807">
      <c r="A807" t="inlineStr">
        <is>
          <t>U2-14</t>
        </is>
      </c>
      <c r="B807" t="n">
        <v>2</v>
      </c>
      <c r="C807" t="n">
        <v>1</v>
      </c>
      <c r="D807" t="inlineStr">
        <is>
          <t>BAF20</t>
        </is>
      </c>
      <c r="E807" t="inlineStr">
        <is>
          <t>DF</t>
        </is>
      </c>
      <c r="F807" t="n">
        <v>25.7</v>
      </c>
      <c r="G807" t="n">
        <v>108</v>
      </c>
      <c r="H807" t="n">
        <v>4</v>
      </c>
      <c r="I807" t="inlineStr">
        <is>
          <t>L</t>
        </is>
      </c>
      <c r="J807" t="inlineStr">
        <is>
          <t>D</t>
        </is>
      </c>
      <c r="K807" t="inlineStr"/>
      <c r="L807" t="inlineStr"/>
      <c r="M807" s="30">
        <f>0.005454*F807^2</f>
        <v/>
      </c>
      <c r="N807" s="31">
        <f>IF(D807="BAF20",20/M807,100)</f>
        <v/>
      </c>
      <c r="O807" s="31">
        <f>M807*N807</f>
        <v/>
      </c>
      <c r="P807" s="32">
        <f>736.0*N807</f>
        <v/>
      </c>
    </row>
    <row r="808">
      <c r="A808" t="inlineStr">
        <is>
          <t>U2-14</t>
        </is>
      </c>
      <c r="B808" t="n">
        <v>2</v>
      </c>
      <c r="C808" t="n">
        <v>2</v>
      </c>
      <c r="D808" t="inlineStr">
        <is>
          <t>BAF20</t>
        </is>
      </c>
      <c r="E808" t="inlineStr">
        <is>
          <t>WF</t>
        </is>
      </c>
      <c r="F808" t="n">
        <v>30.1</v>
      </c>
      <c r="G808" t="n">
        <v>117</v>
      </c>
      <c r="H808" t="n">
        <v>5</v>
      </c>
      <c r="I808" t="inlineStr">
        <is>
          <t>L</t>
        </is>
      </c>
      <c r="J808" t="inlineStr">
        <is>
          <t>D</t>
        </is>
      </c>
      <c r="K808" t="inlineStr"/>
      <c r="L808" t="inlineStr"/>
      <c r="M808" s="30">
        <f>0.005454*F808^2</f>
        <v/>
      </c>
      <c r="N808" s="31">
        <f>IF(D808="BAF20",20/M808,100)</f>
        <v/>
      </c>
      <c r="O808" s="31">
        <f>M808*N808</f>
        <v/>
      </c>
      <c r="P808" s="32">
        <f>1164.5*N808</f>
        <v/>
      </c>
    </row>
    <row r="809">
      <c r="A809" t="inlineStr">
        <is>
          <t>U2-14</t>
        </is>
      </c>
      <c r="B809" t="n">
        <v>2</v>
      </c>
      <c r="C809" t="n">
        <v>3</v>
      </c>
      <c r="D809" t="inlineStr">
        <is>
          <t>BAF20</t>
        </is>
      </c>
      <c r="E809" t="inlineStr">
        <is>
          <t>DF</t>
        </is>
      </c>
      <c r="F809" t="n">
        <v>23.5</v>
      </c>
      <c r="G809" t="n">
        <v>112</v>
      </c>
      <c r="H809" t="n">
        <v>10</v>
      </c>
      <c r="I809" t="inlineStr">
        <is>
          <t>L</t>
        </is>
      </c>
      <c r="J809" t="inlineStr">
        <is>
          <t>C</t>
        </is>
      </c>
      <c r="K809" t="inlineStr"/>
      <c r="L809" t="inlineStr"/>
      <c r="M809" s="30">
        <f>0.005454*F809^2</f>
        <v/>
      </c>
      <c r="N809" s="31">
        <f>IF(D809="BAF20",20/M809,100)</f>
        <v/>
      </c>
      <c r="O809" s="31">
        <f>M809*N809</f>
        <v/>
      </c>
      <c r="P809" s="32">
        <f>575.5*N809</f>
        <v/>
      </c>
    </row>
    <row r="810">
      <c r="A810" t="inlineStr">
        <is>
          <t>U2-14</t>
        </is>
      </c>
      <c r="B810" t="n">
        <v>2</v>
      </c>
      <c r="C810" t="n">
        <v>4</v>
      </c>
      <c r="D810" t="inlineStr">
        <is>
          <t>BAF20</t>
        </is>
      </c>
      <c r="E810" t="inlineStr">
        <is>
          <t>WF</t>
        </is>
      </c>
      <c r="F810" t="n">
        <v>14.3</v>
      </c>
      <c r="G810" t="n">
        <v>68</v>
      </c>
      <c r="H810" t="n">
        <v>9</v>
      </c>
      <c r="I810" t="inlineStr">
        <is>
          <t>L</t>
        </is>
      </c>
      <c r="J810" t="inlineStr">
        <is>
          <t>I</t>
        </is>
      </c>
      <c r="K810" t="inlineStr"/>
      <c r="L810" t="inlineStr"/>
      <c r="M810" s="30">
        <f>0.005454*F810^2</f>
        <v/>
      </c>
      <c r="N810" s="31">
        <f>IF(D810="BAF20",20/M810,100)</f>
        <v/>
      </c>
      <c r="O810" s="31">
        <f>M810*N810</f>
        <v/>
      </c>
      <c r="P810" s="32">
        <f>109.2*N810</f>
        <v/>
      </c>
    </row>
    <row r="811">
      <c r="A811" t="inlineStr">
        <is>
          <t>U2-14</t>
        </is>
      </c>
      <c r="B811" t="n">
        <v>2</v>
      </c>
      <c r="C811" t="n">
        <v>5</v>
      </c>
      <c r="D811" t="inlineStr">
        <is>
          <t>BAF20</t>
        </is>
      </c>
      <c r="E811" t="inlineStr">
        <is>
          <t>SP</t>
        </is>
      </c>
      <c r="F811" t="n">
        <v>13.4</v>
      </c>
      <c r="G811" t="n">
        <v>68</v>
      </c>
      <c r="H811" t="n">
        <v>6</v>
      </c>
      <c r="I811" t="inlineStr">
        <is>
          <t>L</t>
        </is>
      </c>
      <c r="J811" t="inlineStr">
        <is>
          <t>S</t>
        </is>
      </c>
      <c r="K811" t="inlineStr"/>
      <c r="L811" t="inlineStr"/>
      <c r="M811" s="30">
        <f>0.005454*F811^2</f>
        <v/>
      </c>
      <c r="N811" s="31">
        <f>IF(D811="BAF20",20/M811,100)</f>
        <v/>
      </c>
      <c r="O811" s="31">
        <f>M811*N811</f>
        <v/>
      </c>
      <c r="P811" s="32">
        <f>97.2*N811</f>
        <v/>
      </c>
    </row>
    <row r="812">
      <c r="A812" t="inlineStr">
        <is>
          <t>U2-14</t>
        </is>
      </c>
      <c r="B812" t="n">
        <v>2</v>
      </c>
      <c r="C812" t="n">
        <v>6</v>
      </c>
      <c r="D812" t="inlineStr">
        <is>
          <t>BAF20</t>
        </is>
      </c>
      <c r="E812" t="inlineStr">
        <is>
          <t>PP</t>
        </is>
      </c>
      <c r="F812" t="n">
        <v>7.1</v>
      </c>
      <c r="G812" t="n">
        <v>37</v>
      </c>
      <c r="H812" t="n">
        <v>0</v>
      </c>
      <c r="I812" t="inlineStr">
        <is>
          <t>L</t>
        </is>
      </c>
      <c r="J812" t="inlineStr">
        <is>
          <t>S</t>
        </is>
      </c>
      <c r="K812" t="inlineStr">
        <is>
          <t>Y</t>
        </is>
      </c>
      <c r="L812" t="inlineStr"/>
      <c r="M812" s="30">
        <f>0.005454*F812^2</f>
        <v/>
      </c>
      <c r="N812" s="31">
        <f>IF(D812="BAF20",20/M812,100)</f>
        <v/>
      </c>
      <c r="O812" s="31">
        <f>M812*N812</f>
        <v/>
      </c>
      <c r="P812" s="32">
        <f>0.0*N812</f>
        <v/>
      </c>
    </row>
    <row r="813">
      <c r="A813" t="inlineStr">
        <is>
          <t>U2-14</t>
        </is>
      </c>
      <c r="B813" t="n">
        <v>2</v>
      </c>
      <c r="C813" t="n">
        <v>7</v>
      </c>
      <c r="D813" t="inlineStr">
        <is>
          <t>BAF20</t>
        </is>
      </c>
      <c r="E813" t="inlineStr">
        <is>
          <t>PP</t>
        </is>
      </c>
      <c r="F813" t="n">
        <v>30.6</v>
      </c>
      <c r="G813" t="n">
        <v>118</v>
      </c>
      <c r="H813" t="n">
        <v>2</v>
      </c>
      <c r="I813" t="inlineStr">
        <is>
          <t>L</t>
        </is>
      </c>
      <c r="J813" t="inlineStr">
        <is>
          <t>D</t>
        </is>
      </c>
      <c r="K813" t="inlineStr"/>
      <c r="L813" t="inlineStr"/>
      <c r="M813" s="30">
        <f>0.005454*F813^2</f>
        <v/>
      </c>
      <c r="N813" s="31">
        <f>IF(D813="BAF20",20/M813,100)</f>
        <v/>
      </c>
      <c r="O813" s="31">
        <f>M813*N813</f>
        <v/>
      </c>
      <c r="P813" s="32">
        <f>1262.2*N813</f>
        <v/>
      </c>
    </row>
    <row r="814">
      <c r="A814" t="inlineStr">
        <is>
          <t>U2-14</t>
        </is>
      </c>
      <c r="B814" t="n">
        <v>2</v>
      </c>
      <c r="C814" t="n">
        <v>8</v>
      </c>
      <c r="D814" t="inlineStr">
        <is>
          <t>BAF20</t>
        </is>
      </c>
      <c r="E814" t="inlineStr">
        <is>
          <t>PP</t>
        </is>
      </c>
      <c r="F814" t="n">
        <v>22.7</v>
      </c>
      <c r="G814" t="n">
        <v>101</v>
      </c>
      <c r="H814" t="n">
        <v>5</v>
      </c>
      <c r="I814" t="inlineStr">
        <is>
          <t>L</t>
        </is>
      </c>
      <c r="J814" t="inlineStr">
        <is>
          <t>C</t>
        </is>
      </c>
      <c r="K814" t="inlineStr"/>
      <c r="L814" t="inlineStr"/>
      <c r="M814" s="30">
        <f>0.005454*F814^2</f>
        <v/>
      </c>
      <c r="N814" s="31">
        <f>IF(D814="BAF20",20/M814,100)</f>
        <v/>
      </c>
      <c r="O814" s="31">
        <f>M814*N814</f>
        <v/>
      </c>
      <c r="P814" s="32">
        <f>503.8*N814</f>
        <v/>
      </c>
    </row>
    <row r="815">
      <c r="A815" t="inlineStr">
        <is>
          <t>U2-14</t>
        </is>
      </c>
      <c r="B815" t="n">
        <v>2</v>
      </c>
      <c r="C815" t="n">
        <v>9</v>
      </c>
      <c r="D815" t="inlineStr">
        <is>
          <t>BAF20</t>
        </is>
      </c>
      <c r="E815" t="inlineStr">
        <is>
          <t>PP</t>
        </is>
      </c>
      <c r="F815" t="n">
        <v>22.3</v>
      </c>
      <c r="G815" t="n">
        <v>102</v>
      </c>
      <c r="H815" t="n">
        <v>6</v>
      </c>
      <c r="I815" t="inlineStr">
        <is>
          <t>L</t>
        </is>
      </c>
      <c r="J815" t="inlineStr">
        <is>
          <t>C</t>
        </is>
      </c>
      <c r="K815" t="inlineStr"/>
      <c r="L815" t="inlineStr"/>
      <c r="M815" s="30">
        <f>0.005454*F815^2</f>
        <v/>
      </c>
      <c r="N815" s="31">
        <f>IF(D815="BAF20",20/M815,100)</f>
        <v/>
      </c>
      <c r="O815" s="31">
        <f>M815*N815</f>
        <v/>
      </c>
      <c r="P815" s="32">
        <f>482.3*N815</f>
        <v/>
      </c>
    </row>
    <row r="816">
      <c r="A816" t="inlineStr">
        <is>
          <t>U2-14</t>
        </is>
      </c>
      <c r="B816" t="n">
        <v>2</v>
      </c>
      <c r="C816" t="n">
        <v>10</v>
      </c>
      <c r="D816" t="inlineStr">
        <is>
          <t>BAF20</t>
        </is>
      </c>
      <c r="E816" t="inlineStr">
        <is>
          <t>IC</t>
        </is>
      </c>
      <c r="F816" t="n">
        <v>10.2</v>
      </c>
      <c r="G816" t="n">
        <v>40</v>
      </c>
      <c r="H816" t="n">
        <v>3</v>
      </c>
      <c r="I816" t="inlineStr">
        <is>
          <t>L</t>
        </is>
      </c>
      <c r="J816" t="inlineStr">
        <is>
          <t>S</t>
        </is>
      </c>
      <c r="K816" t="inlineStr">
        <is>
          <t>Y</t>
        </is>
      </c>
      <c r="L816" t="inlineStr"/>
      <c r="M816" s="30">
        <f>0.005454*F816^2</f>
        <v/>
      </c>
      <c r="N816" s="31">
        <f>IF(D816="BAF20",20/M816,100)</f>
        <v/>
      </c>
      <c r="O816" s="31">
        <f>M816*N816</f>
        <v/>
      </c>
      <c r="P816" s="32">
        <f>31.8*N816</f>
        <v/>
      </c>
    </row>
    <row r="817">
      <c r="A817" t="inlineStr">
        <is>
          <t>U2-14</t>
        </is>
      </c>
      <c r="B817" t="n">
        <v>2</v>
      </c>
      <c r="C817" t="n">
        <v>11</v>
      </c>
      <c r="D817" t="inlineStr">
        <is>
          <t>BAF20</t>
        </is>
      </c>
      <c r="E817" t="inlineStr">
        <is>
          <t>PP</t>
        </is>
      </c>
      <c r="F817" t="n">
        <v>8.800000000000001</v>
      </c>
      <c r="G817" t="n">
        <v>44</v>
      </c>
      <c r="H817" t="n">
        <v>6</v>
      </c>
      <c r="I817" t="inlineStr">
        <is>
          <t>L</t>
        </is>
      </c>
      <c r="J817" t="inlineStr">
        <is>
          <t>S</t>
        </is>
      </c>
      <c r="K817" t="inlineStr">
        <is>
          <t>Y</t>
        </is>
      </c>
      <c r="L817" t="inlineStr"/>
      <c r="M817" s="30">
        <f>0.005454*F817^2</f>
        <v/>
      </c>
      <c r="N817" s="31">
        <f>IF(D817="BAF20",20/M817,100)</f>
        <v/>
      </c>
      <c r="O817" s="31">
        <f>M817*N817</f>
        <v/>
      </c>
      <c r="P817" s="32">
        <f>0.0*N817</f>
        <v/>
      </c>
    </row>
    <row r="818">
      <c r="A818" t="inlineStr">
        <is>
          <t>U2-14</t>
        </is>
      </c>
      <c r="B818" t="n">
        <v>2</v>
      </c>
      <c r="C818" t="n">
        <v>12</v>
      </c>
      <c r="D818" t="inlineStr">
        <is>
          <t>BAF20</t>
        </is>
      </c>
      <c r="E818" t="inlineStr">
        <is>
          <t>PP</t>
        </is>
      </c>
      <c r="F818" t="n">
        <v>10</v>
      </c>
      <c r="G818" t="n">
        <v>54</v>
      </c>
      <c r="H818" t="n">
        <v>8</v>
      </c>
      <c r="I818" t="inlineStr">
        <is>
          <t>L</t>
        </is>
      </c>
      <c r="J818" t="inlineStr">
        <is>
          <t>S</t>
        </is>
      </c>
      <c r="K818" t="inlineStr">
        <is>
          <t>Y</t>
        </is>
      </c>
      <c r="L818" t="inlineStr"/>
      <c r="M818" s="30">
        <f>0.005454*F818^2</f>
        <v/>
      </c>
      <c r="N818" s="31">
        <f>IF(D818="BAF20",20/M818,100)</f>
        <v/>
      </c>
      <c r="O818" s="31">
        <f>M818*N818</f>
        <v/>
      </c>
      <c r="P818" s="32">
        <f>38.9*N818</f>
        <v/>
      </c>
    </row>
    <row r="819">
      <c r="A819" t="inlineStr">
        <is>
          <t>U2-14</t>
        </is>
      </c>
      <c r="B819" t="n">
        <v>2</v>
      </c>
      <c r="C819" t="n">
        <v>13</v>
      </c>
      <c r="D819" t="inlineStr">
        <is>
          <t>BAF20</t>
        </is>
      </c>
      <c r="E819" t="inlineStr">
        <is>
          <t>UNK</t>
        </is>
      </c>
      <c r="F819" t="n">
        <v>25.3</v>
      </c>
      <c r="G819" t="n">
        <v>104</v>
      </c>
      <c r="H819" t="n">
        <v>5</v>
      </c>
      <c r="I819" t="inlineStr">
        <is>
          <t>L</t>
        </is>
      </c>
      <c r="J819" t="inlineStr">
        <is>
          <t>C</t>
        </is>
      </c>
      <c r="K819" t="inlineStr"/>
      <c r="L819" t="inlineStr"/>
      <c r="M819" s="30">
        <f>0.005454*F819^2</f>
        <v/>
      </c>
      <c r="N819" s="31">
        <f>IF(D819="BAF20",20/M819,100)</f>
        <v/>
      </c>
      <c r="O819" s="31">
        <f>M819*N819</f>
        <v/>
      </c>
      <c r="P819" s="32">
        <f>675.0*N819</f>
        <v/>
      </c>
    </row>
    <row r="820">
      <c r="A820" t="inlineStr">
        <is>
          <t>U2-14</t>
        </is>
      </c>
      <c r="B820" t="n">
        <v>2</v>
      </c>
      <c r="C820" t="n">
        <v>14</v>
      </c>
      <c r="D820" t="inlineStr">
        <is>
          <t>BAF20</t>
        </is>
      </c>
      <c r="E820" t="inlineStr">
        <is>
          <t>DF</t>
        </is>
      </c>
      <c r="F820" t="n">
        <v>21.5</v>
      </c>
      <c r="G820" t="n">
        <v>86</v>
      </c>
      <c r="H820" t="n">
        <v>1</v>
      </c>
      <c r="I820" t="inlineStr">
        <is>
          <t>L</t>
        </is>
      </c>
      <c r="J820" t="inlineStr">
        <is>
          <t>C</t>
        </is>
      </c>
      <c r="K820" t="inlineStr"/>
      <c r="L820" t="inlineStr"/>
      <c r="M820" s="30">
        <f>0.005454*F820^2</f>
        <v/>
      </c>
      <c r="N820" s="31">
        <f>IF(D820="BAF20",20/M820,100)</f>
        <v/>
      </c>
      <c r="O820" s="31">
        <f>M820*N820</f>
        <v/>
      </c>
      <c r="P820" s="32">
        <f>392.3*N820</f>
        <v/>
      </c>
    </row>
    <row r="821">
      <c r="A821" t="inlineStr">
        <is>
          <t>U2-14</t>
        </is>
      </c>
      <c r="B821" t="n">
        <v>2</v>
      </c>
      <c r="C821" t="n">
        <v>15</v>
      </c>
      <c r="D821" t="inlineStr">
        <is>
          <t>BAF20</t>
        </is>
      </c>
      <c r="E821" t="inlineStr">
        <is>
          <t>DF</t>
        </is>
      </c>
      <c r="F821" t="n">
        <v>14.1</v>
      </c>
      <c r="G821" t="n">
        <v>64</v>
      </c>
      <c r="H821" t="n">
        <v>7</v>
      </c>
      <c r="I821" t="inlineStr">
        <is>
          <t>L</t>
        </is>
      </c>
      <c r="J821" t="inlineStr">
        <is>
          <t>I</t>
        </is>
      </c>
      <c r="K821" t="inlineStr"/>
      <c r="L821" t="inlineStr"/>
      <c r="M821" s="30">
        <f>0.005454*F821^2</f>
        <v/>
      </c>
      <c r="N821" s="31">
        <f>IF(D821="BAF20",20/M821,100)</f>
        <v/>
      </c>
      <c r="O821" s="31">
        <f>M821*N821</f>
        <v/>
      </c>
      <c r="P821" s="32">
        <f>101.7*N821</f>
        <v/>
      </c>
    </row>
    <row r="822">
      <c r="A822" t="inlineStr">
        <is>
          <t>U2-14</t>
        </is>
      </c>
      <c r="B822" t="n">
        <v>2</v>
      </c>
      <c r="C822" t="n">
        <v>16</v>
      </c>
      <c r="D822" t="inlineStr">
        <is>
          <t>BAF20</t>
        </is>
      </c>
      <c r="E822" t="inlineStr">
        <is>
          <t>SP</t>
        </is>
      </c>
      <c r="F822" t="n">
        <v>38.7</v>
      </c>
      <c r="G822" t="n">
        <v>150</v>
      </c>
      <c r="H822" t="n">
        <v>1</v>
      </c>
      <c r="I822" t="inlineStr">
        <is>
          <t>L</t>
        </is>
      </c>
      <c r="J822" t="inlineStr">
        <is>
          <t>D</t>
        </is>
      </c>
      <c r="K822" t="inlineStr"/>
      <c r="L822" t="inlineStr"/>
      <c r="M822" s="30">
        <f>0.005454*F822^2</f>
        <v/>
      </c>
      <c r="N822" s="31">
        <f>IF(D822="BAF20",20/M822,100)</f>
        <v/>
      </c>
      <c r="O822" s="31">
        <f>M822*N822</f>
        <v/>
      </c>
      <c r="P822" s="32">
        <f>2842.8*N822</f>
        <v/>
      </c>
    </row>
    <row r="823">
      <c r="A823" t="inlineStr">
        <is>
          <t>U2-14</t>
        </is>
      </c>
      <c r="B823" t="n">
        <v>2</v>
      </c>
      <c r="C823" t="n">
        <v>17</v>
      </c>
      <c r="D823" t="inlineStr">
        <is>
          <t>BAF20</t>
        </is>
      </c>
      <c r="E823" t="inlineStr">
        <is>
          <t>WF</t>
        </is>
      </c>
      <c r="F823" t="n">
        <v>19.8</v>
      </c>
      <c r="G823" t="n">
        <v>94</v>
      </c>
      <c r="H823" t="n">
        <v>1</v>
      </c>
      <c r="I823" t="inlineStr">
        <is>
          <t>L</t>
        </is>
      </c>
      <c r="J823" t="inlineStr">
        <is>
          <t>C</t>
        </is>
      </c>
      <c r="K823" t="inlineStr"/>
      <c r="L823" t="inlineStr"/>
      <c r="M823" s="30">
        <f>0.005454*F823^2</f>
        <v/>
      </c>
      <c r="N823" s="31">
        <f>IF(D823="BAF20",20/M823,100)</f>
        <v/>
      </c>
      <c r="O823" s="31">
        <f>M823*N823</f>
        <v/>
      </c>
      <c r="P823" s="32">
        <f>352.2*N823</f>
        <v/>
      </c>
    </row>
    <row r="824">
      <c r="A824" t="inlineStr">
        <is>
          <t>U2-14</t>
        </is>
      </c>
      <c r="B824" t="n">
        <v>2</v>
      </c>
      <c r="C824" t="n">
        <v>18</v>
      </c>
      <c r="D824" t="inlineStr">
        <is>
          <t>FIX100</t>
        </is>
      </c>
      <c r="E824" t="inlineStr">
        <is>
          <t>BO</t>
        </is>
      </c>
      <c r="F824" t="n">
        <v>1.2</v>
      </c>
      <c r="G824" t="n">
        <v>7</v>
      </c>
      <c r="H824" t="n">
        <v>0</v>
      </c>
      <c r="I824" t="inlineStr">
        <is>
          <t>L</t>
        </is>
      </c>
      <c r="J824" t="inlineStr">
        <is>
          <t>S</t>
        </is>
      </c>
      <c r="K824" t="inlineStr"/>
      <c r="L824" t="inlineStr"/>
      <c r="M824" s="30">
        <f>0.005454*F824^2</f>
        <v/>
      </c>
      <c r="N824" s="31">
        <f>IF(D824="BAF20",20/M824,100)</f>
        <v/>
      </c>
      <c r="O824" s="31">
        <f>M824*N824</f>
        <v/>
      </c>
      <c r="P824" s="32">
        <f>0.0*N824</f>
        <v/>
      </c>
    </row>
    <row r="825">
      <c r="A825" t="inlineStr">
        <is>
          <t>U2-14</t>
        </is>
      </c>
      <c r="B825" t="n">
        <v>2</v>
      </c>
      <c r="C825" t="n">
        <v>19</v>
      </c>
      <c r="D825" t="inlineStr">
        <is>
          <t>FIX100</t>
        </is>
      </c>
      <c r="E825" t="inlineStr">
        <is>
          <t>PP</t>
        </is>
      </c>
      <c r="F825" t="n">
        <v>3.3</v>
      </c>
      <c r="G825" t="n">
        <v>14</v>
      </c>
      <c r="H825" t="n">
        <v>0</v>
      </c>
      <c r="I825" t="inlineStr">
        <is>
          <t>L</t>
        </is>
      </c>
      <c r="J825" t="inlineStr">
        <is>
          <t>S</t>
        </is>
      </c>
      <c r="K825" t="inlineStr"/>
      <c r="L825" t="inlineStr"/>
      <c r="M825" s="30">
        <f>0.005454*F825^2</f>
        <v/>
      </c>
      <c r="N825" s="31">
        <f>IF(D825="BAF20",20/M825,100)</f>
        <v/>
      </c>
      <c r="O825" s="31">
        <f>M825*N825</f>
        <v/>
      </c>
      <c r="P825" s="32">
        <f>0.0*N825</f>
        <v/>
      </c>
    </row>
    <row r="826">
      <c r="A826" t="inlineStr">
        <is>
          <t>U2-14</t>
        </is>
      </c>
      <c r="B826" t="n">
        <v>2</v>
      </c>
      <c r="C826" t="n">
        <v>20</v>
      </c>
      <c r="D826" t="inlineStr">
        <is>
          <t>FIX100</t>
        </is>
      </c>
      <c r="E826" t="inlineStr">
        <is>
          <t>PP</t>
        </is>
      </c>
      <c r="F826" t="n">
        <v>4.5</v>
      </c>
      <c r="G826" t="n">
        <v>27</v>
      </c>
      <c r="H826" t="n">
        <v>0</v>
      </c>
      <c r="I826" t="inlineStr">
        <is>
          <t>L</t>
        </is>
      </c>
      <c r="J826" t="inlineStr">
        <is>
          <t>S</t>
        </is>
      </c>
      <c r="K826" t="inlineStr"/>
      <c r="L826" t="inlineStr"/>
      <c r="M826" s="30">
        <f>0.005454*F826^2</f>
        <v/>
      </c>
      <c r="N826" s="31">
        <f>IF(D826="BAF20",20/M826,100)</f>
        <v/>
      </c>
      <c r="O826" s="31">
        <f>M826*N826</f>
        <v/>
      </c>
      <c r="P826" s="32">
        <f>0.0*N826</f>
        <v/>
      </c>
    </row>
    <row r="827">
      <c r="A827" t="inlineStr">
        <is>
          <t>U2-14</t>
        </is>
      </c>
      <c r="B827" t="n">
        <v>2</v>
      </c>
      <c r="C827" t="n">
        <v>21</v>
      </c>
      <c r="D827" t="inlineStr">
        <is>
          <t>FIX100</t>
        </is>
      </c>
      <c r="E827" t="inlineStr">
        <is>
          <t>PP</t>
        </is>
      </c>
      <c r="F827" t="n">
        <v>4.5</v>
      </c>
      <c r="G827" t="n">
        <v>22</v>
      </c>
      <c r="H827" t="n">
        <v>0</v>
      </c>
      <c r="I827" t="inlineStr">
        <is>
          <t>L</t>
        </is>
      </c>
      <c r="J827" t="inlineStr">
        <is>
          <t>S</t>
        </is>
      </c>
      <c r="K827" t="inlineStr"/>
      <c r="L827" t="inlineStr"/>
      <c r="M827" s="30">
        <f>0.005454*F827^2</f>
        <v/>
      </c>
      <c r="N827" s="31">
        <f>IF(D827="BAF20",20/M827,100)</f>
        <v/>
      </c>
      <c r="O827" s="31">
        <f>M827*N827</f>
        <v/>
      </c>
      <c r="P827" s="32">
        <f>0.0*N827</f>
        <v/>
      </c>
    </row>
    <row r="828">
      <c r="A828" t="inlineStr">
        <is>
          <t>U2-14</t>
        </is>
      </c>
      <c r="B828" t="n">
        <v>2</v>
      </c>
      <c r="C828" t="n">
        <v>22</v>
      </c>
      <c r="D828" t="inlineStr">
        <is>
          <t>FIX100</t>
        </is>
      </c>
      <c r="E828" t="inlineStr">
        <is>
          <t>PP</t>
        </is>
      </c>
      <c r="F828" t="n">
        <v>1.5</v>
      </c>
      <c r="G828" t="n">
        <v>11</v>
      </c>
      <c r="H828" t="n">
        <v>0</v>
      </c>
      <c r="I828" t="inlineStr">
        <is>
          <t>L</t>
        </is>
      </c>
      <c r="J828" t="inlineStr">
        <is>
          <t>S</t>
        </is>
      </c>
      <c r="K828" t="inlineStr"/>
      <c r="L828" t="inlineStr"/>
      <c r="M828" s="30">
        <f>0.005454*F828^2</f>
        <v/>
      </c>
      <c r="N828" s="31">
        <f>IF(D828="BAF20",20/M828,100)</f>
        <v/>
      </c>
      <c r="O828" s="31">
        <f>M828*N828</f>
        <v/>
      </c>
      <c r="P828" s="32">
        <f>0.0*N828</f>
        <v/>
      </c>
    </row>
    <row r="829">
      <c r="A829" t="inlineStr">
        <is>
          <t>U2-15</t>
        </is>
      </c>
      <c r="B829" t="n">
        <v>2</v>
      </c>
      <c r="C829" t="n">
        <v>1</v>
      </c>
      <c r="D829" t="inlineStr">
        <is>
          <t>BAF20</t>
        </is>
      </c>
      <c r="E829" t="inlineStr">
        <is>
          <t>PP</t>
        </is>
      </c>
      <c r="F829" t="n">
        <v>12.4</v>
      </c>
      <c r="G829" t="n">
        <v>62</v>
      </c>
      <c r="H829" t="n">
        <v>2</v>
      </c>
      <c r="I829" t="inlineStr">
        <is>
          <t>L</t>
        </is>
      </c>
      <c r="J829" t="inlineStr">
        <is>
          <t>S</t>
        </is>
      </c>
      <c r="K829" t="inlineStr">
        <is>
          <t>Y</t>
        </is>
      </c>
      <c r="L829" t="inlineStr"/>
      <c r="M829" s="30">
        <f>0.005454*F829^2</f>
        <v/>
      </c>
      <c r="N829" s="31">
        <f>IF(D829="BAF20",20/M829,100)</f>
        <v/>
      </c>
      <c r="O829" s="31">
        <f>M829*N829</f>
        <v/>
      </c>
      <c r="P829" s="32">
        <f>77.4*N829</f>
        <v/>
      </c>
    </row>
    <row r="830">
      <c r="A830" t="inlineStr">
        <is>
          <t>U2-15</t>
        </is>
      </c>
      <c r="B830" t="n">
        <v>2</v>
      </c>
      <c r="C830" t="n">
        <v>2</v>
      </c>
      <c r="D830" t="inlineStr">
        <is>
          <t>BAF20</t>
        </is>
      </c>
      <c r="E830" t="inlineStr">
        <is>
          <t>WF</t>
        </is>
      </c>
      <c r="F830" t="n">
        <v>22</v>
      </c>
      <c r="G830" t="n">
        <v>85</v>
      </c>
      <c r="H830" t="n">
        <v>12</v>
      </c>
      <c r="I830" t="inlineStr">
        <is>
          <t>L</t>
        </is>
      </c>
      <c r="J830" t="inlineStr">
        <is>
          <t>C</t>
        </is>
      </c>
      <c r="K830" t="inlineStr"/>
      <c r="L830" t="inlineStr"/>
      <c r="M830" s="30">
        <f>0.005454*F830^2</f>
        <v/>
      </c>
      <c r="N830" s="31">
        <f>IF(D830="BAF20",20/M830,100)</f>
        <v/>
      </c>
      <c r="O830" s="31">
        <f>M830*N830</f>
        <v/>
      </c>
      <c r="P830" s="32">
        <f>364.2*N830</f>
        <v/>
      </c>
    </row>
    <row r="831">
      <c r="A831" t="inlineStr">
        <is>
          <t>U2-15</t>
        </is>
      </c>
      <c r="B831" t="n">
        <v>2</v>
      </c>
      <c r="C831" t="n">
        <v>3</v>
      </c>
      <c r="D831" t="inlineStr">
        <is>
          <t>BAF20</t>
        </is>
      </c>
      <c r="E831" t="inlineStr">
        <is>
          <t>PP</t>
        </is>
      </c>
      <c r="F831" t="n">
        <v>25.9</v>
      </c>
      <c r="G831" t="n">
        <v>110</v>
      </c>
      <c r="H831" t="n">
        <v>3</v>
      </c>
      <c r="I831" t="inlineStr">
        <is>
          <t>L</t>
        </is>
      </c>
      <c r="J831" t="inlineStr">
        <is>
          <t>D</t>
        </is>
      </c>
      <c r="K831" t="inlineStr"/>
      <c r="L831" t="inlineStr"/>
      <c r="M831" s="30">
        <f>0.005454*F831^2</f>
        <v/>
      </c>
      <c r="N831" s="31">
        <f>IF(D831="BAF20",20/M831,100)</f>
        <v/>
      </c>
      <c r="O831" s="31">
        <f>M831*N831</f>
        <v/>
      </c>
      <c r="P831" s="32">
        <f>771.9*N831</f>
        <v/>
      </c>
    </row>
    <row r="832">
      <c r="A832" t="inlineStr">
        <is>
          <t>U2-15</t>
        </is>
      </c>
      <c r="B832" t="n">
        <v>2</v>
      </c>
      <c r="C832" t="n">
        <v>4</v>
      </c>
      <c r="D832" t="inlineStr">
        <is>
          <t>BAF20</t>
        </is>
      </c>
      <c r="E832" t="inlineStr">
        <is>
          <t>PP</t>
        </is>
      </c>
      <c r="F832" t="n">
        <v>11.9</v>
      </c>
      <c r="G832" t="n">
        <v>55</v>
      </c>
      <c r="H832" t="n">
        <v>4</v>
      </c>
      <c r="I832" t="inlineStr">
        <is>
          <t>L</t>
        </is>
      </c>
      <c r="J832" t="inlineStr">
        <is>
          <t>S</t>
        </is>
      </c>
      <c r="K832" t="inlineStr">
        <is>
          <t>Y</t>
        </is>
      </c>
      <c r="L832" t="inlineStr"/>
      <c r="M832" s="30">
        <f>0.005454*F832^2</f>
        <v/>
      </c>
      <c r="N832" s="31">
        <f>IF(D832="BAF20",20/M832,100)</f>
        <v/>
      </c>
      <c r="O832" s="31">
        <f>M832*N832</f>
        <v/>
      </c>
      <c r="P832" s="32">
        <f>61.2*N832</f>
        <v/>
      </c>
    </row>
    <row r="833">
      <c r="A833" t="inlineStr">
        <is>
          <t>U2-15</t>
        </is>
      </c>
      <c r="B833" t="n">
        <v>2</v>
      </c>
      <c r="C833" t="n">
        <v>5</v>
      </c>
      <c r="D833" t="inlineStr">
        <is>
          <t>BAF20</t>
        </is>
      </c>
      <c r="E833" t="inlineStr">
        <is>
          <t>BO</t>
        </is>
      </c>
      <c r="F833" t="n">
        <v>6.9</v>
      </c>
      <c r="G833" t="n">
        <v>31</v>
      </c>
      <c r="H833" t="n">
        <v>3</v>
      </c>
      <c r="I833" t="inlineStr">
        <is>
          <t>L</t>
        </is>
      </c>
      <c r="J833" t="inlineStr">
        <is>
          <t>S</t>
        </is>
      </c>
      <c r="K833" t="inlineStr">
        <is>
          <t>Y</t>
        </is>
      </c>
      <c r="L833" t="inlineStr"/>
      <c r="M833" s="30">
        <f>0.005454*F833^2</f>
        <v/>
      </c>
      <c r="N833" s="31">
        <f>IF(D833="BAF20",20/M833,100)</f>
        <v/>
      </c>
      <c r="O833" s="31">
        <f>M833*N833</f>
        <v/>
      </c>
      <c r="P833" s="32">
        <f>0.0*N833</f>
        <v/>
      </c>
    </row>
    <row r="834">
      <c r="A834" t="inlineStr">
        <is>
          <t>U2-15</t>
        </is>
      </c>
      <c r="B834" t="n">
        <v>2</v>
      </c>
      <c r="C834" t="n">
        <v>6</v>
      </c>
      <c r="D834" t="inlineStr">
        <is>
          <t>BAF20</t>
        </is>
      </c>
      <c r="E834" t="inlineStr">
        <is>
          <t>WF</t>
        </is>
      </c>
      <c r="F834" t="n">
        <v>22.5</v>
      </c>
      <c r="G834" t="n">
        <v>95</v>
      </c>
      <c r="H834" t="n">
        <v>16</v>
      </c>
      <c r="I834" t="inlineStr">
        <is>
          <t>L</t>
        </is>
      </c>
      <c r="J834" t="inlineStr">
        <is>
          <t>C</t>
        </is>
      </c>
      <c r="K834" t="inlineStr"/>
      <c r="L834" t="inlineStr"/>
      <c r="M834" s="30">
        <f>0.005454*F834^2</f>
        <v/>
      </c>
      <c r="N834" s="31">
        <f>IF(D834="BAF20",20/M834,100)</f>
        <v/>
      </c>
      <c r="O834" s="31">
        <f>M834*N834</f>
        <v/>
      </c>
      <c r="P834" s="32">
        <f>410.2*N834</f>
        <v/>
      </c>
    </row>
    <row r="835">
      <c r="A835" t="inlineStr">
        <is>
          <t>U2-15</t>
        </is>
      </c>
      <c r="B835" t="n">
        <v>2</v>
      </c>
      <c r="C835" t="n">
        <v>7</v>
      </c>
      <c r="D835" t="inlineStr">
        <is>
          <t>BAF20</t>
        </is>
      </c>
      <c r="E835" t="inlineStr">
        <is>
          <t>PP</t>
        </is>
      </c>
      <c r="F835" t="n">
        <v>33.4</v>
      </c>
      <c r="G835" t="n">
        <v>123</v>
      </c>
      <c r="H835" t="n">
        <v>3</v>
      </c>
      <c r="I835" t="inlineStr">
        <is>
          <t>L</t>
        </is>
      </c>
      <c r="J835" t="inlineStr">
        <is>
          <t>D</t>
        </is>
      </c>
      <c r="K835" t="inlineStr"/>
      <c r="L835" t="inlineStr"/>
      <c r="M835" s="30">
        <f>0.005454*F835^2</f>
        <v/>
      </c>
      <c r="N835" s="31">
        <f>IF(D835="BAF20",20/M835,100)</f>
        <v/>
      </c>
      <c r="O835" s="31">
        <f>M835*N835</f>
        <v/>
      </c>
      <c r="P835" s="32">
        <f>1620.6*N835</f>
        <v/>
      </c>
    </row>
    <row r="836">
      <c r="A836" t="inlineStr">
        <is>
          <t>U2-15</t>
        </is>
      </c>
      <c r="B836" t="n">
        <v>2</v>
      </c>
      <c r="C836" t="n">
        <v>8</v>
      </c>
      <c r="D836" t="inlineStr">
        <is>
          <t>BAF20</t>
        </is>
      </c>
      <c r="E836" t="inlineStr">
        <is>
          <t>WF</t>
        </is>
      </c>
      <c r="F836" t="n">
        <v>15.5</v>
      </c>
      <c r="G836" t="n">
        <v>70</v>
      </c>
      <c r="H836" t="n">
        <v>4</v>
      </c>
      <c r="I836" t="inlineStr">
        <is>
          <t>L</t>
        </is>
      </c>
      <c r="J836" t="inlineStr">
        <is>
          <t>I</t>
        </is>
      </c>
      <c r="K836" t="inlineStr"/>
      <c r="L836" t="inlineStr"/>
      <c r="M836" s="30">
        <f>0.005454*F836^2</f>
        <v/>
      </c>
      <c r="N836" s="31">
        <f>IF(D836="BAF20",20/M836,100)</f>
        <v/>
      </c>
      <c r="O836" s="31">
        <f>M836*N836</f>
        <v/>
      </c>
      <c r="P836" s="32">
        <f>143.0*N836</f>
        <v/>
      </c>
    </row>
    <row r="837">
      <c r="A837" t="inlineStr">
        <is>
          <t>U2-15</t>
        </is>
      </c>
      <c r="B837" t="n">
        <v>2</v>
      </c>
      <c r="C837" t="n">
        <v>9</v>
      </c>
      <c r="D837" t="inlineStr">
        <is>
          <t>BAF20</t>
        </is>
      </c>
      <c r="E837" t="inlineStr">
        <is>
          <t>WF</t>
        </is>
      </c>
      <c r="F837" t="n">
        <v>15.1</v>
      </c>
      <c r="G837" t="n">
        <v>74</v>
      </c>
      <c r="H837" t="n">
        <v>5</v>
      </c>
      <c r="I837" t="inlineStr">
        <is>
          <t>L</t>
        </is>
      </c>
      <c r="J837" t="inlineStr">
        <is>
          <t>I</t>
        </is>
      </c>
      <c r="K837" t="inlineStr"/>
      <c r="L837" t="inlineStr"/>
      <c r="M837" s="30">
        <f>0.005454*F837^2</f>
        <v/>
      </c>
      <c r="N837" s="31">
        <f>IF(D837="BAF20",20/M837,100)</f>
        <v/>
      </c>
      <c r="O837" s="31">
        <f>M837*N837</f>
        <v/>
      </c>
      <c r="P837" s="32">
        <f>140.7*N837</f>
        <v/>
      </c>
    </row>
    <row r="838">
      <c r="A838" t="inlineStr">
        <is>
          <t>U2-15</t>
        </is>
      </c>
      <c r="B838" t="n">
        <v>2</v>
      </c>
      <c r="C838" t="n">
        <v>10</v>
      </c>
      <c r="D838" t="inlineStr">
        <is>
          <t>FIX100</t>
        </is>
      </c>
      <c r="E838" t="inlineStr">
        <is>
          <t>BO</t>
        </is>
      </c>
      <c r="F838" t="n">
        <v>1.7</v>
      </c>
      <c r="G838" t="n">
        <v>10</v>
      </c>
      <c r="H838" t="n">
        <v>0</v>
      </c>
      <c r="I838" t="inlineStr">
        <is>
          <t>L</t>
        </is>
      </c>
      <c r="J838" t="inlineStr">
        <is>
          <t>S</t>
        </is>
      </c>
      <c r="K838" t="inlineStr"/>
      <c r="L838" t="inlineStr"/>
      <c r="M838" s="30">
        <f>0.005454*F838^2</f>
        <v/>
      </c>
      <c r="N838" s="31">
        <f>IF(D838="BAF20",20/M838,100)</f>
        <v/>
      </c>
      <c r="O838" s="31">
        <f>M838*N838</f>
        <v/>
      </c>
      <c r="P838" s="32">
        <f>0.0*N838</f>
        <v/>
      </c>
    </row>
    <row r="839">
      <c r="A839" t="inlineStr">
        <is>
          <t>U2-16</t>
        </is>
      </c>
      <c r="B839" t="n">
        <v>2</v>
      </c>
      <c r="C839" t="n">
        <v>1</v>
      </c>
      <c r="D839" t="inlineStr">
        <is>
          <t>BAF20</t>
        </is>
      </c>
      <c r="E839" t="inlineStr">
        <is>
          <t>BO</t>
        </is>
      </c>
      <c r="F839" t="n">
        <v>9.9</v>
      </c>
      <c r="G839" t="n">
        <v>37</v>
      </c>
      <c r="H839" t="n">
        <v>13</v>
      </c>
      <c r="I839" t="inlineStr">
        <is>
          <t>L</t>
        </is>
      </c>
      <c r="J839" t="inlineStr">
        <is>
          <t>S</t>
        </is>
      </c>
      <c r="K839" t="inlineStr">
        <is>
          <t>Y</t>
        </is>
      </c>
      <c r="L839" t="inlineStr"/>
      <c r="M839" s="30">
        <f>0.005454*F839^2</f>
        <v/>
      </c>
      <c r="N839" s="31">
        <f>IF(D839="BAF20",20/M839,100)</f>
        <v/>
      </c>
      <c r="O839" s="31">
        <f>M839*N839</f>
        <v/>
      </c>
      <c r="P839" s="32">
        <f>0.0*N839</f>
        <v/>
      </c>
    </row>
    <row r="840">
      <c r="A840" t="inlineStr">
        <is>
          <t>U2-16</t>
        </is>
      </c>
      <c r="B840" t="n">
        <v>2</v>
      </c>
      <c r="C840" t="n">
        <v>2</v>
      </c>
      <c r="D840" t="inlineStr">
        <is>
          <t>BAF20</t>
        </is>
      </c>
      <c r="E840" t="inlineStr">
        <is>
          <t>IC</t>
        </is>
      </c>
      <c r="F840" t="n">
        <v>10.2</v>
      </c>
      <c r="G840" t="n">
        <v>44</v>
      </c>
      <c r="H840" t="n">
        <v>3</v>
      </c>
      <c r="I840" t="inlineStr">
        <is>
          <t>L</t>
        </is>
      </c>
      <c r="J840" t="inlineStr">
        <is>
          <t>S</t>
        </is>
      </c>
      <c r="K840" t="inlineStr">
        <is>
          <t>Y</t>
        </is>
      </c>
      <c r="L840" t="inlineStr"/>
      <c r="M840" s="30">
        <f>0.005454*F840^2</f>
        <v/>
      </c>
      <c r="N840" s="31">
        <f>IF(D840="BAF20",20/M840,100)</f>
        <v/>
      </c>
      <c r="O840" s="31">
        <f>M840*N840</f>
        <v/>
      </c>
      <c r="P840" s="32">
        <f>35.0*N840</f>
        <v/>
      </c>
    </row>
    <row r="841">
      <c r="A841" t="inlineStr">
        <is>
          <t>U2-16</t>
        </is>
      </c>
      <c r="B841" t="n">
        <v>2</v>
      </c>
      <c r="C841" t="n">
        <v>3</v>
      </c>
      <c r="D841" t="inlineStr">
        <is>
          <t>BAF20</t>
        </is>
      </c>
      <c r="E841" t="inlineStr">
        <is>
          <t>PP</t>
        </is>
      </c>
      <c r="F841" t="n">
        <v>8.300000000000001</v>
      </c>
      <c r="G841" t="n">
        <v>43</v>
      </c>
      <c r="H841" t="n">
        <v>1</v>
      </c>
      <c r="I841" t="inlineStr">
        <is>
          <t>L</t>
        </is>
      </c>
      <c r="J841" t="inlineStr">
        <is>
          <t>S</t>
        </is>
      </c>
      <c r="K841" t="inlineStr">
        <is>
          <t>Y</t>
        </is>
      </c>
      <c r="L841" t="inlineStr"/>
      <c r="M841" s="30">
        <f>0.005454*F841^2</f>
        <v/>
      </c>
      <c r="N841" s="31">
        <f>IF(D841="BAF20",20/M841,100)</f>
        <v/>
      </c>
      <c r="O841" s="31">
        <f>M841*N841</f>
        <v/>
      </c>
      <c r="P841" s="32">
        <f>0.0*N841</f>
        <v/>
      </c>
    </row>
    <row r="842">
      <c r="A842" t="inlineStr">
        <is>
          <t>U2-16</t>
        </is>
      </c>
      <c r="B842" t="n">
        <v>2</v>
      </c>
      <c r="C842" t="n">
        <v>4</v>
      </c>
      <c r="D842" t="inlineStr">
        <is>
          <t>BAF20</t>
        </is>
      </c>
      <c r="E842" t="inlineStr">
        <is>
          <t>PP</t>
        </is>
      </c>
      <c r="F842" t="n">
        <v>16.5</v>
      </c>
      <c r="G842" t="n">
        <v>71</v>
      </c>
      <c r="H842" t="n">
        <v>2</v>
      </c>
      <c r="I842" t="inlineStr">
        <is>
          <t>L</t>
        </is>
      </c>
      <c r="J842" t="inlineStr">
        <is>
          <t>I</t>
        </is>
      </c>
      <c r="K842" t="inlineStr"/>
      <c r="L842" t="inlineStr"/>
      <c r="M842" s="30">
        <f>0.005454*F842^2</f>
        <v/>
      </c>
      <c r="N842" s="31">
        <f>IF(D842="BAF20",20/M842,100)</f>
        <v/>
      </c>
      <c r="O842" s="31">
        <f>M842*N842</f>
        <v/>
      </c>
      <c r="P842" s="32">
        <f>171.2*N842</f>
        <v/>
      </c>
    </row>
    <row r="843">
      <c r="A843" t="inlineStr">
        <is>
          <t>U2-16</t>
        </is>
      </c>
      <c r="B843" t="n">
        <v>2</v>
      </c>
      <c r="C843" t="n">
        <v>5</v>
      </c>
      <c r="D843" t="inlineStr">
        <is>
          <t>BAF20</t>
        </is>
      </c>
      <c r="E843" t="inlineStr">
        <is>
          <t>PP</t>
        </is>
      </c>
      <c r="F843" t="n">
        <v>18.7</v>
      </c>
      <c r="G843" t="n">
        <v>80</v>
      </c>
      <c r="H843" t="n">
        <v>3</v>
      </c>
      <c r="I843" t="inlineStr">
        <is>
          <t>L</t>
        </is>
      </c>
      <c r="J843" t="inlineStr">
        <is>
          <t>I</t>
        </is>
      </c>
      <c r="K843" t="inlineStr"/>
      <c r="L843" t="inlineStr"/>
      <c r="M843" s="30">
        <f>0.005454*F843^2</f>
        <v/>
      </c>
      <c r="N843" s="31">
        <f>IF(D843="BAF20",20/M843,100)</f>
        <v/>
      </c>
      <c r="O843" s="31">
        <f>M843*N843</f>
        <v/>
      </c>
      <c r="P843" s="32">
        <f>256.4*N843</f>
        <v/>
      </c>
    </row>
    <row r="844">
      <c r="A844" t="inlineStr">
        <is>
          <t>U2-16</t>
        </is>
      </c>
      <c r="B844" t="n">
        <v>2</v>
      </c>
      <c r="C844" t="n">
        <v>6</v>
      </c>
      <c r="D844" t="inlineStr">
        <is>
          <t>BAF20</t>
        </is>
      </c>
      <c r="E844" t="inlineStr">
        <is>
          <t>BO</t>
        </is>
      </c>
      <c r="F844" t="n">
        <v>11.8</v>
      </c>
      <c r="G844" t="n">
        <v>40</v>
      </c>
      <c r="H844" t="n">
        <v>29</v>
      </c>
      <c r="I844" t="inlineStr">
        <is>
          <t>L</t>
        </is>
      </c>
      <c r="J844" t="inlineStr">
        <is>
          <t>S</t>
        </is>
      </c>
      <c r="K844" t="inlineStr">
        <is>
          <t>Y</t>
        </is>
      </c>
      <c r="L844" t="inlineStr"/>
      <c r="M844" s="30">
        <f>0.005454*F844^2</f>
        <v/>
      </c>
      <c r="N844" s="31">
        <f>IF(D844="BAF20",20/M844,100)</f>
        <v/>
      </c>
      <c r="O844" s="31">
        <f>M844*N844</f>
        <v/>
      </c>
      <c r="P844" s="32">
        <f>29.2*N844</f>
        <v/>
      </c>
    </row>
    <row r="845">
      <c r="A845" t="inlineStr">
        <is>
          <t>U2-16</t>
        </is>
      </c>
      <c r="B845" t="n">
        <v>2</v>
      </c>
      <c r="C845" t="n">
        <v>7</v>
      </c>
      <c r="D845" t="inlineStr">
        <is>
          <t>BAF20</t>
        </is>
      </c>
      <c r="E845" t="inlineStr">
        <is>
          <t>BO</t>
        </is>
      </c>
      <c r="F845" t="n">
        <v>17.4</v>
      </c>
      <c r="G845" t="n">
        <v>53</v>
      </c>
      <c r="H845" t="n">
        <v>100</v>
      </c>
      <c r="I845" t="inlineStr">
        <is>
          <t>D</t>
        </is>
      </c>
      <c r="J845" t="inlineStr">
        <is>
          <t>I</t>
        </is>
      </c>
      <c r="K845" t="inlineStr"/>
      <c r="L845" t="inlineStr"/>
      <c r="M845" s="30">
        <f>0.005454*F845^2</f>
        <v/>
      </c>
      <c r="N845" s="31">
        <f>IF(D845="BAF20",20/M845,100)</f>
        <v/>
      </c>
      <c r="O845" s="31">
        <f>M845*N845</f>
        <v/>
      </c>
      <c r="P845" s="32">
        <f>0.0*N845</f>
        <v/>
      </c>
    </row>
    <row r="846">
      <c r="A846" t="inlineStr">
        <is>
          <t>U2-16</t>
        </is>
      </c>
      <c r="B846" t="n">
        <v>2</v>
      </c>
      <c r="C846" t="n">
        <v>8</v>
      </c>
      <c r="D846" t="inlineStr">
        <is>
          <t>BAF20</t>
        </is>
      </c>
      <c r="E846" t="inlineStr">
        <is>
          <t>IC</t>
        </is>
      </c>
      <c r="F846" t="n">
        <v>27.1</v>
      </c>
      <c r="G846" t="n">
        <v>95</v>
      </c>
      <c r="H846" t="n">
        <v>2</v>
      </c>
      <c r="I846" t="inlineStr">
        <is>
          <t>L</t>
        </is>
      </c>
      <c r="J846" t="inlineStr">
        <is>
          <t>D</t>
        </is>
      </c>
      <c r="K846" t="inlineStr"/>
      <c r="L846" t="inlineStr"/>
      <c r="M846" s="30">
        <f>0.005454*F846^2</f>
        <v/>
      </c>
      <c r="N846" s="31">
        <f>IF(D846="BAF20",20/M846,100)</f>
        <v/>
      </c>
      <c r="O846" s="31">
        <f>M846*N846</f>
        <v/>
      </c>
      <c r="P846" s="32">
        <f>752.6*N846</f>
        <v/>
      </c>
    </row>
    <row r="847">
      <c r="A847" t="inlineStr">
        <is>
          <t>U2-16</t>
        </is>
      </c>
      <c r="B847" t="n">
        <v>2</v>
      </c>
      <c r="C847" t="n">
        <v>9</v>
      </c>
      <c r="D847" t="inlineStr">
        <is>
          <t>BAF20</t>
        </is>
      </c>
      <c r="E847" t="inlineStr">
        <is>
          <t>WF</t>
        </is>
      </c>
      <c r="F847" t="n">
        <v>14.9</v>
      </c>
      <c r="G847" t="n">
        <v>68</v>
      </c>
      <c r="H847" t="n">
        <v>2</v>
      </c>
      <c r="I847" t="inlineStr">
        <is>
          <t>L</t>
        </is>
      </c>
      <c r="J847" t="inlineStr">
        <is>
          <t>I</t>
        </is>
      </c>
      <c r="K847" t="inlineStr"/>
      <c r="L847" t="inlineStr"/>
      <c r="M847" s="30">
        <f>0.005454*F847^2</f>
        <v/>
      </c>
      <c r="N847" s="31">
        <f>IF(D847="BAF20",20/M847,100)</f>
        <v/>
      </c>
      <c r="O847" s="31">
        <f>M847*N847</f>
        <v/>
      </c>
      <c r="P847" s="32">
        <f>129.4*N847</f>
        <v/>
      </c>
    </row>
    <row r="848">
      <c r="A848" t="inlineStr">
        <is>
          <t>U2-16</t>
        </is>
      </c>
      <c r="B848" t="n">
        <v>2</v>
      </c>
      <c r="C848" t="n">
        <v>10</v>
      </c>
      <c r="D848" t="inlineStr">
        <is>
          <t>BAF20</t>
        </is>
      </c>
      <c r="E848" t="inlineStr">
        <is>
          <t>PP</t>
        </is>
      </c>
      <c r="F848" t="n">
        <v>11.1</v>
      </c>
      <c r="G848" t="n">
        <v>52</v>
      </c>
      <c r="H848" t="n">
        <v>2</v>
      </c>
      <c r="I848" t="inlineStr">
        <is>
          <t>L</t>
        </is>
      </c>
      <c r="J848" t="inlineStr">
        <is>
          <t>S</t>
        </is>
      </c>
      <c r="K848" t="inlineStr">
        <is>
          <t>Y</t>
        </is>
      </c>
      <c r="L848" t="inlineStr"/>
      <c r="M848" s="30">
        <f>0.005454*F848^2</f>
        <v/>
      </c>
      <c r="N848" s="31">
        <f>IF(D848="BAF20",20/M848,100)</f>
        <v/>
      </c>
      <c r="O848" s="31">
        <f>M848*N848</f>
        <v/>
      </c>
      <c r="P848" s="32">
        <f>50.5*N848</f>
        <v/>
      </c>
    </row>
    <row r="849">
      <c r="A849" t="inlineStr">
        <is>
          <t>U2-16</t>
        </is>
      </c>
      <c r="B849" t="n">
        <v>2</v>
      </c>
      <c r="C849" t="n">
        <v>11</v>
      </c>
      <c r="D849" t="inlineStr">
        <is>
          <t>BAF20</t>
        </is>
      </c>
      <c r="E849" t="inlineStr">
        <is>
          <t>IC</t>
        </is>
      </c>
      <c r="F849" t="n">
        <v>17.8</v>
      </c>
      <c r="G849" t="n">
        <v>65</v>
      </c>
      <c r="H849" t="n">
        <v>11</v>
      </c>
      <c r="I849" t="inlineStr">
        <is>
          <t>L</t>
        </is>
      </c>
      <c r="J849" t="inlineStr">
        <is>
          <t>I</t>
        </is>
      </c>
      <c r="K849" t="inlineStr"/>
      <c r="L849" t="inlineStr"/>
      <c r="M849" s="30">
        <f>0.005454*F849^2</f>
        <v/>
      </c>
      <c r="N849" s="31">
        <f>IF(D849="BAF20",20/M849,100)</f>
        <v/>
      </c>
      <c r="O849" s="31">
        <f>M849*N849</f>
        <v/>
      </c>
      <c r="P849" s="32">
        <f>170.1*N849</f>
        <v/>
      </c>
    </row>
    <row r="850">
      <c r="A850" t="inlineStr">
        <is>
          <t>U2-16</t>
        </is>
      </c>
      <c r="B850" t="n">
        <v>2</v>
      </c>
      <c r="C850" t="n">
        <v>12</v>
      </c>
      <c r="D850" t="inlineStr">
        <is>
          <t>BAF20</t>
        </is>
      </c>
      <c r="E850" t="inlineStr">
        <is>
          <t>PP</t>
        </is>
      </c>
      <c r="F850" t="n">
        <v>15.5</v>
      </c>
      <c r="G850" t="n">
        <v>76</v>
      </c>
      <c r="H850" t="n">
        <v>3</v>
      </c>
      <c r="I850" t="inlineStr">
        <is>
          <t>L</t>
        </is>
      </c>
      <c r="J850" t="inlineStr">
        <is>
          <t>I</t>
        </is>
      </c>
      <c r="K850" t="inlineStr"/>
      <c r="L850" t="inlineStr"/>
      <c r="M850" s="30">
        <f>0.005454*F850^2</f>
        <v/>
      </c>
      <c r="N850" s="31">
        <f>IF(D850="BAF20",20/M850,100)</f>
        <v/>
      </c>
      <c r="O850" s="31">
        <f>M850*N850</f>
        <v/>
      </c>
      <c r="P850" s="32">
        <f>156.8*N850</f>
        <v/>
      </c>
    </row>
    <row r="851">
      <c r="A851" t="inlineStr">
        <is>
          <t>U2-16</t>
        </is>
      </c>
      <c r="B851" t="n">
        <v>2</v>
      </c>
      <c r="C851" t="n">
        <v>13</v>
      </c>
      <c r="D851" t="inlineStr">
        <is>
          <t>BAF20</t>
        </is>
      </c>
      <c r="E851" t="inlineStr">
        <is>
          <t>IC</t>
        </is>
      </c>
      <c r="F851" t="n">
        <v>22.1</v>
      </c>
      <c r="G851" t="n">
        <v>76</v>
      </c>
      <c r="H851" t="n">
        <v>3</v>
      </c>
      <c r="I851" t="inlineStr">
        <is>
          <t>L</t>
        </is>
      </c>
      <c r="J851" t="inlineStr">
        <is>
          <t>C</t>
        </is>
      </c>
      <c r="K851" t="inlineStr"/>
      <c r="L851" t="inlineStr"/>
      <c r="M851" s="30">
        <f>0.005454*F851^2</f>
        <v/>
      </c>
      <c r="N851" s="31">
        <f>IF(D851="BAF20",20/M851,100)</f>
        <v/>
      </c>
      <c r="O851" s="31">
        <f>M851*N851</f>
        <v/>
      </c>
      <c r="P851" s="32">
        <f>362.9*N851</f>
        <v/>
      </c>
    </row>
    <row r="852">
      <c r="A852" t="inlineStr">
        <is>
          <t>U2-16</t>
        </is>
      </c>
      <c r="B852" t="n">
        <v>2</v>
      </c>
      <c r="C852" t="n">
        <v>14</v>
      </c>
      <c r="D852" t="inlineStr">
        <is>
          <t>BAF20</t>
        </is>
      </c>
      <c r="E852" t="inlineStr">
        <is>
          <t>DF</t>
        </is>
      </c>
      <c r="F852" t="n">
        <v>10.9</v>
      </c>
      <c r="G852" t="n">
        <v>59</v>
      </c>
      <c r="H852" t="n">
        <v>4</v>
      </c>
      <c r="I852" t="inlineStr">
        <is>
          <t>L</t>
        </is>
      </c>
      <c r="J852" t="inlineStr">
        <is>
          <t>S</t>
        </is>
      </c>
      <c r="K852" t="inlineStr">
        <is>
          <t>Y</t>
        </is>
      </c>
      <c r="L852" t="inlineStr"/>
      <c r="M852" s="30">
        <f>0.005454*F852^2</f>
        <v/>
      </c>
      <c r="N852" s="31">
        <f>IF(D852="BAF20",20/M852,100)</f>
        <v/>
      </c>
      <c r="O852" s="31">
        <f>M852*N852</f>
        <v/>
      </c>
      <c r="P852" s="32">
        <f>53.8*N852</f>
        <v/>
      </c>
    </row>
    <row r="853">
      <c r="A853" t="inlineStr">
        <is>
          <t>U2-16</t>
        </is>
      </c>
      <c r="B853" t="n">
        <v>2</v>
      </c>
      <c r="C853" t="n">
        <v>15</v>
      </c>
      <c r="D853" t="inlineStr">
        <is>
          <t>BAF20</t>
        </is>
      </c>
      <c r="E853" t="inlineStr">
        <is>
          <t>DF</t>
        </is>
      </c>
      <c r="F853" t="n">
        <v>17.5</v>
      </c>
      <c r="G853" t="n">
        <v>78</v>
      </c>
      <c r="H853" t="n">
        <v>1</v>
      </c>
      <c r="I853" t="inlineStr">
        <is>
          <t>L</t>
        </is>
      </c>
      <c r="J853" t="inlineStr">
        <is>
          <t>I</t>
        </is>
      </c>
      <c r="K853" t="inlineStr"/>
      <c r="L853" t="inlineStr"/>
      <c r="M853" s="30">
        <f>0.005454*F853^2</f>
        <v/>
      </c>
      <c r="N853" s="31">
        <f>IF(D853="BAF20",20/M853,100)</f>
        <v/>
      </c>
      <c r="O853" s="31">
        <f>M853*N853</f>
        <v/>
      </c>
      <c r="P853" s="32">
        <f>218.2*N853</f>
        <v/>
      </c>
    </row>
    <row r="854">
      <c r="A854" t="inlineStr">
        <is>
          <t>U2-16</t>
        </is>
      </c>
      <c r="B854" t="n">
        <v>2</v>
      </c>
      <c r="C854" t="n">
        <v>16</v>
      </c>
      <c r="D854" t="inlineStr">
        <is>
          <t>BAF20</t>
        </is>
      </c>
      <c r="E854" t="inlineStr">
        <is>
          <t>IC</t>
        </is>
      </c>
      <c r="F854" t="n">
        <v>12.9</v>
      </c>
      <c r="G854" t="n">
        <v>52</v>
      </c>
      <c r="H854" t="n">
        <v>2</v>
      </c>
      <c r="I854" t="inlineStr">
        <is>
          <t>L</t>
        </is>
      </c>
      <c r="J854" t="inlineStr">
        <is>
          <t>S</t>
        </is>
      </c>
      <c r="K854" t="inlineStr"/>
      <c r="L854" t="inlineStr"/>
      <c r="M854" s="30">
        <f>0.005454*F854^2</f>
        <v/>
      </c>
      <c r="N854" s="31">
        <f>IF(D854="BAF20",20/M854,100)</f>
        <v/>
      </c>
      <c r="O854" s="31">
        <f>M854*N854</f>
        <v/>
      </c>
      <c r="P854" s="32">
        <f>71.0*N854</f>
        <v/>
      </c>
    </row>
    <row r="855">
      <c r="A855" t="inlineStr">
        <is>
          <t>U2-16</t>
        </is>
      </c>
      <c r="B855" t="n">
        <v>2</v>
      </c>
      <c r="C855" t="n">
        <v>17</v>
      </c>
      <c r="D855" t="inlineStr">
        <is>
          <t>BAF20</t>
        </is>
      </c>
      <c r="E855" t="inlineStr">
        <is>
          <t>DF</t>
        </is>
      </c>
      <c r="F855" t="n">
        <v>9.4</v>
      </c>
      <c r="G855" t="n">
        <v>51</v>
      </c>
      <c r="H855" t="n">
        <v>1</v>
      </c>
      <c r="I855" t="inlineStr">
        <is>
          <t>L</t>
        </is>
      </c>
      <c r="J855" t="inlineStr">
        <is>
          <t>S</t>
        </is>
      </c>
      <c r="K855" t="inlineStr">
        <is>
          <t>Y</t>
        </is>
      </c>
      <c r="L855" t="inlineStr"/>
      <c r="M855" s="30">
        <f>0.005454*F855^2</f>
        <v/>
      </c>
      <c r="N855" s="31">
        <f>IF(D855="BAF20",20/M855,100)</f>
        <v/>
      </c>
      <c r="O855" s="31">
        <f>M855*N855</f>
        <v/>
      </c>
      <c r="P855" s="32">
        <f>0.0*N855</f>
        <v/>
      </c>
    </row>
    <row r="856">
      <c r="A856" t="inlineStr">
        <is>
          <t>U2-16</t>
        </is>
      </c>
      <c r="B856" t="n">
        <v>2</v>
      </c>
      <c r="C856" t="n">
        <v>18</v>
      </c>
      <c r="D856" t="inlineStr">
        <is>
          <t>FIX100</t>
        </is>
      </c>
      <c r="E856" t="inlineStr">
        <is>
          <t>IC</t>
        </is>
      </c>
      <c r="F856" t="n">
        <v>2.6</v>
      </c>
      <c r="G856" t="n">
        <v>14</v>
      </c>
      <c r="H856" t="n">
        <v>0</v>
      </c>
      <c r="I856" t="inlineStr">
        <is>
          <t>L</t>
        </is>
      </c>
      <c r="J856" t="inlineStr">
        <is>
          <t>S</t>
        </is>
      </c>
      <c r="K856" t="inlineStr"/>
      <c r="L856" t="inlineStr"/>
      <c r="M856" s="30">
        <f>0.005454*F856^2</f>
        <v/>
      </c>
      <c r="N856" s="31">
        <f>IF(D856="BAF20",20/M856,100)</f>
        <v/>
      </c>
      <c r="O856" s="31">
        <f>M856*N856</f>
        <v/>
      </c>
      <c r="P856" s="32">
        <f>0.0*N856</f>
        <v/>
      </c>
    </row>
    <row r="857">
      <c r="A857" t="inlineStr">
        <is>
          <t>U2-16</t>
        </is>
      </c>
      <c r="B857" t="n">
        <v>2</v>
      </c>
      <c r="C857" t="n">
        <v>19</v>
      </c>
      <c r="D857" t="inlineStr">
        <is>
          <t>FIX100</t>
        </is>
      </c>
      <c r="E857" t="inlineStr">
        <is>
          <t>IC</t>
        </is>
      </c>
      <c r="F857" t="n">
        <v>4.6</v>
      </c>
      <c r="G857" t="n">
        <v>22</v>
      </c>
      <c r="H857" t="n">
        <v>0</v>
      </c>
      <c r="I857" t="inlineStr">
        <is>
          <t>L</t>
        </is>
      </c>
      <c r="J857" t="inlineStr">
        <is>
          <t>S</t>
        </is>
      </c>
      <c r="K857" t="inlineStr"/>
      <c r="L857" t="inlineStr"/>
      <c r="M857" s="30">
        <f>0.005454*F857^2</f>
        <v/>
      </c>
      <c r="N857" s="31">
        <f>IF(D857="BAF20",20/M857,100)</f>
        <v/>
      </c>
      <c r="O857" s="31">
        <f>M857*N857</f>
        <v/>
      </c>
      <c r="P857" s="32">
        <f>0.0*N857</f>
        <v/>
      </c>
    </row>
    <row r="858">
      <c r="A858" t="inlineStr">
        <is>
          <t>U2-16</t>
        </is>
      </c>
      <c r="B858" t="n">
        <v>2</v>
      </c>
      <c r="C858" t="n">
        <v>20</v>
      </c>
      <c r="D858" t="inlineStr">
        <is>
          <t>FIX100</t>
        </is>
      </c>
      <c r="E858" t="inlineStr">
        <is>
          <t>PP</t>
        </is>
      </c>
      <c r="F858" t="n">
        <v>3.9</v>
      </c>
      <c r="G858" t="n">
        <v>20</v>
      </c>
      <c r="H858" t="n">
        <v>0</v>
      </c>
      <c r="I858" t="inlineStr">
        <is>
          <t>L</t>
        </is>
      </c>
      <c r="J858" t="inlineStr">
        <is>
          <t>S</t>
        </is>
      </c>
      <c r="K858" t="inlineStr"/>
      <c r="L858" t="inlineStr"/>
      <c r="M858" s="30">
        <f>0.005454*F858^2</f>
        <v/>
      </c>
      <c r="N858" s="31">
        <f>IF(D858="BAF20",20/M858,100)</f>
        <v/>
      </c>
      <c r="O858" s="31">
        <f>M858*N858</f>
        <v/>
      </c>
      <c r="P858" s="32">
        <f>0.0*N858</f>
        <v/>
      </c>
    </row>
    <row r="859">
      <c r="A859" t="inlineStr">
        <is>
          <t>U2-17</t>
        </is>
      </c>
      <c r="B859" t="n">
        <v>2</v>
      </c>
      <c r="C859" t="n">
        <v>1</v>
      </c>
      <c r="D859" t="inlineStr">
        <is>
          <t>BAF20</t>
        </is>
      </c>
      <c r="E859" t="inlineStr">
        <is>
          <t>DF</t>
        </is>
      </c>
      <c r="F859" t="n">
        <v>16.8</v>
      </c>
      <c r="G859" t="n">
        <v>84</v>
      </c>
      <c r="H859" t="n">
        <v>3</v>
      </c>
      <c r="I859" t="inlineStr">
        <is>
          <t>L</t>
        </is>
      </c>
      <c r="J859" t="inlineStr">
        <is>
          <t>I</t>
        </is>
      </c>
      <c r="K859" t="inlineStr"/>
      <c r="L859" t="inlineStr"/>
      <c r="M859" s="30">
        <f>0.005454*F859^2</f>
        <v/>
      </c>
      <c r="N859" s="31">
        <f>IF(D859="BAF20",20/M859,100)</f>
        <v/>
      </c>
      <c r="O859" s="31">
        <f>M859*N859</f>
        <v/>
      </c>
      <c r="P859" s="32">
        <f>209.2*N859</f>
        <v/>
      </c>
    </row>
    <row r="860">
      <c r="A860" t="inlineStr">
        <is>
          <t>U2-17</t>
        </is>
      </c>
      <c r="B860" t="n">
        <v>2</v>
      </c>
      <c r="C860" t="n">
        <v>2</v>
      </c>
      <c r="D860" t="inlineStr">
        <is>
          <t>BAF20</t>
        </is>
      </c>
      <c r="E860" t="inlineStr">
        <is>
          <t>DF</t>
        </is>
      </c>
      <c r="F860" t="n">
        <v>28.8</v>
      </c>
      <c r="G860" t="n">
        <v>129</v>
      </c>
      <c r="H860" t="n">
        <v>1</v>
      </c>
      <c r="I860" t="inlineStr">
        <is>
          <t>L</t>
        </is>
      </c>
      <c r="J860" t="inlineStr">
        <is>
          <t>D</t>
        </is>
      </c>
      <c r="K860" t="inlineStr"/>
      <c r="L860" t="inlineStr"/>
      <c r="M860" s="30">
        <f>0.005454*F860^2</f>
        <v/>
      </c>
      <c r="N860" s="31">
        <f>IF(D860="BAF20",20/M860,100)</f>
        <v/>
      </c>
      <c r="O860" s="31">
        <f>M860*N860</f>
        <v/>
      </c>
      <c r="P860" s="32">
        <f>1199.4*N860</f>
        <v/>
      </c>
    </row>
    <row r="861">
      <c r="A861" t="inlineStr">
        <is>
          <t>U2-17</t>
        </is>
      </c>
      <c r="B861" t="n">
        <v>2</v>
      </c>
      <c r="C861" t="n">
        <v>3</v>
      </c>
      <c r="D861" t="inlineStr">
        <is>
          <t>BAF20</t>
        </is>
      </c>
      <c r="E861" t="inlineStr">
        <is>
          <t>DF</t>
        </is>
      </c>
      <c r="F861" t="n">
        <v>32.7</v>
      </c>
      <c r="G861" t="n">
        <v>133</v>
      </c>
      <c r="H861" t="n">
        <v>3</v>
      </c>
      <c r="I861" t="inlineStr">
        <is>
          <t>L</t>
        </is>
      </c>
      <c r="J861" t="inlineStr">
        <is>
          <t>D</t>
        </is>
      </c>
      <c r="K861" t="inlineStr"/>
      <c r="L861" t="inlineStr"/>
      <c r="M861" s="30">
        <f>0.005454*F861^2</f>
        <v/>
      </c>
      <c r="N861" s="31">
        <f>IF(D861="BAF20",20/M861,100)</f>
        <v/>
      </c>
      <c r="O861" s="31">
        <f>M861*N861</f>
        <v/>
      </c>
      <c r="P861" s="32">
        <f>1661.7*N861</f>
        <v/>
      </c>
    </row>
    <row r="862">
      <c r="A862" t="inlineStr">
        <is>
          <t>U2-17</t>
        </is>
      </c>
      <c r="B862" t="n">
        <v>2</v>
      </c>
      <c r="C862" t="n">
        <v>4</v>
      </c>
      <c r="D862" t="inlineStr">
        <is>
          <t>BAF20</t>
        </is>
      </c>
      <c r="E862" t="inlineStr">
        <is>
          <t>PP</t>
        </is>
      </c>
      <c r="F862" t="n">
        <v>23</v>
      </c>
      <c r="G862" t="n">
        <v>94</v>
      </c>
      <c r="H862" t="n">
        <v>1</v>
      </c>
      <c r="I862" t="inlineStr">
        <is>
          <t>L</t>
        </is>
      </c>
      <c r="J862" t="inlineStr">
        <is>
          <t>C</t>
        </is>
      </c>
      <c r="K862" t="inlineStr"/>
      <c r="L862" t="inlineStr"/>
      <c r="M862" s="30">
        <f>0.005454*F862^2</f>
        <v/>
      </c>
      <c r="N862" s="31">
        <f>IF(D862="BAF20",20/M862,100)</f>
        <v/>
      </c>
      <c r="O862" s="31">
        <f>M862*N862</f>
        <v/>
      </c>
      <c r="P862" s="32">
        <f>504.4*N862</f>
        <v/>
      </c>
    </row>
    <row r="863">
      <c r="A863" t="inlineStr">
        <is>
          <t>U2-17</t>
        </is>
      </c>
      <c r="B863" t="n">
        <v>2</v>
      </c>
      <c r="C863" t="n">
        <v>5</v>
      </c>
      <c r="D863" t="inlineStr">
        <is>
          <t>BAF20</t>
        </is>
      </c>
      <c r="E863" t="inlineStr">
        <is>
          <t>DF</t>
        </is>
      </c>
      <c r="F863" t="n">
        <v>7</v>
      </c>
      <c r="G863" t="n">
        <v>34</v>
      </c>
      <c r="H863" t="n">
        <v>4</v>
      </c>
      <c r="I863" t="inlineStr">
        <is>
          <t>L</t>
        </is>
      </c>
      <c r="J863" t="inlineStr">
        <is>
          <t>S</t>
        </is>
      </c>
      <c r="K863" t="inlineStr">
        <is>
          <t>Y</t>
        </is>
      </c>
      <c r="L863" t="inlineStr"/>
      <c r="M863" s="30">
        <f>0.005454*F863^2</f>
        <v/>
      </c>
      <c r="N863" s="31">
        <f>IF(D863="BAF20",20/M863,100)</f>
        <v/>
      </c>
      <c r="O863" s="31">
        <f>M863*N863</f>
        <v/>
      </c>
      <c r="P863" s="32">
        <f>0.0*N863</f>
        <v/>
      </c>
    </row>
    <row r="864">
      <c r="A864" t="inlineStr">
        <is>
          <t>U2-17</t>
        </is>
      </c>
      <c r="B864" t="n">
        <v>2</v>
      </c>
      <c r="C864" t="n">
        <v>6</v>
      </c>
      <c r="D864" t="inlineStr">
        <is>
          <t>BAF20</t>
        </is>
      </c>
      <c r="E864" t="inlineStr">
        <is>
          <t>IC</t>
        </is>
      </c>
      <c r="F864" t="n">
        <v>9.1</v>
      </c>
      <c r="G864" t="n">
        <v>40</v>
      </c>
      <c r="H864" t="n">
        <v>4</v>
      </c>
      <c r="I864" t="inlineStr">
        <is>
          <t>L</t>
        </is>
      </c>
      <c r="J864" t="inlineStr">
        <is>
          <t>S</t>
        </is>
      </c>
      <c r="K864" t="inlineStr">
        <is>
          <t>Y</t>
        </is>
      </c>
      <c r="L864" t="inlineStr"/>
      <c r="M864" s="30">
        <f>0.005454*F864^2</f>
        <v/>
      </c>
      <c r="N864" s="31">
        <f>IF(D864="BAF20",20/M864,100)</f>
        <v/>
      </c>
      <c r="O864" s="31">
        <f>M864*N864</f>
        <v/>
      </c>
      <c r="P864" s="32">
        <f>0.0*N864</f>
        <v/>
      </c>
    </row>
    <row r="865">
      <c r="A865" t="inlineStr">
        <is>
          <t>U2-17</t>
        </is>
      </c>
      <c r="B865" t="n">
        <v>2</v>
      </c>
      <c r="C865" t="n">
        <v>7</v>
      </c>
      <c r="D865" t="inlineStr">
        <is>
          <t>BAF20</t>
        </is>
      </c>
      <c r="E865" t="inlineStr">
        <is>
          <t>DF</t>
        </is>
      </c>
      <c r="F865" t="n">
        <v>21.1</v>
      </c>
      <c r="G865" t="n">
        <v>87</v>
      </c>
      <c r="H865" t="n">
        <v>5</v>
      </c>
      <c r="I865" t="inlineStr">
        <is>
          <t>L</t>
        </is>
      </c>
      <c r="J865" t="inlineStr">
        <is>
          <t>C</t>
        </is>
      </c>
      <c r="K865" t="inlineStr"/>
      <c r="L865" t="inlineStr"/>
      <c r="M865" s="30">
        <f>0.005454*F865^2</f>
        <v/>
      </c>
      <c r="N865" s="31">
        <f>IF(D865="BAF20",20/M865,100)</f>
        <v/>
      </c>
      <c r="O865" s="31">
        <f>M865*N865</f>
        <v/>
      </c>
      <c r="P865" s="32">
        <f>364.1*N865</f>
        <v/>
      </c>
    </row>
    <row r="866">
      <c r="A866" t="inlineStr">
        <is>
          <t>U2-17</t>
        </is>
      </c>
      <c r="B866" t="n">
        <v>2</v>
      </c>
      <c r="C866" t="n">
        <v>8</v>
      </c>
      <c r="D866" t="inlineStr">
        <is>
          <t>BAF20</t>
        </is>
      </c>
      <c r="E866" t="inlineStr">
        <is>
          <t>BO</t>
        </is>
      </c>
      <c r="F866" t="n">
        <v>6.4</v>
      </c>
      <c r="G866" t="n">
        <v>25</v>
      </c>
      <c r="H866" t="n">
        <v>23</v>
      </c>
      <c r="I866" t="inlineStr">
        <is>
          <t>L</t>
        </is>
      </c>
      <c r="J866" t="inlineStr">
        <is>
          <t>S</t>
        </is>
      </c>
      <c r="K866" t="inlineStr">
        <is>
          <t>Y</t>
        </is>
      </c>
      <c r="L866" t="inlineStr"/>
      <c r="M866" s="30">
        <f>0.005454*F866^2</f>
        <v/>
      </c>
      <c r="N866" s="31">
        <f>IF(D866="BAF20",20/M866,100)</f>
        <v/>
      </c>
      <c r="O866" s="31">
        <f>M866*N866</f>
        <v/>
      </c>
      <c r="P866" s="32">
        <f>0.0*N866</f>
        <v/>
      </c>
    </row>
    <row r="867">
      <c r="A867" t="inlineStr">
        <is>
          <t>U2-17</t>
        </is>
      </c>
      <c r="B867" t="n">
        <v>2</v>
      </c>
      <c r="C867" t="n">
        <v>9</v>
      </c>
      <c r="D867" t="inlineStr">
        <is>
          <t>BAF20</t>
        </is>
      </c>
      <c r="E867" t="inlineStr">
        <is>
          <t>SP</t>
        </is>
      </c>
      <c r="F867" t="n">
        <v>17.9</v>
      </c>
      <c r="G867" t="n">
        <v>85</v>
      </c>
      <c r="H867" t="n">
        <v>100</v>
      </c>
      <c r="I867" t="inlineStr">
        <is>
          <t>D</t>
        </is>
      </c>
      <c r="J867" t="inlineStr">
        <is>
          <t>I</t>
        </is>
      </c>
      <c r="K867" t="inlineStr"/>
      <c r="L867" t="inlineStr"/>
      <c r="M867" s="30">
        <f>0.005454*F867^2</f>
        <v/>
      </c>
      <c r="N867" s="31">
        <f>IF(D867="BAF20",20/M867,100)</f>
        <v/>
      </c>
      <c r="O867" s="31">
        <f>M867*N867</f>
        <v/>
      </c>
      <c r="P867" s="32">
        <f>0.0*N867</f>
        <v/>
      </c>
    </row>
    <row r="868">
      <c r="A868" t="inlineStr">
        <is>
          <t>U2-17</t>
        </is>
      </c>
      <c r="B868" t="n">
        <v>2</v>
      </c>
      <c r="C868" t="n">
        <v>10</v>
      </c>
      <c r="D868" t="inlineStr">
        <is>
          <t>BAF20</t>
        </is>
      </c>
      <c r="E868" t="inlineStr">
        <is>
          <t>DF</t>
        </is>
      </c>
      <c r="F868" t="n">
        <v>18</v>
      </c>
      <c r="G868" t="n">
        <v>88</v>
      </c>
      <c r="H868" t="n">
        <v>3</v>
      </c>
      <c r="I868" t="inlineStr">
        <is>
          <t>L</t>
        </is>
      </c>
      <c r="J868" t="inlineStr">
        <is>
          <t>I</t>
        </is>
      </c>
      <c r="K868" t="inlineStr"/>
      <c r="L868" t="inlineStr"/>
      <c r="M868" s="30">
        <f>0.005454*F868^2</f>
        <v/>
      </c>
      <c r="N868" s="31">
        <f>IF(D868="BAF20",20/M868,100)</f>
        <v/>
      </c>
      <c r="O868" s="31">
        <f>M868*N868</f>
        <v/>
      </c>
      <c r="P868" s="32">
        <f>257.7*N868</f>
        <v/>
      </c>
    </row>
    <row r="869">
      <c r="A869" t="inlineStr">
        <is>
          <t>U2-17</t>
        </is>
      </c>
      <c r="B869" t="n">
        <v>2</v>
      </c>
      <c r="C869" t="n">
        <v>11</v>
      </c>
      <c r="D869" t="inlineStr">
        <is>
          <t>FIX100</t>
        </is>
      </c>
      <c r="E869" t="inlineStr">
        <is>
          <t>IC</t>
        </is>
      </c>
      <c r="F869" t="n">
        <v>1.7</v>
      </c>
      <c r="G869" t="n">
        <v>10</v>
      </c>
      <c r="H869" t="n">
        <v>0</v>
      </c>
      <c r="I869" t="inlineStr">
        <is>
          <t>L</t>
        </is>
      </c>
      <c r="J869" t="inlineStr">
        <is>
          <t>S</t>
        </is>
      </c>
      <c r="K869" t="inlineStr"/>
      <c r="L869" t="inlineStr"/>
      <c r="M869" s="30">
        <f>0.005454*F869^2</f>
        <v/>
      </c>
      <c r="N869" s="31">
        <f>IF(D869="BAF20",20/M869,100)</f>
        <v/>
      </c>
      <c r="O869" s="31">
        <f>M869*N869</f>
        <v/>
      </c>
      <c r="P869" s="32">
        <f>0.0*N869</f>
        <v/>
      </c>
    </row>
    <row r="870">
      <c r="A870" t="inlineStr">
        <is>
          <t>U2-17</t>
        </is>
      </c>
      <c r="B870" t="n">
        <v>2</v>
      </c>
      <c r="C870" t="n">
        <v>12</v>
      </c>
      <c r="D870" t="inlineStr">
        <is>
          <t>FIX100</t>
        </is>
      </c>
      <c r="E870" t="inlineStr">
        <is>
          <t>IC</t>
        </is>
      </c>
      <c r="F870" t="n">
        <v>2.5</v>
      </c>
      <c r="G870" t="n">
        <v>13</v>
      </c>
      <c r="H870" t="n">
        <v>0</v>
      </c>
      <c r="I870" t="inlineStr">
        <is>
          <t>L</t>
        </is>
      </c>
      <c r="J870" t="inlineStr">
        <is>
          <t>S</t>
        </is>
      </c>
      <c r="K870" t="inlineStr"/>
      <c r="L870" t="inlineStr"/>
      <c r="M870" s="30">
        <f>0.005454*F870^2</f>
        <v/>
      </c>
      <c r="N870" s="31">
        <f>IF(D870="BAF20",20/M870,100)</f>
        <v/>
      </c>
      <c r="O870" s="31">
        <f>M870*N870</f>
        <v/>
      </c>
      <c r="P870" s="32">
        <f>0.0*N870</f>
        <v/>
      </c>
    </row>
    <row r="871">
      <c r="A871" t="inlineStr">
        <is>
          <t>U2-17</t>
        </is>
      </c>
      <c r="B871" t="n">
        <v>2</v>
      </c>
      <c r="C871" t="n">
        <v>13</v>
      </c>
      <c r="D871" t="inlineStr">
        <is>
          <t>FIX100</t>
        </is>
      </c>
      <c r="E871" t="inlineStr">
        <is>
          <t>DF</t>
        </is>
      </c>
      <c r="F871" t="n">
        <v>1.6</v>
      </c>
      <c r="G871" t="n">
        <v>14</v>
      </c>
      <c r="H871" t="n">
        <v>0</v>
      </c>
      <c r="I871" t="inlineStr">
        <is>
          <t>L</t>
        </is>
      </c>
      <c r="J871" t="inlineStr">
        <is>
          <t>S</t>
        </is>
      </c>
      <c r="K871" t="inlineStr"/>
      <c r="L871" t="inlineStr"/>
      <c r="M871" s="30">
        <f>0.005454*F871^2</f>
        <v/>
      </c>
      <c r="N871" s="31">
        <f>IF(D871="BAF20",20/M871,100)</f>
        <v/>
      </c>
      <c r="O871" s="31">
        <f>M871*N871</f>
        <v/>
      </c>
      <c r="P871" s="32">
        <f>0.0*N871</f>
        <v/>
      </c>
    </row>
    <row r="872">
      <c r="A872" t="inlineStr">
        <is>
          <t>U2-18</t>
        </is>
      </c>
      <c r="B872" t="n">
        <v>2</v>
      </c>
      <c r="C872" t="n">
        <v>1</v>
      </c>
      <c r="D872" t="inlineStr">
        <is>
          <t>BAF20</t>
        </is>
      </c>
      <c r="E872" t="inlineStr">
        <is>
          <t>BO</t>
        </is>
      </c>
      <c r="F872" t="n">
        <v>19.7</v>
      </c>
      <c r="G872" t="n">
        <v>51</v>
      </c>
      <c r="H872" t="n">
        <v>3</v>
      </c>
      <c r="I872" t="inlineStr">
        <is>
          <t>L</t>
        </is>
      </c>
      <c r="J872" t="inlineStr">
        <is>
          <t>C</t>
        </is>
      </c>
      <c r="K872" t="inlineStr"/>
      <c r="L872" t="inlineStr"/>
      <c r="M872" s="30">
        <f>0.005454*F872^2</f>
        <v/>
      </c>
      <c r="N872" s="31">
        <f>IF(D872="BAF20",20/M872,100)</f>
        <v/>
      </c>
      <c r="O872" s="31">
        <f>M872*N872</f>
        <v/>
      </c>
      <c r="P872" s="32">
        <f>167.3*N872</f>
        <v/>
      </c>
    </row>
    <row r="873">
      <c r="A873" t="inlineStr">
        <is>
          <t>U2-18</t>
        </is>
      </c>
      <c r="B873" t="n">
        <v>2</v>
      </c>
      <c r="C873" t="n">
        <v>2</v>
      </c>
      <c r="D873" t="inlineStr">
        <is>
          <t>BAF20</t>
        </is>
      </c>
      <c r="E873" t="inlineStr">
        <is>
          <t>DF</t>
        </is>
      </c>
      <c r="F873" t="n">
        <v>16.9</v>
      </c>
      <c r="G873" t="n">
        <v>80</v>
      </c>
      <c r="H873" t="n">
        <v>100</v>
      </c>
      <c r="I873" t="inlineStr">
        <is>
          <t>D</t>
        </is>
      </c>
      <c r="J873" t="inlineStr">
        <is>
          <t>I</t>
        </is>
      </c>
      <c r="K873" t="inlineStr"/>
      <c r="L873" t="inlineStr"/>
      <c r="M873" s="30">
        <f>0.005454*F873^2</f>
        <v/>
      </c>
      <c r="N873" s="31">
        <f>IF(D873="BAF20",20/M873,100)</f>
        <v/>
      </c>
      <c r="O873" s="31">
        <f>M873*N873</f>
        <v/>
      </c>
      <c r="P873" s="32">
        <f>0.0*N873</f>
        <v/>
      </c>
    </row>
    <row r="874">
      <c r="A874" t="inlineStr">
        <is>
          <t>U2-18</t>
        </is>
      </c>
      <c r="B874" t="n">
        <v>2</v>
      </c>
      <c r="C874" t="n">
        <v>3</v>
      </c>
      <c r="D874" t="inlineStr">
        <is>
          <t>BAF20</t>
        </is>
      </c>
      <c r="E874" t="inlineStr">
        <is>
          <t>DF</t>
        </is>
      </c>
      <c r="F874" t="n">
        <v>9</v>
      </c>
      <c r="G874" t="n">
        <v>50</v>
      </c>
      <c r="H874" t="n">
        <v>0</v>
      </c>
      <c r="I874" t="inlineStr">
        <is>
          <t>L</t>
        </is>
      </c>
      <c r="J874" t="inlineStr">
        <is>
          <t>S</t>
        </is>
      </c>
      <c r="K874" t="inlineStr">
        <is>
          <t>Y</t>
        </is>
      </c>
      <c r="L874" t="inlineStr"/>
      <c r="M874" s="30">
        <f>0.005454*F874^2</f>
        <v/>
      </c>
      <c r="N874" s="31">
        <f>IF(D874="BAF20",20/M874,100)</f>
        <v/>
      </c>
      <c r="O874" s="31">
        <f>M874*N874</f>
        <v/>
      </c>
      <c r="P874" s="32">
        <f>0.0*N874</f>
        <v/>
      </c>
    </row>
    <row r="875">
      <c r="A875" t="inlineStr">
        <is>
          <t>U2-18</t>
        </is>
      </c>
      <c r="B875" t="n">
        <v>2</v>
      </c>
      <c r="C875" t="n">
        <v>4</v>
      </c>
      <c r="D875" t="inlineStr">
        <is>
          <t>BAF20</t>
        </is>
      </c>
      <c r="E875" t="inlineStr">
        <is>
          <t>DF</t>
        </is>
      </c>
      <c r="F875" t="n">
        <v>16.9</v>
      </c>
      <c r="G875" t="n">
        <v>86</v>
      </c>
      <c r="H875" t="n">
        <v>5</v>
      </c>
      <c r="I875" t="inlineStr">
        <is>
          <t>L</t>
        </is>
      </c>
      <c r="J875" t="inlineStr">
        <is>
          <t>I</t>
        </is>
      </c>
      <c r="K875" t="inlineStr"/>
      <c r="L875" t="inlineStr"/>
      <c r="M875" s="30">
        <f>0.005454*F875^2</f>
        <v/>
      </c>
      <c r="N875" s="31">
        <f>IF(D875="BAF20",20/M875,100)</f>
        <v/>
      </c>
      <c r="O875" s="31">
        <f>M875*N875</f>
        <v/>
      </c>
      <c r="P875" s="32">
        <f>212.7*N875</f>
        <v/>
      </c>
    </row>
    <row r="876">
      <c r="A876" t="inlineStr">
        <is>
          <t>U2-18</t>
        </is>
      </c>
      <c r="B876" t="n">
        <v>2</v>
      </c>
      <c r="C876" t="n">
        <v>5</v>
      </c>
      <c r="D876" t="inlineStr">
        <is>
          <t>BAF20</t>
        </is>
      </c>
      <c r="E876" t="inlineStr">
        <is>
          <t>PP</t>
        </is>
      </c>
      <c r="F876" t="n">
        <v>32.9</v>
      </c>
      <c r="G876" t="n">
        <v>120</v>
      </c>
      <c r="H876" t="n">
        <v>7</v>
      </c>
      <c r="I876" t="inlineStr">
        <is>
          <t>L</t>
        </is>
      </c>
      <c r="J876" t="inlineStr">
        <is>
          <t>D</t>
        </is>
      </c>
      <c r="K876" t="inlineStr"/>
      <c r="L876" t="inlineStr"/>
      <c r="M876" s="30">
        <f>0.005454*F876^2</f>
        <v/>
      </c>
      <c r="N876" s="31">
        <f>IF(D876="BAF20",20/M876,100)</f>
        <v/>
      </c>
      <c r="O876" s="31">
        <f>M876*N876</f>
        <v/>
      </c>
      <c r="P876" s="32">
        <f>1459.6*N876</f>
        <v/>
      </c>
    </row>
    <row r="877">
      <c r="A877" t="inlineStr">
        <is>
          <t>U2-18</t>
        </is>
      </c>
      <c r="B877" t="n">
        <v>2</v>
      </c>
      <c r="C877" t="n">
        <v>6</v>
      </c>
      <c r="D877" t="inlineStr">
        <is>
          <t>BAF20</t>
        </is>
      </c>
      <c r="E877" t="inlineStr">
        <is>
          <t>BO</t>
        </is>
      </c>
      <c r="F877" t="n">
        <v>5.4</v>
      </c>
      <c r="G877" t="n">
        <v>24</v>
      </c>
      <c r="H877" t="n">
        <v>10</v>
      </c>
      <c r="I877" t="inlineStr">
        <is>
          <t>L</t>
        </is>
      </c>
      <c r="J877" t="inlineStr">
        <is>
          <t>S</t>
        </is>
      </c>
      <c r="K877" t="inlineStr">
        <is>
          <t>Y</t>
        </is>
      </c>
      <c r="L877" t="inlineStr"/>
      <c r="M877" s="30">
        <f>0.005454*F877^2</f>
        <v/>
      </c>
      <c r="N877" s="31">
        <f>IF(D877="BAF20",20/M877,100)</f>
        <v/>
      </c>
      <c r="O877" s="31">
        <f>M877*N877</f>
        <v/>
      </c>
      <c r="P877" s="32">
        <f>0.0*N877</f>
        <v/>
      </c>
    </row>
    <row r="878">
      <c r="A878" t="inlineStr">
        <is>
          <t>U2-18</t>
        </is>
      </c>
      <c r="B878" t="n">
        <v>2</v>
      </c>
      <c r="C878" t="n">
        <v>7</v>
      </c>
      <c r="D878" t="inlineStr">
        <is>
          <t>BAF20</t>
        </is>
      </c>
      <c r="E878" t="inlineStr">
        <is>
          <t>BO</t>
        </is>
      </c>
      <c r="F878" t="n">
        <v>8.699999999999999</v>
      </c>
      <c r="G878" t="n">
        <v>34</v>
      </c>
      <c r="H878" t="n">
        <v>12</v>
      </c>
      <c r="I878" t="inlineStr">
        <is>
          <t>L</t>
        </is>
      </c>
      <c r="J878" t="inlineStr">
        <is>
          <t>S</t>
        </is>
      </c>
      <c r="K878" t="inlineStr">
        <is>
          <t>Y</t>
        </is>
      </c>
      <c r="L878" t="inlineStr"/>
      <c r="M878" s="30">
        <f>0.005454*F878^2</f>
        <v/>
      </c>
      <c r="N878" s="31">
        <f>IF(D878="BAF20",20/M878,100)</f>
        <v/>
      </c>
      <c r="O878" s="31">
        <f>M878*N878</f>
        <v/>
      </c>
      <c r="P878" s="32">
        <f>0.0*N878</f>
        <v/>
      </c>
    </row>
    <row r="879">
      <c r="A879" t="inlineStr">
        <is>
          <t>U2-18</t>
        </is>
      </c>
      <c r="B879" t="n">
        <v>2</v>
      </c>
      <c r="C879" t="n">
        <v>8</v>
      </c>
      <c r="D879" t="inlineStr">
        <is>
          <t>BAF20</t>
        </is>
      </c>
      <c r="E879" t="inlineStr">
        <is>
          <t>PP</t>
        </is>
      </c>
      <c r="F879" t="n">
        <v>20</v>
      </c>
      <c r="G879" t="n">
        <v>86</v>
      </c>
      <c r="H879" t="n">
        <v>100</v>
      </c>
      <c r="I879" t="inlineStr">
        <is>
          <t>D</t>
        </is>
      </c>
      <c r="J879" t="inlineStr">
        <is>
          <t>C</t>
        </is>
      </c>
      <c r="K879" t="inlineStr"/>
      <c r="L879" t="inlineStr"/>
      <c r="M879" s="30">
        <f>0.005454*F879^2</f>
        <v/>
      </c>
      <c r="N879" s="31">
        <f>IF(D879="BAF20",20/M879,100)</f>
        <v/>
      </c>
      <c r="O879" s="31">
        <f>M879*N879</f>
        <v/>
      </c>
      <c r="P879" s="32">
        <f>0.0*N879</f>
        <v/>
      </c>
    </row>
    <row r="880">
      <c r="A880" t="inlineStr">
        <is>
          <t>U2-18</t>
        </is>
      </c>
      <c r="B880" t="n">
        <v>2</v>
      </c>
      <c r="C880" t="n">
        <v>9</v>
      </c>
      <c r="D880" t="inlineStr">
        <is>
          <t>BAF20</t>
        </is>
      </c>
      <c r="E880" t="inlineStr">
        <is>
          <t>DF</t>
        </is>
      </c>
      <c r="F880" t="n">
        <v>11.3</v>
      </c>
      <c r="G880" t="n">
        <v>51</v>
      </c>
      <c r="H880" t="n">
        <v>3</v>
      </c>
      <c r="I880" t="inlineStr">
        <is>
          <t>L</t>
        </is>
      </c>
      <c r="J880" t="inlineStr">
        <is>
          <t>S</t>
        </is>
      </c>
      <c r="K880" t="inlineStr">
        <is>
          <t>Y</t>
        </is>
      </c>
      <c r="L880" t="inlineStr"/>
      <c r="M880" s="30">
        <f>0.005454*F880^2</f>
        <v/>
      </c>
      <c r="N880" s="31">
        <f>IF(D880="BAF20",20/M880,100)</f>
        <v/>
      </c>
      <c r="O880" s="31">
        <f>M880*N880</f>
        <v/>
      </c>
      <c r="P880" s="32">
        <f>51.0*N880</f>
        <v/>
      </c>
    </row>
    <row r="881">
      <c r="A881" t="inlineStr">
        <is>
          <t>U2-18</t>
        </is>
      </c>
      <c r="B881" t="n">
        <v>2</v>
      </c>
      <c r="C881" t="n">
        <v>10</v>
      </c>
      <c r="D881" t="inlineStr">
        <is>
          <t>BAF20</t>
        </is>
      </c>
      <c r="E881" t="inlineStr">
        <is>
          <t>PP</t>
        </is>
      </c>
      <c r="F881" t="n">
        <v>21.1</v>
      </c>
      <c r="G881" t="n">
        <v>92</v>
      </c>
      <c r="H881" t="n">
        <v>0</v>
      </c>
      <c r="I881" t="inlineStr">
        <is>
          <t>L</t>
        </is>
      </c>
      <c r="J881" t="inlineStr">
        <is>
          <t>C</t>
        </is>
      </c>
      <c r="K881" t="inlineStr"/>
      <c r="L881" t="inlineStr"/>
      <c r="M881" s="30">
        <f>0.005454*F881^2</f>
        <v/>
      </c>
      <c r="N881" s="31">
        <f>IF(D881="BAF20",20/M881,100)</f>
        <v/>
      </c>
      <c r="O881" s="31">
        <f>M881*N881</f>
        <v/>
      </c>
      <c r="P881" s="32">
        <f>405.2*N881</f>
        <v/>
      </c>
    </row>
    <row r="882">
      <c r="A882" t="inlineStr">
        <is>
          <t>U2-18</t>
        </is>
      </c>
      <c r="B882" t="n">
        <v>2</v>
      </c>
      <c r="C882" t="n">
        <v>11</v>
      </c>
      <c r="D882" t="inlineStr">
        <is>
          <t>BAF20</t>
        </is>
      </c>
      <c r="E882" t="inlineStr">
        <is>
          <t>PP</t>
        </is>
      </c>
      <c r="F882" t="n">
        <v>20.4</v>
      </c>
      <c r="G882" t="n">
        <v>85</v>
      </c>
      <c r="H882" t="n">
        <v>100</v>
      </c>
      <c r="I882" t="inlineStr">
        <is>
          <t>D</t>
        </is>
      </c>
      <c r="J882" t="inlineStr">
        <is>
          <t>C</t>
        </is>
      </c>
      <c r="K882" t="inlineStr"/>
      <c r="L882" t="inlineStr"/>
      <c r="M882" s="30">
        <f>0.005454*F882^2</f>
        <v/>
      </c>
      <c r="N882" s="31">
        <f>IF(D882="BAF20",20/M882,100)</f>
        <v/>
      </c>
      <c r="O882" s="31">
        <f>M882*N882</f>
        <v/>
      </c>
      <c r="P882" s="32">
        <f>0.0*N882</f>
        <v/>
      </c>
    </row>
    <row r="883">
      <c r="A883" t="inlineStr">
        <is>
          <t>U2-18</t>
        </is>
      </c>
      <c r="B883" t="n">
        <v>2</v>
      </c>
      <c r="C883" t="n">
        <v>12</v>
      </c>
      <c r="D883" t="inlineStr">
        <is>
          <t>FIX100</t>
        </is>
      </c>
      <c r="E883" t="inlineStr">
        <is>
          <t>IC</t>
        </is>
      </c>
      <c r="F883" t="n">
        <v>2.3</v>
      </c>
      <c r="G883" t="n">
        <v>13</v>
      </c>
      <c r="H883" t="n">
        <v>0</v>
      </c>
      <c r="I883" t="inlineStr">
        <is>
          <t>L</t>
        </is>
      </c>
      <c r="J883" t="inlineStr">
        <is>
          <t>S</t>
        </is>
      </c>
      <c r="K883" t="inlineStr"/>
      <c r="L883" t="inlineStr"/>
      <c r="M883" s="30">
        <f>0.005454*F883^2</f>
        <v/>
      </c>
      <c r="N883" s="31">
        <f>IF(D883="BAF20",20/M883,100)</f>
        <v/>
      </c>
      <c r="O883" s="31">
        <f>M883*N883</f>
        <v/>
      </c>
      <c r="P883" s="32">
        <f>0.0*N883</f>
        <v/>
      </c>
    </row>
    <row r="884">
      <c r="A884" t="inlineStr">
        <is>
          <t>U2-18</t>
        </is>
      </c>
      <c r="B884" t="n">
        <v>2</v>
      </c>
      <c r="C884" t="n">
        <v>13</v>
      </c>
      <c r="D884" t="inlineStr">
        <is>
          <t>FIX100</t>
        </is>
      </c>
      <c r="E884" t="inlineStr">
        <is>
          <t>PP</t>
        </is>
      </c>
      <c r="F884" t="n">
        <v>4.1</v>
      </c>
      <c r="G884" t="n">
        <v>22</v>
      </c>
      <c r="H884" t="n">
        <v>0</v>
      </c>
      <c r="I884" t="inlineStr">
        <is>
          <t>L</t>
        </is>
      </c>
      <c r="J884" t="inlineStr">
        <is>
          <t>S</t>
        </is>
      </c>
      <c r="K884" t="inlineStr"/>
      <c r="L884" t="inlineStr"/>
      <c r="M884" s="30">
        <f>0.005454*F884^2</f>
        <v/>
      </c>
      <c r="N884" s="31">
        <f>IF(D884="BAF20",20/M884,100)</f>
        <v/>
      </c>
      <c r="O884" s="31">
        <f>M884*N884</f>
        <v/>
      </c>
      <c r="P884" s="32">
        <f>0.0*N884</f>
        <v/>
      </c>
    </row>
    <row r="885">
      <c r="A885" t="inlineStr">
        <is>
          <t>U2-19</t>
        </is>
      </c>
      <c r="B885" t="n">
        <v>2</v>
      </c>
      <c r="C885" t="n">
        <v>1</v>
      </c>
      <c r="D885" t="inlineStr">
        <is>
          <t>BAF20</t>
        </is>
      </c>
      <c r="E885" t="inlineStr">
        <is>
          <t>WF</t>
        </is>
      </c>
      <c r="F885" t="n">
        <v>7.7</v>
      </c>
      <c r="G885" t="n">
        <v>43</v>
      </c>
      <c r="H885" t="n">
        <v>5</v>
      </c>
      <c r="I885" t="inlineStr">
        <is>
          <t>L</t>
        </is>
      </c>
      <c r="J885" t="inlineStr">
        <is>
          <t>S</t>
        </is>
      </c>
      <c r="K885" t="inlineStr">
        <is>
          <t>Y</t>
        </is>
      </c>
      <c r="L885" t="inlineStr"/>
      <c r="M885" s="30">
        <f>0.005454*F885^2</f>
        <v/>
      </c>
      <c r="N885" s="31">
        <f>IF(D885="BAF20",20/M885,100)</f>
        <v/>
      </c>
      <c r="O885" s="31">
        <f>M885*N885</f>
        <v/>
      </c>
      <c r="P885" s="32">
        <f>0.0*N885</f>
        <v/>
      </c>
    </row>
    <row r="886">
      <c r="A886" t="inlineStr">
        <is>
          <t>U2-19</t>
        </is>
      </c>
      <c r="B886" t="n">
        <v>2</v>
      </c>
      <c r="C886" t="n">
        <v>2</v>
      </c>
      <c r="D886" t="inlineStr">
        <is>
          <t>BAF20</t>
        </is>
      </c>
      <c r="E886" t="inlineStr">
        <is>
          <t>DF</t>
        </is>
      </c>
      <c r="F886" t="n">
        <v>19.4</v>
      </c>
      <c r="G886" t="n">
        <v>93</v>
      </c>
      <c r="H886" t="n">
        <v>3</v>
      </c>
      <c r="I886" t="inlineStr">
        <is>
          <t>L</t>
        </is>
      </c>
      <c r="J886" t="inlineStr">
        <is>
          <t>I</t>
        </is>
      </c>
      <c r="K886" t="inlineStr"/>
      <c r="L886" t="inlineStr"/>
      <c r="M886" s="30">
        <f>0.005454*F886^2</f>
        <v/>
      </c>
      <c r="N886" s="31">
        <f>IF(D886="BAF20",20/M886,100)</f>
        <v/>
      </c>
      <c r="O886" s="31">
        <f>M886*N886</f>
        <v/>
      </c>
      <c r="P886" s="32">
        <f>325.2*N886</f>
        <v/>
      </c>
    </row>
    <row r="887">
      <c r="A887" t="inlineStr">
        <is>
          <t>U2-19</t>
        </is>
      </c>
      <c r="B887" t="n">
        <v>2</v>
      </c>
      <c r="C887" t="n">
        <v>3</v>
      </c>
      <c r="D887" t="inlineStr">
        <is>
          <t>BAF20</t>
        </is>
      </c>
      <c r="E887" t="inlineStr">
        <is>
          <t>DF</t>
        </is>
      </c>
      <c r="F887" t="n">
        <v>6.9</v>
      </c>
      <c r="G887" t="n">
        <v>42</v>
      </c>
      <c r="H887" t="n">
        <v>2</v>
      </c>
      <c r="I887" t="inlineStr">
        <is>
          <t>L</t>
        </is>
      </c>
      <c r="J887" t="inlineStr">
        <is>
          <t>S</t>
        </is>
      </c>
      <c r="K887" t="inlineStr">
        <is>
          <t>Y</t>
        </is>
      </c>
      <c r="L887" t="inlineStr"/>
      <c r="M887" s="30">
        <f>0.005454*F887^2</f>
        <v/>
      </c>
      <c r="N887" s="31">
        <f>IF(D887="BAF20",20/M887,100)</f>
        <v/>
      </c>
      <c r="O887" s="31">
        <f>M887*N887</f>
        <v/>
      </c>
      <c r="P887" s="32">
        <f>0.0*N887</f>
        <v/>
      </c>
    </row>
    <row r="888">
      <c r="A888" t="inlineStr">
        <is>
          <t>U2-19</t>
        </is>
      </c>
      <c r="B888" t="n">
        <v>2</v>
      </c>
      <c r="C888" t="n">
        <v>4</v>
      </c>
      <c r="D888" t="inlineStr">
        <is>
          <t>BAF20</t>
        </is>
      </c>
      <c r="E888" t="inlineStr">
        <is>
          <t>DF</t>
        </is>
      </c>
      <c r="F888" t="n">
        <v>27.9</v>
      </c>
      <c r="G888" t="n">
        <v>126</v>
      </c>
      <c r="H888" t="n">
        <v>7</v>
      </c>
      <c r="I888" t="inlineStr">
        <is>
          <t>L</t>
        </is>
      </c>
      <c r="J888" t="inlineStr">
        <is>
          <t>D</t>
        </is>
      </c>
      <c r="K888" t="inlineStr"/>
      <c r="L888" t="inlineStr"/>
      <c r="M888" s="30">
        <f>0.005454*F888^2</f>
        <v/>
      </c>
      <c r="N888" s="31">
        <f>IF(D888="BAF20",20/M888,100)</f>
        <v/>
      </c>
      <c r="O888" s="31">
        <f>M888*N888</f>
        <v/>
      </c>
      <c r="P888" s="32">
        <f>1017.5*N888</f>
        <v/>
      </c>
    </row>
    <row r="889">
      <c r="A889" t="inlineStr">
        <is>
          <t>U2-19</t>
        </is>
      </c>
      <c r="B889" t="n">
        <v>2</v>
      </c>
      <c r="C889" t="n">
        <v>5</v>
      </c>
      <c r="D889" t="inlineStr">
        <is>
          <t>BAF20</t>
        </is>
      </c>
      <c r="E889" t="inlineStr">
        <is>
          <t>WF</t>
        </is>
      </c>
      <c r="F889" t="n">
        <v>24.5</v>
      </c>
      <c r="G889" t="n">
        <v>104</v>
      </c>
      <c r="H889" t="n">
        <v>9</v>
      </c>
      <c r="I889" t="inlineStr">
        <is>
          <t>L</t>
        </is>
      </c>
      <c r="J889" t="inlineStr">
        <is>
          <t>C</t>
        </is>
      </c>
      <c r="K889" t="inlineStr"/>
      <c r="L889" t="inlineStr"/>
      <c r="M889" s="30">
        <f>0.005454*F889^2</f>
        <v/>
      </c>
      <c r="N889" s="31">
        <f>IF(D889="BAF20",20/M889,100)</f>
        <v/>
      </c>
      <c r="O889" s="31">
        <f>M889*N889</f>
        <v/>
      </c>
      <c r="P889" s="32">
        <f>597.9*N889</f>
        <v/>
      </c>
    </row>
    <row r="890">
      <c r="A890" t="inlineStr">
        <is>
          <t>U2-19</t>
        </is>
      </c>
      <c r="B890" t="n">
        <v>2</v>
      </c>
      <c r="C890" t="n">
        <v>6</v>
      </c>
      <c r="D890" t="inlineStr">
        <is>
          <t>BAF20</t>
        </is>
      </c>
      <c r="E890" t="inlineStr">
        <is>
          <t>PP</t>
        </is>
      </c>
      <c r="F890" t="n">
        <v>34.4</v>
      </c>
      <c r="G890" t="n">
        <v>135</v>
      </c>
      <c r="H890" t="n">
        <v>15</v>
      </c>
      <c r="I890" t="inlineStr">
        <is>
          <t>L</t>
        </is>
      </c>
      <c r="J890" t="inlineStr">
        <is>
          <t>D</t>
        </is>
      </c>
      <c r="K890" t="inlineStr"/>
      <c r="L890" t="inlineStr"/>
      <c r="M890" s="30">
        <f>0.005454*F890^2</f>
        <v/>
      </c>
      <c r="N890" s="31">
        <f>IF(D890="BAF20",20/M890,100)</f>
        <v/>
      </c>
      <c r="O890" s="31">
        <f>M890*N890</f>
        <v/>
      </c>
      <c r="P890" s="32">
        <f>1678.6*N890</f>
        <v/>
      </c>
    </row>
    <row r="891">
      <c r="A891" t="inlineStr">
        <is>
          <t>U2-19</t>
        </is>
      </c>
      <c r="B891" t="n">
        <v>2</v>
      </c>
      <c r="C891" t="n">
        <v>7</v>
      </c>
      <c r="D891" t="inlineStr">
        <is>
          <t>BAF20</t>
        </is>
      </c>
      <c r="E891" t="inlineStr">
        <is>
          <t>WF</t>
        </is>
      </c>
      <c r="F891" t="n">
        <v>6.7</v>
      </c>
      <c r="G891" t="n">
        <v>37</v>
      </c>
      <c r="H891" t="n">
        <v>15</v>
      </c>
      <c r="I891" t="inlineStr">
        <is>
          <t>L</t>
        </is>
      </c>
      <c r="J891" t="inlineStr">
        <is>
          <t>S</t>
        </is>
      </c>
      <c r="K891" t="inlineStr">
        <is>
          <t>Y</t>
        </is>
      </c>
      <c r="L891" t="inlineStr"/>
      <c r="M891" s="30">
        <f>0.005454*F891^2</f>
        <v/>
      </c>
      <c r="N891" s="31">
        <f>IF(D891="BAF20",20/M891,100)</f>
        <v/>
      </c>
      <c r="O891" s="31">
        <f>M891*N891</f>
        <v/>
      </c>
      <c r="P891" s="32">
        <f>0.0*N891</f>
        <v/>
      </c>
    </row>
    <row r="892">
      <c r="A892" t="inlineStr">
        <is>
          <t>U2-19</t>
        </is>
      </c>
      <c r="B892" t="n">
        <v>2</v>
      </c>
      <c r="C892" t="n">
        <v>8</v>
      </c>
      <c r="D892" t="inlineStr">
        <is>
          <t>BAF20</t>
        </is>
      </c>
      <c r="E892" t="inlineStr">
        <is>
          <t>SP</t>
        </is>
      </c>
      <c r="F892" t="n">
        <v>23</v>
      </c>
      <c r="G892" t="n">
        <v>110</v>
      </c>
      <c r="H892" t="n">
        <v>23</v>
      </c>
      <c r="I892" t="inlineStr">
        <is>
          <t>L</t>
        </is>
      </c>
      <c r="J892" t="inlineStr">
        <is>
          <t>C</t>
        </is>
      </c>
      <c r="K892" t="inlineStr"/>
      <c r="L892" t="inlineStr"/>
      <c r="M892" s="30">
        <f>0.005454*F892^2</f>
        <v/>
      </c>
      <c r="N892" s="31">
        <f>IF(D892="BAF20",20/M892,100)</f>
        <v/>
      </c>
      <c r="O892" s="31">
        <f>M892*N892</f>
        <v/>
      </c>
      <c r="P892" s="32">
        <f>459.1*N892</f>
        <v/>
      </c>
    </row>
    <row r="893">
      <c r="A893" t="inlineStr">
        <is>
          <t>U2-20</t>
        </is>
      </c>
      <c r="B893" t="n">
        <v>2</v>
      </c>
      <c r="C893" t="n">
        <v>1</v>
      </c>
      <c r="D893" t="inlineStr">
        <is>
          <t>BAF20</t>
        </is>
      </c>
      <c r="E893" t="inlineStr">
        <is>
          <t>DF</t>
        </is>
      </c>
      <c r="F893" t="n">
        <v>13</v>
      </c>
      <c r="G893" t="n">
        <v>62</v>
      </c>
      <c r="H893" t="n">
        <v>4</v>
      </c>
      <c r="I893" t="inlineStr">
        <is>
          <t>L</t>
        </is>
      </c>
      <c r="J893" t="inlineStr">
        <is>
          <t>S</t>
        </is>
      </c>
      <c r="K893" t="inlineStr"/>
      <c r="L893" t="inlineStr"/>
      <c r="M893" s="30">
        <f>0.005454*F893^2</f>
        <v/>
      </c>
      <c r="N893" s="31">
        <f>IF(D893="BAF20",20/M893,100)</f>
        <v/>
      </c>
      <c r="O893" s="31">
        <f>M893*N893</f>
        <v/>
      </c>
      <c r="P893" s="32">
        <f>84.4*N893</f>
        <v/>
      </c>
    </row>
    <row r="894">
      <c r="A894" t="inlineStr">
        <is>
          <t>U2-20</t>
        </is>
      </c>
      <c r="B894" t="n">
        <v>2</v>
      </c>
      <c r="C894" t="n">
        <v>2</v>
      </c>
      <c r="D894" t="inlineStr">
        <is>
          <t>BAF20</t>
        </is>
      </c>
      <c r="E894" t="inlineStr">
        <is>
          <t>PP</t>
        </is>
      </c>
      <c r="F894" t="n">
        <v>13.7</v>
      </c>
      <c r="G894" t="n">
        <v>70</v>
      </c>
      <c r="H894" t="n">
        <v>3</v>
      </c>
      <c r="I894" t="inlineStr">
        <is>
          <t>L</t>
        </is>
      </c>
      <c r="J894" t="inlineStr">
        <is>
          <t>I</t>
        </is>
      </c>
      <c r="K894" t="inlineStr"/>
      <c r="L894" t="inlineStr"/>
      <c r="M894" s="30">
        <f>0.005454*F894^2</f>
        <v/>
      </c>
      <c r="N894" s="31">
        <f>IF(D894="BAF20",20/M894,100)</f>
        <v/>
      </c>
      <c r="O894" s="31">
        <f>M894*N894</f>
        <v/>
      </c>
      <c r="P894" s="32">
        <f>108.6*N894</f>
        <v/>
      </c>
    </row>
    <row r="895">
      <c r="A895" t="inlineStr">
        <is>
          <t>U2-20</t>
        </is>
      </c>
      <c r="B895" t="n">
        <v>2</v>
      </c>
      <c r="C895" t="n">
        <v>3</v>
      </c>
      <c r="D895" t="inlineStr">
        <is>
          <t>BAF20</t>
        </is>
      </c>
      <c r="E895" t="inlineStr">
        <is>
          <t>IC</t>
        </is>
      </c>
      <c r="F895" t="n">
        <v>20.7</v>
      </c>
      <c r="G895" t="n">
        <v>81</v>
      </c>
      <c r="H895" t="n">
        <v>3</v>
      </c>
      <c r="I895" t="inlineStr">
        <is>
          <t>L</t>
        </is>
      </c>
      <c r="J895" t="inlineStr">
        <is>
          <t>C</t>
        </is>
      </c>
      <c r="K895" t="inlineStr"/>
      <c r="L895" t="inlineStr"/>
      <c r="M895" s="30">
        <f>0.005454*F895^2</f>
        <v/>
      </c>
      <c r="N895" s="31">
        <f>IF(D895="BAF20",20/M895,100)</f>
        <v/>
      </c>
      <c r="O895" s="31">
        <f>M895*N895</f>
        <v/>
      </c>
      <c r="P895" s="32">
        <f>330.6*N895</f>
        <v/>
      </c>
    </row>
    <row r="896">
      <c r="A896" t="inlineStr">
        <is>
          <t>U2-20</t>
        </is>
      </c>
      <c r="B896" t="n">
        <v>2</v>
      </c>
      <c r="C896" t="n">
        <v>4</v>
      </c>
      <c r="D896" t="inlineStr">
        <is>
          <t>BAF20</t>
        </is>
      </c>
      <c r="E896" t="inlineStr">
        <is>
          <t>PP</t>
        </is>
      </c>
      <c r="F896" t="n">
        <v>23.4</v>
      </c>
      <c r="G896" t="n">
        <v>100</v>
      </c>
      <c r="H896" t="n">
        <v>100</v>
      </c>
      <c r="I896" t="inlineStr">
        <is>
          <t>D</t>
        </is>
      </c>
      <c r="J896" t="inlineStr">
        <is>
          <t>C</t>
        </is>
      </c>
      <c r="K896" t="inlineStr"/>
      <c r="L896" t="inlineStr"/>
      <c r="M896" s="30">
        <f>0.005454*F896^2</f>
        <v/>
      </c>
      <c r="N896" s="31">
        <f>IF(D896="BAF20",20/M896,100)</f>
        <v/>
      </c>
      <c r="O896" s="31">
        <f>M896*N896</f>
        <v/>
      </c>
      <c r="P896" s="32">
        <f>0.0*N896</f>
        <v/>
      </c>
    </row>
    <row r="897">
      <c r="A897" t="inlineStr">
        <is>
          <t>U2-20</t>
        </is>
      </c>
      <c r="B897" t="n">
        <v>2</v>
      </c>
      <c r="C897" t="n">
        <v>5</v>
      </c>
      <c r="D897" t="inlineStr">
        <is>
          <t>BAF20</t>
        </is>
      </c>
      <c r="E897" t="inlineStr">
        <is>
          <t>BO</t>
        </is>
      </c>
      <c r="F897" t="n">
        <v>12.7</v>
      </c>
      <c r="G897" t="n">
        <v>44</v>
      </c>
      <c r="H897" t="n">
        <v>23</v>
      </c>
      <c r="I897" t="inlineStr">
        <is>
          <t>L</t>
        </is>
      </c>
      <c r="J897" t="inlineStr">
        <is>
          <t>S</t>
        </is>
      </c>
      <c r="K897" t="inlineStr"/>
      <c r="L897" t="inlineStr"/>
      <c r="M897" s="30">
        <f>0.005454*F897^2</f>
        <v/>
      </c>
      <c r="N897" s="31">
        <f>IF(D897="BAF20",20/M897,100)</f>
        <v/>
      </c>
      <c r="O897" s="31">
        <f>M897*N897</f>
        <v/>
      </c>
      <c r="P897" s="32">
        <f>41.2*N897</f>
        <v/>
      </c>
    </row>
    <row r="898">
      <c r="A898" t="inlineStr">
        <is>
          <t>U2-20</t>
        </is>
      </c>
      <c r="B898" t="n">
        <v>2</v>
      </c>
      <c r="C898" t="n">
        <v>6</v>
      </c>
      <c r="D898" t="inlineStr">
        <is>
          <t>BAF20</t>
        </is>
      </c>
      <c r="E898" t="inlineStr">
        <is>
          <t>DF</t>
        </is>
      </c>
      <c r="F898" t="n">
        <v>5</v>
      </c>
      <c r="G898" t="n">
        <v>32</v>
      </c>
      <c r="H898" t="n">
        <v>0</v>
      </c>
      <c r="I898" t="inlineStr">
        <is>
          <t>L</t>
        </is>
      </c>
      <c r="J898" t="inlineStr">
        <is>
          <t>S</t>
        </is>
      </c>
      <c r="K898" t="inlineStr">
        <is>
          <t>Y</t>
        </is>
      </c>
      <c r="L898" t="inlineStr"/>
      <c r="M898" s="30">
        <f>0.005454*F898^2</f>
        <v/>
      </c>
      <c r="N898" s="31">
        <f>IF(D898="BAF20",20/M898,100)</f>
        <v/>
      </c>
      <c r="O898" s="31">
        <f>M898*N898</f>
        <v/>
      </c>
      <c r="P898" s="32">
        <f>0.0*N898</f>
        <v/>
      </c>
    </row>
    <row r="899">
      <c r="A899" t="inlineStr">
        <is>
          <t>U2-20</t>
        </is>
      </c>
      <c r="B899" t="n">
        <v>2</v>
      </c>
      <c r="C899" t="n">
        <v>7</v>
      </c>
      <c r="D899" t="inlineStr">
        <is>
          <t>BAF20</t>
        </is>
      </c>
      <c r="E899" t="inlineStr">
        <is>
          <t>BO</t>
        </is>
      </c>
      <c r="F899" t="n">
        <v>5</v>
      </c>
      <c r="G899" t="n">
        <v>22</v>
      </c>
      <c r="H899" t="n">
        <v>5</v>
      </c>
      <c r="I899" t="inlineStr">
        <is>
          <t>L</t>
        </is>
      </c>
      <c r="J899" t="inlineStr">
        <is>
          <t>S</t>
        </is>
      </c>
      <c r="K899" t="inlineStr">
        <is>
          <t>Y</t>
        </is>
      </c>
      <c r="L899" t="inlineStr"/>
      <c r="M899" s="30">
        <f>0.005454*F899^2</f>
        <v/>
      </c>
      <c r="N899" s="31">
        <f>IF(D899="BAF20",20/M899,100)</f>
        <v/>
      </c>
      <c r="O899" s="31">
        <f>M899*N899</f>
        <v/>
      </c>
      <c r="P899" s="32">
        <f>0.0*N899</f>
        <v/>
      </c>
    </row>
    <row r="900">
      <c r="A900" t="inlineStr">
        <is>
          <t>U2-20</t>
        </is>
      </c>
      <c r="B900" t="n">
        <v>2</v>
      </c>
      <c r="C900" t="n">
        <v>8</v>
      </c>
      <c r="D900" t="inlineStr">
        <is>
          <t>BAF20</t>
        </is>
      </c>
      <c r="E900" t="inlineStr">
        <is>
          <t>PP</t>
        </is>
      </c>
      <c r="F900" t="n">
        <v>9.800000000000001</v>
      </c>
      <c r="G900" t="n">
        <v>49</v>
      </c>
      <c r="H900" t="n">
        <v>6</v>
      </c>
      <c r="I900" t="inlineStr">
        <is>
          <t>L</t>
        </is>
      </c>
      <c r="J900" t="inlineStr">
        <is>
          <t>S</t>
        </is>
      </c>
      <c r="K900" t="inlineStr">
        <is>
          <t>Y</t>
        </is>
      </c>
      <c r="L900" t="inlineStr"/>
      <c r="M900" s="30">
        <f>0.005454*F900^2</f>
        <v/>
      </c>
      <c r="N900" s="31">
        <f>IF(D900="BAF20",20/M900,100)</f>
        <v/>
      </c>
      <c r="O900" s="31">
        <f>M900*N900</f>
        <v/>
      </c>
      <c r="P900" s="32">
        <f>0.0*N900</f>
        <v/>
      </c>
    </row>
    <row r="901">
      <c r="A901" t="inlineStr">
        <is>
          <t>U2-20</t>
        </is>
      </c>
      <c r="B901" t="n">
        <v>2</v>
      </c>
      <c r="C901" t="n">
        <v>9</v>
      </c>
      <c r="D901" t="inlineStr">
        <is>
          <t>BAF20</t>
        </is>
      </c>
      <c r="E901" t="inlineStr">
        <is>
          <t>PP</t>
        </is>
      </c>
      <c r="F901" t="n">
        <v>36.6</v>
      </c>
      <c r="G901" t="n">
        <v>121</v>
      </c>
      <c r="H901" t="n">
        <v>100</v>
      </c>
      <c r="I901" t="inlineStr">
        <is>
          <t>D</t>
        </is>
      </c>
      <c r="J901" t="inlineStr">
        <is>
          <t>D</t>
        </is>
      </c>
      <c r="K901" t="inlineStr"/>
      <c r="L901" t="inlineStr"/>
      <c r="M901" s="30">
        <f>0.005454*F901^2</f>
        <v/>
      </c>
      <c r="N901" s="31">
        <f>IF(D901="BAF20",20/M901,100)</f>
        <v/>
      </c>
      <c r="O901" s="31">
        <f>M901*N901</f>
        <v/>
      </c>
      <c r="P901" s="32">
        <f>0.0*N901</f>
        <v/>
      </c>
    </row>
    <row r="902">
      <c r="A902" t="inlineStr">
        <is>
          <t>U2-20</t>
        </is>
      </c>
      <c r="B902" t="n">
        <v>2</v>
      </c>
      <c r="C902" t="n">
        <v>10</v>
      </c>
      <c r="D902" t="inlineStr">
        <is>
          <t>BAF20</t>
        </is>
      </c>
      <c r="E902" t="inlineStr">
        <is>
          <t>PP</t>
        </is>
      </c>
      <c r="F902" t="n">
        <v>11.5</v>
      </c>
      <c r="G902" t="n">
        <v>56</v>
      </c>
      <c r="H902" t="n">
        <v>100</v>
      </c>
      <c r="I902" t="inlineStr">
        <is>
          <t>D</t>
        </is>
      </c>
      <c r="J902" t="inlineStr">
        <is>
          <t>S</t>
        </is>
      </c>
      <c r="K902" t="inlineStr"/>
      <c r="L902" t="inlineStr"/>
      <c r="M902" s="30">
        <f>0.005454*F902^2</f>
        <v/>
      </c>
      <c r="N902" s="31">
        <f>IF(D902="BAF20",20/M902,100)</f>
        <v/>
      </c>
      <c r="O902" s="31">
        <f>M902*N902</f>
        <v/>
      </c>
      <c r="P902" s="32">
        <f>0.0*N902</f>
        <v/>
      </c>
    </row>
    <row r="903">
      <c r="A903" t="inlineStr">
        <is>
          <t>U2-20</t>
        </is>
      </c>
      <c r="B903" t="n">
        <v>2</v>
      </c>
      <c r="C903" t="n">
        <v>11</v>
      </c>
      <c r="D903" t="inlineStr">
        <is>
          <t>BAF20</t>
        </is>
      </c>
      <c r="E903" t="inlineStr">
        <is>
          <t>IC</t>
        </is>
      </c>
      <c r="F903" t="n">
        <v>12.1</v>
      </c>
      <c r="G903" t="n">
        <v>41</v>
      </c>
      <c r="H903" t="n">
        <v>2</v>
      </c>
      <c r="I903" t="inlineStr">
        <is>
          <t>L</t>
        </is>
      </c>
      <c r="J903" t="inlineStr">
        <is>
          <t>S</t>
        </is>
      </c>
      <c r="K903" t="inlineStr">
        <is>
          <t>Y</t>
        </is>
      </c>
      <c r="L903" t="inlineStr"/>
      <c r="M903" s="30">
        <f>0.005454*F903^2</f>
        <v/>
      </c>
      <c r="N903" s="31">
        <f>IF(D903="BAF20",20/M903,100)</f>
        <v/>
      </c>
      <c r="O903" s="31">
        <f>M903*N903</f>
        <v/>
      </c>
      <c r="P903" s="32">
        <f>48.4*N903</f>
        <v/>
      </c>
    </row>
    <row r="904">
      <c r="A904" t="inlineStr">
        <is>
          <t>U2-20</t>
        </is>
      </c>
      <c r="B904" t="n">
        <v>2</v>
      </c>
      <c r="C904" t="n">
        <v>12</v>
      </c>
      <c r="D904" t="inlineStr">
        <is>
          <t>FIX100</t>
        </is>
      </c>
      <c r="E904" t="inlineStr">
        <is>
          <t>PP</t>
        </is>
      </c>
      <c r="F904" t="n">
        <v>4.4</v>
      </c>
      <c r="G904" t="n">
        <v>20</v>
      </c>
      <c r="H904" t="n">
        <v>0</v>
      </c>
      <c r="I904" t="inlineStr">
        <is>
          <t>L</t>
        </is>
      </c>
      <c r="J904" t="inlineStr">
        <is>
          <t>S</t>
        </is>
      </c>
      <c r="K904" t="inlineStr"/>
      <c r="L904" t="inlineStr"/>
      <c r="M904" s="30">
        <f>0.005454*F904^2</f>
        <v/>
      </c>
      <c r="N904" s="31">
        <f>IF(D904="BAF20",20/M904,100)</f>
        <v/>
      </c>
      <c r="O904" s="31">
        <f>M904*N904</f>
        <v/>
      </c>
      <c r="P904" s="32">
        <f>0.0*N904</f>
        <v/>
      </c>
    </row>
    <row r="905">
      <c r="A905" t="inlineStr">
        <is>
          <t>U2-20</t>
        </is>
      </c>
      <c r="B905" t="n">
        <v>2</v>
      </c>
      <c r="C905" t="n">
        <v>13</v>
      </c>
      <c r="D905" t="inlineStr">
        <is>
          <t>FIX100</t>
        </is>
      </c>
      <c r="E905" t="inlineStr">
        <is>
          <t>WF</t>
        </is>
      </c>
      <c r="F905" t="n">
        <v>1.5</v>
      </c>
      <c r="G905" t="n">
        <v>11</v>
      </c>
      <c r="H905" t="n">
        <v>0</v>
      </c>
      <c r="I905" t="inlineStr">
        <is>
          <t>L</t>
        </is>
      </c>
      <c r="J905" t="inlineStr">
        <is>
          <t>S</t>
        </is>
      </c>
      <c r="K905" t="inlineStr"/>
      <c r="L905" t="inlineStr"/>
      <c r="M905" s="30">
        <f>0.005454*F905^2</f>
        <v/>
      </c>
      <c r="N905" s="31">
        <f>IF(D905="BAF20",20/M905,100)</f>
        <v/>
      </c>
      <c r="O905" s="31">
        <f>M905*N905</f>
        <v/>
      </c>
      <c r="P905" s="32">
        <f>0.0*N905</f>
        <v/>
      </c>
    </row>
    <row r="906">
      <c r="A906" t="inlineStr">
        <is>
          <t>U2-20</t>
        </is>
      </c>
      <c r="B906" t="n">
        <v>2</v>
      </c>
      <c r="C906" t="n">
        <v>14</v>
      </c>
      <c r="D906" t="inlineStr">
        <is>
          <t>FIX100</t>
        </is>
      </c>
      <c r="E906" t="inlineStr">
        <is>
          <t>DF</t>
        </is>
      </c>
      <c r="F906" t="n">
        <v>1.2</v>
      </c>
      <c r="G906" t="n">
        <v>10</v>
      </c>
      <c r="H906" t="n">
        <v>0</v>
      </c>
      <c r="I906" t="inlineStr">
        <is>
          <t>L</t>
        </is>
      </c>
      <c r="J906" t="inlineStr">
        <is>
          <t>S</t>
        </is>
      </c>
      <c r="K906" t="inlineStr"/>
      <c r="L906" t="inlineStr"/>
      <c r="M906" s="30">
        <f>0.005454*F906^2</f>
        <v/>
      </c>
      <c r="N906" s="31">
        <f>IF(D906="BAF20",20/M906,100)</f>
        <v/>
      </c>
      <c r="O906" s="31">
        <f>M906*N906</f>
        <v/>
      </c>
      <c r="P906" s="32">
        <f>0.0*N906</f>
        <v/>
      </c>
    </row>
    <row r="907">
      <c r="A907" t="inlineStr">
        <is>
          <t>U2-21</t>
        </is>
      </c>
      <c r="B907" t="n">
        <v>2</v>
      </c>
      <c r="C907" t="n">
        <v>1</v>
      </c>
      <c r="D907" t="inlineStr">
        <is>
          <t>BAF20</t>
        </is>
      </c>
      <c r="E907" t="inlineStr">
        <is>
          <t>WF</t>
        </is>
      </c>
      <c r="F907" t="n">
        <v>18.9</v>
      </c>
      <c r="G907" t="n">
        <v>87</v>
      </c>
      <c r="H907" t="n">
        <v>6</v>
      </c>
      <c r="I907" t="inlineStr">
        <is>
          <t>L</t>
        </is>
      </c>
      <c r="J907" t="inlineStr">
        <is>
          <t>I</t>
        </is>
      </c>
      <c r="K907" t="inlineStr"/>
      <c r="L907" t="inlineStr"/>
      <c r="M907" s="30">
        <f>0.005454*F907^2</f>
        <v/>
      </c>
      <c r="N907" s="31">
        <f>IF(D907="BAF20",20/M907,100)</f>
        <v/>
      </c>
      <c r="O907" s="31">
        <f>M907*N907</f>
        <v/>
      </c>
      <c r="P907" s="32">
        <f>277.1*N907</f>
        <v/>
      </c>
    </row>
    <row r="908">
      <c r="A908" t="inlineStr">
        <is>
          <t>U2-21</t>
        </is>
      </c>
      <c r="B908" t="n">
        <v>2</v>
      </c>
      <c r="C908" t="n">
        <v>2</v>
      </c>
      <c r="D908" t="inlineStr">
        <is>
          <t>BAF20</t>
        </is>
      </c>
      <c r="E908" t="inlineStr">
        <is>
          <t>DF</t>
        </is>
      </c>
      <c r="F908" t="n">
        <v>21.7</v>
      </c>
      <c r="G908" t="n">
        <v>93</v>
      </c>
      <c r="H908" t="n">
        <v>1</v>
      </c>
      <c r="I908" t="inlineStr">
        <is>
          <t>L</t>
        </is>
      </c>
      <c r="J908" t="inlineStr">
        <is>
          <t>C</t>
        </is>
      </c>
      <c r="K908" t="inlineStr"/>
      <c r="L908" t="inlineStr"/>
      <c r="M908" s="30">
        <f>0.005454*F908^2</f>
        <v/>
      </c>
      <c r="N908" s="31">
        <f>IF(D908="BAF20",20/M908,100)</f>
        <v/>
      </c>
      <c r="O908" s="31">
        <f>M908*N908</f>
        <v/>
      </c>
      <c r="P908" s="32">
        <f>433.8*N908</f>
        <v/>
      </c>
    </row>
    <row r="909">
      <c r="A909" t="inlineStr">
        <is>
          <t>U2-21</t>
        </is>
      </c>
      <c r="B909" t="n">
        <v>2</v>
      </c>
      <c r="C909" t="n">
        <v>3</v>
      </c>
      <c r="D909" t="inlineStr">
        <is>
          <t>BAF20</t>
        </is>
      </c>
      <c r="E909" t="inlineStr">
        <is>
          <t>PP</t>
        </is>
      </c>
      <c r="F909" t="n">
        <v>29.2</v>
      </c>
      <c r="G909" t="n">
        <v>117</v>
      </c>
      <c r="H909" t="n">
        <v>2</v>
      </c>
      <c r="I909" t="inlineStr">
        <is>
          <t>L</t>
        </is>
      </c>
      <c r="J909" t="inlineStr">
        <is>
          <t>D</t>
        </is>
      </c>
      <c r="K909" t="inlineStr"/>
      <c r="L909" t="inlineStr"/>
      <c r="M909" s="30">
        <f>0.005454*F909^2</f>
        <v/>
      </c>
      <c r="N909" s="31">
        <f>IF(D909="BAF20",20/M909,100)</f>
        <v/>
      </c>
      <c r="O909" s="31">
        <f>M909*N909</f>
        <v/>
      </c>
      <c r="P909" s="32">
        <f>1114.2*N909</f>
        <v/>
      </c>
    </row>
    <row r="910">
      <c r="A910" t="inlineStr">
        <is>
          <t>U2-21</t>
        </is>
      </c>
      <c r="B910" t="n">
        <v>2</v>
      </c>
      <c r="C910" t="n">
        <v>4</v>
      </c>
      <c r="D910" t="inlineStr">
        <is>
          <t>BAF20</t>
        </is>
      </c>
      <c r="E910" t="inlineStr">
        <is>
          <t>PP</t>
        </is>
      </c>
      <c r="F910" t="n">
        <v>16.9</v>
      </c>
      <c r="G910" t="n">
        <v>88</v>
      </c>
      <c r="H910" t="n">
        <v>1</v>
      </c>
      <c r="I910" t="inlineStr">
        <is>
          <t>L</t>
        </is>
      </c>
      <c r="J910" t="inlineStr">
        <is>
          <t>I</t>
        </is>
      </c>
      <c r="K910" t="inlineStr"/>
      <c r="L910" t="inlineStr"/>
      <c r="M910" s="30">
        <f>0.005454*F910^2</f>
        <v/>
      </c>
      <c r="N910" s="31">
        <f>IF(D910="BAF20",20/M910,100)</f>
        <v/>
      </c>
      <c r="O910" s="31">
        <f>M910*N910</f>
        <v/>
      </c>
      <c r="P910" s="32">
        <f>226.8*N910</f>
        <v/>
      </c>
    </row>
    <row r="911">
      <c r="A911" t="inlineStr">
        <is>
          <t>U2-21</t>
        </is>
      </c>
      <c r="B911" t="n">
        <v>2</v>
      </c>
      <c r="C911" t="n">
        <v>5</v>
      </c>
      <c r="D911" t="inlineStr">
        <is>
          <t>BAF20</t>
        </is>
      </c>
      <c r="E911" t="inlineStr">
        <is>
          <t>WF</t>
        </is>
      </c>
      <c r="F911" t="n">
        <v>8</v>
      </c>
      <c r="G911" t="n">
        <v>44</v>
      </c>
      <c r="H911" t="n">
        <v>19</v>
      </c>
      <c r="I911" t="inlineStr">
        <is>
          <t>L</t>
        </is>
      </c>
      <c r="J911" t="inlineStr">
        <is>
          <t>S</t>
        </is>
      </c>
      <c r="K911" t="inlineStr">
        <is>
          <t>Y</t>
        </is>
      </c>
      <c r="L911" t="inlineStr"/>
      <c r="M911" s="30">
        <f>0.005454*F911^2</f>
        <v/>
      </c>
      <c r="N911" s="31">
        <f>IF(D911="BAF20",20/M911,100)</f>
        <v/>
      </c>
      <c r="O911" s="31">
        <f>M911*N911</f>
        <v/>
      </c>
      <c r="P911" s="32">
        <f>0.0*N911</f>
        <v/>
      </c>
    </row>
    <row r="912">
      <c r="A912" t="inlineStr">
        <is>
          <t>U2-21</t>
        </is>
      </c>
      <c r="B912" t="n">
        <v>2</v>
      </c>
      <c r="C912" t="n">
        <v>6</v>
      </c>
      <c r="D912" t="inlineStr">
        <is>
          <t>BAF20</t>
        </is>
      </c>
      <c r="E912" t="inlineStr">
        <is>
          <t>BO</t>
        </is>
      </c>
      <c r="F912" t="n">
        <v>12.1</v>
      </c>
      <c r="G912" t="n">
        <v>49</v>
      </c>
      <c r="H912" t="n">
        <v>9</v>
      </c>
      <c r="I912" t="inlineStr">
        <is>
          <t>L</t>
        </is>
      </c>
      <c r="J912" t="inlineStr">
        <is>
          <t>S</t>
        </is>
      </c>
      <c r="K912" t="inlineStr">
        <is>
          <t>Y</t>
        </is>
      </c>
      <c r="L912" t="inlineStr"/>
      <c r="M912" s="30">
        <f>0.005454*F912^2</f>
        <v/>
      </c>
      <c r="N912" s="31">
        <f>IF(D912="BAF20",20/M912,100)</f>
        <v/>
      </c>
      <c r="O912" s="31">
        <f>M912*N912</f>
        <v/>
      </c>
      <c r="P912" s="32">
        <f>48.6*N912</f>
        <v/>
      </c>
    </row>
    <row r="913">
      <c r="A913" t="inlineStr">
        <is>
          <t>U2-21</t>
        </is>
      </c>
      <c r="B913" t="n">
        <v>2</v>
      </c>
      <c r="C913" t="n">
        <v>7</v>
      </c>
      <c r="D913" t="inlineStr">
        <is>
          <t>BAF20</t>
        </is>
      </c>
      <c r="E913" t="inlineStr">
        <is>
          <t>DF</t>
        </is>
      </c>
      <c r="F913" t="n">
        <v>15.4</v>
      </c>
      <c r="G913" t="n">
        <v>73</v>
      </c>
      <c r="H913" t="n">
        <v>8</v>
      </c>
      <c r="I913" t="inlineStr">
        <is>
          <t>L</t>
        </is>
      </c>
      <c r="J913" t="inlineStr">
        <is>
          <t>I</t>
        </is>
      </c>
      <c r="K913" t="inlineStr"/>
      <c r="L913" t="inlineStr"/>
      <c r="M913" s="30">
        <f>0.005454*F913^2</f>
        <v/>
      </c>
      <c r="N913" s="31">
        <f>IF(D913="BAF20",20/M913,100)</f>
        <v/>
      </c>
      <c r="O913" s="31">
        <f>M913*N913</f>
        <v/>
      </c>
      <c r="P913" s="32">
        <f>140.7*N913</f>
        <v/>
      </c>
    </row>
    <row r="914">
      <c r="A914" t="inlineStr">
        <is>
          <t>U2-21</t>
        </is>
      </c>
      <c r="B914" t="n">
        <v>2</v>
      </c>
      <c r="C914" t="n">
        <v>8</v>
      </c>
      <c r="D914" t="inlineStr">
        <is>
          <t>BAF20</t>
        </is>
      </c>
      <c r="E914" t="inlineStr">
        <is>
          <t>DF</t>
        </is>
      </c>
      <c r="F914" t="n">
        <v>5.7</v>
      </c>
      <c r="G914" t="n">
        <v>33</v>
      </c>
      <c r="H914" t="n">
        <v>1</v>
      </c>
      <c r="I914" t="inlineStr">
        <is>
          <t>L</t>
        </is>
      </c>
      <c r="J914" t="inlineStr">
        <is>
          <t>S</t>
        </is>
      </c>
      <c r="K914" t="inlineStr">
        <is>
          <t>Y</t>
        </is>
      </c>
      <c r="L914" t="inlineStr"/>
      <c r="M914" s="30">
        <f>0.005454*F914^2</f>
        <v/>
      </c>
      <c r="N914" s="31">
        <f>IF(D914="BAF20",20/M914,100)</f>
        <v/>
      </c>
      <c r="O914" s="31">
        <f>M914*N914</f>
        <v/>
      </c>
      <c r="P914" s="32">
        <f>0.0*N914</f>
        <v/>
      </c>
    </row>
    <row r="915">
      <c r="A915" t="inlineStr">
        <is>
          <t>U2-21</t>
        </is>
      </c>
      <c r="B915" t="n">
        <v>2</v>
      </c>
      <c r="C915" t="n">
        <v>9</v>
      </c>
      <c r="D915" t="inlineStr">
        <is>
          <t>BAF20</t>
        </is>
      </c>
      <c r="E915" t="inlineStr">
        <is>
          <t>PP</t>
        </is>
      </c>
      <c r="F915" t="n">
        <v>14</v>
      </c>
      <c r="G915" t="n">
        <v>75</v>
      </c>
      <c r="H915" t="n">
        <v>1</v>
      </c>
      <c r="I915" t="inlineStr">
        <is>
          <t>L</t>
        </is>
      </c>
      <c r="J915" t="inlineStr">
        <is>
          <t>I</t>
        </is>
      </c>
      <c r="K915" t="inlineStr"/>
      <c r="L915" t="inlineStr"/>
      <c r="M915" s="30">
        <f>0.005454*F915^2</f>
        <v/>
      </c>
      <c r="N915" s="31">
        <f>IF(D915="BAF20",20/M915,100)</f>
        <v/>
      </c>
      <c r="O915" s="31">
        <f>M915*N915</f>
        <v/>
      </c>
      <c r="P915" s="32">
        <f>124.8*N915</f>
        <v/>
      </c>
    </row>
    <row r="916">
      <c r="A916" t="inlineStr">
        <is>
          <t>U2-21</t>
        </is>
      </c>
      <c r="B916" t="n">
        <v>2</v>
      </c>
      <c r="C916" t="n">
        <v>10</v>
      </c>
      <c r="D916" t="inlineStr">
        <is>
          <t>BAF20</t>
        </is>
      </c>
      <c r="E916" t="inlineStr">
        <is>
          <t>BO</t>
        </is>
      </c>
      <c r="F916" t="n">
        <v>22</v>
      </c>
      <c r="G916" t="n">
        <v>65</v>
      </c>
      <c r="H916" t="n">
        <v>26</v>
      </c>
      <c r="I916" t="inlineStr">
        <is>
          <t>L</t>
        </is>
      </c>
      <c r="J916" t="inlineStr">
        <is>
          <t>C</t>
        </is>
      </c>
      <c r="K916" t="inlineStr"/>
      <c r="L916" t="inlineStr"/>
      <c r="M916" s="30">
        <f>0.005454*F916^2</f>
        <v/>
      </c>
      <c r="N916" s="31">
        <f>IF(D916="BAF20",20/M916,100)</f>
        <v/>
      </c>
      <c r="O916" s="31">
        <f>M916*N916</f>
        <v/>
      </c>
      <c r="P916" s="32">
        <f>211.9*N916</f>
        <v/>
      </c>
    </row>
    <row r="917">
      <c r="A917" t="inlineStr">
        <is>
          <t>U2-21</t>
        </is>
      </c>
      <c r="B917" t="n">
        <v>2</v>
      </c>
      <c r="C917" t="n">
        <v>11</v>
      </c>
      <c r="D917" t="inlineStr">
        <is>
          <t>FIX100</t>
        </is>
      </c>
      <c r="E917" t="inlineStr">
        <is>
          <t>IC</t>
        </is>
      </c>
      <c r="F917" t="n">
        <v>2.6</v>
      </c>
      <c r="G917" t="n">
        <v>12</v>
      </c>
      <c r="H917" t="n">
        <v>0</v>
      </c>
      <c r="I917" t="inlineStr">
        <is>
          <t>L</t>
        </is>
      </c>
      <c r="J917" t="inlineStr">
        <is>
          <t>S</t>
        </is>
      </c>
      <c r="K917" t="inlineStr"/>
      <c r="L917" t="inlineStr"/>
      <c r="M917" s="30">
        <f>0.005454*F917^2</f>
        <v/>
      </c>
      <c r="N917" s="31">
        <f>IF(D917="BAF20",20/M917,100)</f>
        <v/>
      </c>
      <c r="O917" s="31">
        <f>M917*N917</f>
        <v/>
      </c>
      <c r="P917" s="32">
        <f>0.0*N917</f>
        <v/>
      </c>
    </row>
    <row r="918">
      <c r="A918" t="inlineStr">
        <is>
          <t>U2-22</t>
        </is>
      </c>
      <c r="B918" t="n">
        <v>2</v>
      </c>
      <c r="C918" t="n">
        <v>1</v>
      </c>
      <c r="D918" t="inlineStr">
        <is>
          <t>BAF20</t>
        </is>
      </c>
      <c r="E918" t="inlineStr">
        <is>
          <t>SP</t>
        </is>
      </c>
      <c r="F918" t="n">
        <v>23.1</v>
      </c>
      <c r="G918" t="n">
        <v>115</v>
      </c>
      <c r="H918" t="n">
        <v>1</v>
      </c>
      <c r="I918" t="inlineStr">
        <is>
          <t>L</t>
        </is>
      </c>
      <c r="J918" t="inlineStr">
        <is>
          <t>C</t>
        </is>
      </c>
      <c r="K918" t="inlineStr"/>
      <c r="L918" t="inlineStr"/>
      <c r="M918" s="30">
        <f>0.005454*F918^2</f>
        <v/>
      </c>
      <c r="N918" s="31">
        <f>IF(D918="BAF20",20/M918,100)</f>
        <v/>
      </c>
      <c r="O918" s="31">
        <f>M918*N918</f>
        <v/>
      </c>
      <c r="P918" s="32">
        <f>623.6*N918</f>
        <v/>
      </c>
    </row>
    <row r="919">
      <c r="A919" t="inlineStr">
        <is>
          <t>U2-22</t>
        </is>
      </c>
      <c r="B919" t="n">
        <v>2</v>
      </c>
      <c r="C919" t="n">
        <v>2</v>
      </c>
      <c r="D919" t="inlineStr">
        <is>
          <t>BAF20</t>
        </is>
      </c>
      <c r="E919" t="inlineStr">
        <is>
          <t>WF</t>
        </is>
      </c>
      <c r="F919" t="n">
        <v>16.8</v>
      </c>
      <c r="G919" t="n">
        <v>72</v>
      </c>
      <c r="H919" t="n">
        <v>100</v>
      </c>
      <c r="I919" t="inlineStr">
        <is>
          <t>D</t>
        </is>
      </c>
      <c r="J919" t="inlineStr">
        <is>
          <t>I</t>
        </is>
      </c>
      <c r="K919" t="inlineStr"/>
      <c r="L919" t="inlineStr"/>
      <c r="M919" s="30">
        <f>0.005454*F919^2</f>
        <v/>
      </c>
      <c r="N919" s="31">
        <f>IF(D919="BAF20",20/M919,100)</f>
        <v/>
      </c>
      <c r="O919" s="31">
        <f>M919*N919</f>
        <v/>
      </c>
      <c r="P919" s="32">
        <f>0.0*N919</f>
        <v/>
      </c>
    </row>
    <row r="920">
      <c r="A920" t="inlineStr">
        <is>
          <t>U2-22</t>
        </is>
      </c>
      <c r="B920" t="n">
        <v>2</v>
      </c>
      <c r="C920" t="n">
        <v>3</v>
      </c>
      <c r="D920" t="inlineStr">
        <is>
          <t>BAF20</t>
        </is>
      </c>
      <c r="E920" t="inlineStr">
        <is>
          <t>DF</t>
        </is>
      </c>
      <c r="F920" t="n">
        <v>21.4</v>
      </c>
      <c r="G920" t="n">
        <v>89</v>
      </c>
      <c r="H920" t="n">
        <v>2</v>
      </c>
      <c r="I920" t="inlineStr">
        <is>
          <t>L</t>
        </is>
      </c>
      <c r="J920" t="inlineStr">
        <is>
          <t>C</t>
        </is>
      </c>
      <c r="K920" t="inlineStr"/>
      <c r="L920" t="inlineStr"/>
      <c r="M920" s="30">
        <f>0.005454*F920^2</f>
        <v/>
      </c>
      <c r="N920" s="31">
        <f>IF(D920="BAF20",20/M920,100)</f>
        <v/>
      </c>
      <c r="O920" s="31">
        <f>M920*N920</f>
        <v/>
      </c>
      <c r="P920" s="32">
        <f>397.4*N920</f>
        <v/>
      </c>
    </row>
    <row r="921">
      <c r="A921" t="inlineStr">
        <is>
          <t>U2-22</t>
        </is>
      </c>
      <c r="B921" t="n">
        <v>2</v>
      </c>
      <c r="C921" t="n">
        <v>4</v>
      </c>
      <c r="D921" t="inlineStr">
        <is>
          <t>BAF20</t>
        </is>
      </c>
      <c r="E921" t="inlineStr">
        <is>
          <t>PP</t>
        </is>
      </c>
      <c r="F921" t="n">
        <v>19.1</v>
      </c>
      <c r="G921" t="n">
        <v>85</v>
      </c>
      <c r="H921" t="n">
        <v>100</v>
      </c>
      <c r="I921" t="inlineStr">
        <is>
          <t>D</t>
        </is>
      </c>
      <c r="J921" t="inlineStr">
        <is>
          <t>I</t>
        </is>
      </c>
      <c r="K921" t="inlineStr"/>
      <c r="L921" t="inlineStr"/>
      <c r="M921" s="30">
        <f>0.005454*F921^2</f>
        <v/>
      </c>
      <c r="N921" s="31">
        <f>IF(D921="BAF20",20/M921,100)</f>
        <v/>
      </c>
      <c r="O921" s="31">
        <f>M921*N921</f>
        <v/>
      </c>
      <c r="P921" s="32">
        <f>0.0*N921</f>
        <v/>
      </c>
    </row>
    <row r="922">
      <c r="A922" t="inlineStr">
        <is>
          <t>U2-22</t>
        </is>
      </c>
      <c r="B922" t="n">
        <v>2</v>
      </c>
      <c r="C922" t="n">
        <v>5</v>
      </c>
      <c r="D922" t="inlineStr">
        <is>
          <t>BAF20</t>
        </is>
      </c>
      <c r="E922" t="inlineStr">
        <is>
          <t>DF</t>
        </is>
      </c>
      <c r="F922" t="n">
        <v>30.8</v>
      </c>
      <c r="G922" t="n">
        <v>127</v>
      </c>
      <c r="H922" t="n">
        <v>100</v>
      </c>
      <c r="I922" t="inlineStr">
        <is>
          <t>D</t>
        </is>
      </c>
      <c r="J922" t="inlineStr">
        <is>
          <t>D</t>
        </is>
      </c>
      <c r="K922" t="inlineStr"/>
      <c r="L922" t="inlineStr"/>
      <c r="M922" s="30">
        <f>0.005454*F922^2</f>
        <v/>
      </c>
      <c r="N922" s="31">
        <f>IF(D922="BAF20",20/M922,100)</f>
        <v/>
      </c>
      <c r="O922" s="31">
        <f>M922*N922</f>
        <v/>
      </c>
      <c r="P922" s="32">
        <f>0.0*N922</f>
        <v/>
      </c>
    </row>
    <row r="923">
      <c r="A923" t="inlineStr">
        <is>
          <t>U2-22</t>
        </is>
      </c>
      <c r="B923" t="n">
        <v>2</v>
      </c>
      <c r="C923" t="n">
        <v>6</v>
      </c>
      <c r="D923" t="inlineStr">
        <is>
          <t>BAF20</t>
        </is>
      </c>
      <c r="E923" t="inlineStr">
        <is>
          <t>PP</t>
        </is>
      </c>
      <c r="F923" t="n">
        <v>16.6</v>
      </c>
      <c r="G923" t="n">
        <v>78</v>
      </c>
      <c r="H923" t="n">
        <v>3</v>
      </c>
      <c r="I923" t="inlineStr">
        <is>
          <t>L</t>
        </is>
      </c>
      <c r="J923" t="inlineStr">
        <is>
          <t>I</t>
        </is>
      </c>
      <c r="K923" t="inlineStr"/>
      <c r="L923" t="inlineStr"/>
      <c r="M923" s="30">
        <f>0.005454*F923^2</f>
        <v/>
      </c>
      <c r="N923" s="31">
        <f>IF(D923="BAF20",20/M923,100)</f>
        <v/>
      </c>
      <c r="O923" s="31">
        <f>M923*N923</f>
        <v/>
      </c>
      <c r="P923" s="32">
        <f>188.9*N923</f>
        <v/>
      </c>
    </row>
    <row r="924">
      <c r="A924" t="inlineStr">
        <is>
          <t>U2-22</t>
        </is>
      </c>
      <c r="B924" t="n">
        <v>2</v>
      </c>
      <c r="C924" t="n">
        <v>7</v>
      </c>
      <c r="D924" t="inlineStr">
        <is>
          <t>FIX100</t>
        </is>
      </c>
      <c r="E924" t="inlineStr">
        <is>
          <t>DF</t>
        </is>
      </c>
      <c r="F924" t="n">
        <v>1.7</v>
      </c>
      <c r="G924" t="n">
        <v>13</v>
      </c>
      <c r="H924" t="n">
        <v>0</v>
      </c>
      <c r="I924" t="inlineStr">
        <is>
          <t>L</t>
        </is>
      </c>
      <c r="J924" t="inlineStr">
        <is>
          <t>S</t>
        </is>
      </c>
      <c r="K924" t="inlineStr"/>
      <c r="L924" t="inlineStr"/>
      <c r="M924" s="30">
        <f>0.005454*F924^2</f>
        <v/>
      </c>
      <c r="N924" s="31">
        <f>IF(D924="BAF20",20/M924,100)</f>
        <v/>
      </c>
      <c r="O924" s="31">
        <f>M924*N924</f>
        <v/>
      </c>
      <c r="P924" s="32">
        <f>0.0*N924</f>
        <v/>
      </c>
    </row>
    <row r="925">
      <c r="A925" t="inlineStr">
        <is>
          <t>U2-22</t>
        </is>
      </c>
      <c r="B925" t="n">
        <v>2</v>
      </c>
      <c r="C925" t="n">
        <v>8</v>
      </c>
      <c r="D925" t="inlineStr">
        <is>
          <t>FIX100</t>
        </is>
      </c>
      <c r="E925" t="inlineStr">
        <is>
          <t>WF</t>
        </is>
      </c>
      <c r="F925" t="n">
        <v>4.3</v>
      </c>
      <c r="G925" t="n">
        <v>26</v>
      </c>
      <c r="H925" t="n">
        <v>0</v>
      </c>
      <c r="I925" t="inlineStr">
        <is>
          <t>L</t>
        </is>
      </c>
      <c r="J925" t="inlineStr">
        <is>
          <t>S</t>
        </is>
      </c>
      <c r="K925" t="inlineStr"/>
      <c r="L925" t="inlineStr"/>
      <c r="M925" s="30">
        <f>0.005454*F925^2</f>
        <v/>
      </c>
      <c r="N925" s="31">
        <f>IF(D925="BAF20",20/M925,100)</f>
        <v/>
      </c>
      <c r="O925" s="31">
        <f>M925*N925</f>
        <v/>
      </c>
      <c r="P925" s="32">
        <f>0.0*N925</f>
        <v/>
      </c>
    </row>
    <row r="926">
      <c r="A926" t="inlineStr">
        <is>
          <t>U2-22</t>
        </is>
      </c>
      <c r="B926" t="n">
        <v>2</v>
      </c>
      <c r="C926" t="n">
        <v>9</v>
      </c>
      <c r="D926" t="inlineStr">
        <is>
          <t>FIX100</t>
        </is>
      </c>
      <c r="E926" t="inlineStr">
        <is>
          <t>WF</t>
        </is>
      </c>
      <c r="F926" t="n">
        <v>1.1</v>
      </c>
      <c r="G926" t="n">
        <v>8</v>
      </c>
      <c r="H926" t="n">
        <v>0</v>
      </c>
      <c r="I926" t="inlineStr">
        <is>
          <t>L</t>
        </is>
      </c>
      <c r="J926" t="inlineStr">
        <is>
          <t>S</t>
        </is>
      </c>
      <c r="K926" t="inlineStr"/>
      <c r="L926" t="inlineStr"/>
      <c r="M926" s="30">
        <f>0.005454*F926^2</f>
        <v/>
      </c>
      <c r="N926" s="31">
        <f>IF(D926="BAF20",20/M926,100)</f>
        <v/>
      </c>
      <c r="O926" s="31">
        <f>M926*N926</f>
        <v/>
      </c>
      <c r="P926" s="32">
        <f>0.0*N926</f>
        <v/>
      </c>
    </row>
    <row r="927">
      <c r="A927" t="inlineStr">
        <is>
          <t>U2-23</t>
        </is>
      </c>
      <c r="B927" t="n">
        <v>2</v>
      </c>
      <c r="C927" t="n">
        <v>1</v>
      </c>
      <c r="D927" t="inlineStr">
        <is>
          <t>BAF20</t>
        </is>
      </c>
      <c r="E927" t="inlineStr">
        <is>
          <t>DF</t>
        </is>
      </c>
      <c r="F927" t="n">
        <v>21.6</v>
      </c>
      <c r="G927" t="n">
        <v>101</v>
      </c>
      <c r="H927" t="n">
        <v>2</v>
      </c>
      <c r="I927" t="inlineStr">
        <is>
          <t>L</t>
        </is>
      </c>
      <c r="J927" t="inlineStr">
        <is>
          <t>C</t>
        </is>
      </c>
      <c r="K927" t="inlineStr"/>
      <c r="L927" t="inlineStr"/>
      <c r="M927" s="30">
        <f>0.005454*F927^2</f>
        <v/>
      </c>
      <c r="N927" s="31">
        <f>IF(D927="BAF20",20/M927,100)</f>
        <v/>
      </c>
      <c r="O927" s="31">
        <f>M927*N927</f>
        <v/>
      </c>
      <c r="P927" s="32">
        <f>461.2*N927</f>
        <v/>
      </c>
    </row>
    <row r="928">
      <c r="A928" t="inlineStr">
        <is>
          <t>U2-23</t>
        </is>
      </c>
      <c r="B928" t="n">
        <v>2</v>
      </c>
      <c r="C928" t="n">
        <v>2</v>
      </c>
      <c r="D928" t="inlineStr">
        <is>
          <t>BAF20</t>
        </is>
      </c>
      <c r="E928" t="inlineStr">
        <is>
          <t>PP</t>
        </is>
      </c>
      <c r="F928" t="n">
        <v>11</v>
      </c>
      <c r="G928" t="n">
        <v>61</v>
      </c>
      <c r="H928" t="n">
        <v>2</v>
      </c>
      <c r="I928" t="inlineStr">
        <is>
          <t>L</t>
        </is>
      </c>
      <c r="J928" t="inlineStr">
        <is>
          <t>S</t>
        </is>
      </c>
      <c r="K928" t="inlineStr">
        <is>
          <t>Y</t>
        </is>
      </c>
      <c r="L928" t="inlineStr"/>
      <c r="M928" s="30">
        <f>0.005454*F928^2</f>
        <v/>
      </c>
      <c r="N928" s="31">
        <f>IF(D928="BAF20",20/M928,100)</f>
        <v/>
      </c>
      <c r="O928" s="31">
        <f>M928*N928</f>
        <v/>
      </c>
      <c r="P928" s="32">
        <f>58.0*N928</f>
        <v/>
      </c>
    </row>
    <row r="929">
      <c r="A929" t="inlineStr">
        <is>
          <t>U2-23</t>
        </is>
      </c>
      <c r="B929" t="n">
        <v>2</v>
      </c>
      <c r="C929" t="n">
        <v>3</v>
      </c>
      <c r="D929" t="inlineStr">
        <is>
          <t>BAF20</t>
        </is>
      </c>
      <c r="E929" t="inlineStr">
        <is>
          <t>PP</t>
        </is>
      </c>
      <c r="F929" t="n">
        <v>13</v>
      </c>
      <c r="G929" t="n">
        <v>61</v>
      </c>
      <c r="H929" t="n">
        <v>7</v>
      </c>
      <c r="I929" t="inlineStr">
        <is>
          <t>L</t>
        </is>
      </c>
      <c r="J929" t="inlineStr">
        <is>
          <t>S</t>
        </is>
      </c>
      <c r="K929" t="inlineStr"/>
      <c r="L929" t="inlineStr"/>
      <c r="M929" s="30">
        <f>0.005454*F929^2</f>
        <v/>
      </c>
      <c r="N929" s="31">
        <f>IF(D929="BAF20",20/M929,100)</f>
        <v/>
      </c>
      <c r="O929" s="31">
        <f>M929*N929</f>
        <v/>
      </c>
      <c r="P929" s="32">
        <f>80.4*N929</f>
        <v/>
      </c>
    </row>
    <row r="930">
      <c r="A930" t="inlineStr">
        <is>
          <t>U2-23</t>
        </is>
      </c>
      <c r="B930" t="n">
        <v>2</v>
      </c>
      <c r="C930" t="n">
        <v>4</v>
      </c>
      <c r="D930" t="inlineStr">
        <is>
          <t>BAF20</t>
        </is>
      </c>
      <c r="E930" t="inlineStr">
        <is>
          <t>PP</t>
        </is>
      </c>
      <c r="F930" t="n">
        <v>27</v>
      </c>
      <c r="G930" t="n">
        <v>123</v>
      </c>
      <c r="H930" t="n">
        <v>3</v>
      </c>
      <c r="I930" t="inlineStr">
        <is>
          <t>L</t>
        </is>
      </c>
      <c r="J930" t="inlineStr">
        <is>
          <t>D</t>
        </is>
      </c>
      <c r="K930" t="inlineStr"/>
      <c r="L930" t="inlineStr"/>
      <c r="M930" s="30">
        <f>0.005454*F930^2</f>
        <v/>
      </c>
      <c r="N930" s="31">
        <f>IF(D930="BAF20",20/M930,100)</f>
        <v/>
      </c>
      <c r="O930" s="31">
        <f>M930*N930</f>
        <v/>
      </c>
      <c r="P930" s="32">
        <f>955.7*N930</f>
        <v/>
      </c>
    </row>
    <row r="931">
      <c r="A931" t="inlineStr">
        <is>
          <t>U2-23</t>
        </is>
      </c>
      <c r="B931" t="n">
        <v>2</v>
      </c>
      <c r="C931" t="n">
        <v>5</v>
      </c>
      <c r="D931" t="inlineStr">
        <is>
          <t>BAF20</t>
        </is>
      </c>
      <c r="E931" t="inlineStr">
        <is>
          <t>PP</t>
        </is>
      </c>
      <c r="F931" t="n">
        <v>25</v>
      </c>
      <c r="G931" t="n">
        <v>99</v>
      </c>
      <c r="H931" t="n">
        <v>1</v>
      </c>
      <c r="I931" t="inlineStr">
        <is>
          <t>L</t>
        </is>
      </c>
      <c r="J931" t="inlineStr">
        <is>
          <t>C</t>
        </is>
      </c>
      <c r="K931" t="inlineStr"/>
      <c r="L931" t="inlineStr"/>
      <c r="M931" s="30">
        <f>0.005454*F931^2</f>
        <v/>
      </c>
      <c r="N931" s="31">
        <f>IF(D931="BAF20",20/M931,100)</f>
        <v/>
      </c>
      <c r="O931" s="31">
        <f>M931*N931</f>
        <v/>
      </c>
      <c r="P931" s="32">
        <f>650.4*N931</f>
        <v/>
      </c>
    </row>
    <row r="932">
      <c r="A932" t="inlineStr">
        <is>
          <t>U2-23</t>
        </is>
      </c>
      <c r="B932" t="n">
        <v>2</v>
      </c>
      <c r="C932" t="n">
        <v>6</v>
      </c>
      <c r="D932" t="inlineStr">
        <is>
          <t>BAF20</t>
        </is>
      </c>
      <c r="E932" t="inlineStr">
        <is>
          <t>WF</t>
        </is>
      </c>
      <c r="F932" t="n">
        <v>17.7</v>
      </c>
      <c r="G932" t="n">
        <v>83</v>
      </c>
      <c r="H932" t="n">
        <v>10</v>
      </c>
      <c r="I932" t="inlineStr">
        <is>
          <t>L</t>
        </is>
      </c>
      <c r="J932" t="inlineStr">
        <is>
          <t>I</t>
        </is>
      </c>
      <c r="K932" t="inlineStr"/>
      <c r="L932" t="inlineStr"/>
      <c r="M932" s="30">
        <f>0.005454*F932^2</f>
        <v/>
      </c>
      <c r="N932" s="31">
        <f>IF(D932="BAF20",20/M932,100)</f>
        <v/>
      </c>
      <c r="O932" s="31">
        <f>M932*N932</f>
        <v/>
      </c>
      <c r="P932" s="32">
        <f>216.8*N932</f>
        <v/>
      </c>
    </row>
    <row r="933">
      <c r="A933" t="inlineStr">
        <is>
          <t>U2-23</t>
        </is>
      </c>
      <c r="B933" t="n">
        <v>2</v>
      </c>
      <c r="C933" t="n">
        <v>7</v>
      </c>
      <c r="D933" t="inlineStr">
        <is>
          <t>BAF20</t>
        </is>
      </c>
      <c r="E933" t="inlineStr">
        <is>
          <t>IC</t>
        </is>
      </c>
      <c r="F933" t="n">
        <v>10.5</v>
      </c>
      <c r="G933" t="n">
        <v>47</v>
      </c>
      <c r="H933" t="n">
        <v>8</v>
      </c>
      <c r="I933" t="inlineStr">
        <is>
          <t>L</t>
        </is>
      </c>
      <c r="J933" t="inlineStr">
        <is>
          <t>S</t>
        </is>
      </c>
      <c r="K933" t="inlineStr">
        <is>
          <t>Y</t>
        </is>
      </c>
      <c r="L933" t="inlineStr"/>
      <c r="M933" s="30">
        <f>0.005454*F933^2</f>
        <v/>
      </c>
      <c r="N933" s="31">
        <f>IF(D933="BAF20",20/M933,100)</f>
        <v/>
      </c>
      <c r="O933" s="31">
        <f>M933*N933</f>
        <v/>
      </c>
      <c r="P933" s="32">
        <f>37.8*N933</f>
        <v/>
      </c>
    </row>
    <row r="934">
      <c r="A934" t="inlineStr">
        <is>
          <t>U2-23</t>
        </is>
      </c>
      <c r="B934" t="n">
        <v>2</v>
      </c>
      <c r="C934" t="n">
        <v>8</v>
      </c>
      <c r="D934" t="inlineStr">
        <is>
          <t>BAF20</t>
        </is>
      </c>
      <c r="E934" t="inlineStr">
        <is>
          <t>DF</t>
        </is>
      </c>
      <c r="F934" t="n">
        <v>11.8</v>
      </c>
      <c r="G934" t="n">
        <v>59</v>
      </c>
      <c r="H934" t="n">
        <v>3</v>
      </c>
      <c r="I934" t="inlineStr">
        <is>
          <t>L</t>
        </is>
      </c>
      <c r="J934" t="inlineStr">
        <is>
          <t>S</t>
        </is>
      </c>
      <c r="K934" t="inlineStr">
        <is>
          <t>Y</t>
        </is>
      </c>
      <c r="L934" t="inlineStr"/>
      <c r="M934" s="30">
        <f>0.005454*F934^2</f>
        <v/>
      </c>
      <c r="N934" s="31">
        <f>IF(D934="BAF20",20/M934,100)</f>
        <v/>
      </c>
      <c r="O934" s="31">
        <f>M934*N934</f>
        <v/>
      </c>
      <c r="P934" s="32">
        <f>65.1*N934</f>
        <v/>
      </c>
    </row>
    <row r="935">
      <c r="A935" t="inlineStr">
        <is>
          <t>U2-23</t>
        </is>
      </c>
      <c r="B935" t="n">
        <v>2</v>
      </c>
      <c r="C935" t="n">
        <v>9</v>
      </c>
      <c r="D935" t="inlineStr">
        <is>
          <t>BAF20</t>
        </is>
      </c>
      <c r="E935" t="inlineStr">
        <is>
          <t>IC</t>
        </is>
      </c>
      <c r="F935" t="n">
        <v>12.1</v>
      </c>
      <c r="G935" t="n">
        <v>53</v>
      </c>
      <c r="H935" t="n">
        <v>10</v>
      </c>
      <c r="I935" t="inlineStr">
        <is>
          <t>L</t>
        </is>
      </c>
      <c r="J935" t="inlineStr">
        <is>
          <t>S</t>
        </is>
      </c>
      <c r="K935" t="inlineStr">
        <is>
          <t>Y</t>
        </is>
      </c>
      <c r="L935" t="inlineStr"/>
      <c r="M935" s="30">
        <f>0.005454*F935^2</f>
        <v/>
      </c>
      <c r="N935" s="31">
        <f>IF(D935="BAF20",20/M935,100)</f>
        <v/>
      </c>
      <c r="O935" s="31">
        <f>M935*N935</f>
        <v/>
      </c>
      <c r="P935" s="32">
        <f>57.4*N935</f>
        <v/>
      </c>
    </row>
    <row r="936">
      <c r="A936" t="inlineStr">
        <is>
          <t>U2-23</t>
        </is>
      </c>
      <c r="B936" t="n">
        <v>2</v>
      </c>
      <c r="C936" t="n">
        <v>10</v>
      </c>
      <c r="D936" t="inlineStr">
        <is>
          <t>FIX100</t>
        </is>
      </c>
      <c r="E936" t="inlineStr">
        <is>
          <t>DF</t>
        </is>
      </c>
      <c r="F936" t="n">
        <v>1.1</v>
      </c>
      <c r="G936" t="n">
        <v>11</v>
      </c>
      <c r="H936" t="n">
        <v>0</v>
      </c>
      <c r="I936" t="inlineStr">
        <is>
          <t>L</t>
        </is>
      </c>
      <c r="J936" t="inlineStr">
        <is>
          <t>S</t>
        </is>
      </c>
      <c r="K936" t="inlineStr"/>
      <c r="L936" t="inlineStr"/>
      <c r="M936" s="30">
        <f>0.005454*F936^2</f>
        <v/>
      </c>
      <c r="N936" s="31">
        <f>IF(D936="BAF20",20/M936,100)</f>
        <v/>
      </c>
      <c r="O936" s="31">
        <f>M936*N936</f>
        <v/>
      </c>
      <c r="P936" s="32">
        <f>0.0*N936</f>
        <v/>
      </c>
    </row>
    <row r="937">
      <c r="A937" t="inlineStr">
        <is>
          <t>U2-23</t>
        </is>
      </c>
      <c r="B937" t="n">
        <v>2</v>
      </c>
      <c r="C937" t="n">
        <v>11</v>
      </c>
      <c r="D937" t="inlineStr">
        <is>
          <t>FIX100</t>
        </is>
      </c>
      <c r="E937" t="inlineStr">
        <is>
          <t>IC</t>
        </is>
      </c>
      <c r="F937" t="n">
        <v>4.3</v>
      </c>
      <c r="G937" t="n">
        <v>22</v>
      </c>
      <c r="H937" t="n">
        <v>0</v>
      </c>
      <c r="I937" t="inlineStr">
        <is>
          <t>L</t>
        </is>
      </c>
      <c r="J937" t="inlineStr">
        <is>
          <t>S</t>
        </is>
      </c>
      <c r="K937" t="inlineStr"/>
      <c r="L937" t="inlineStr"/>
      <c r="M937" s="30">
        <f>0.005454*F937^2</f>
        <v/>
      </c>
      <c r="N937" s="31">
        <f>IF(D937="BAF20",20/M937,100)</f>
        <v/>
      </c>
      <c r="O937" s="31">
        <f>M937*N937</f>
        <v/>
      </c>
      <c r="P937" s="32">
        <f>0.0*N937</f>
        <v/>
      </c>
    </row>
    <row r="938">
      <c r="A938" t="inlineStr">
        <is>
          <t>U2-23</t>
        </is>
      </c>
      <c r="B938" t="n">
        <v>2</v>
      </c>
      <c r="C938" t="n">
        <v>12</v>
      </c>
      <c r="D938" t="inlineStr">
        <is>
          <t>FIX100</t>
        </is>
      </c>
      <c r="E938" t="inlineStr">
        <is>
          <t>SP</t>
        </is>
      </c>
      <c r="F938" t="n">
        <v>4.5</v>
      </c>
      <c r="G938" t="n">
        <v>24</v>
      </c>
      <c r="H938" t="n">
        <v>0</v>
      </c>
      <c r="I938" t="inlineStr">
        <is>
          <t>L</t>
        </is>
      </c>
      <c r="J938" t="inlineStr">
        <is>
          <t>S</t>
        </is>
      </c>
      <c r="K938" t="inlineStr"/>
      <c r="L938" t="inlineStr"/>
      <c r="M938" s="30">
        <f>0.005454*F938^2</f>
        <v/>
      </c>
      <c r="N938" s="31">
        <f>IF(D938="BAF20",20/M938,100)</f>
        <v/>
      </c>
      <c r="O938" s="31">
        <f>M938*N938</f>
        <v/>
      </c>
      <c r="P938" s="32">
        <f>0.0*N938</f>
        <v/>
      </c>
    </row>
    <row r="939">
      <c r="A939" t="inlineStr">
        <is>
          <t>U2-23</t>
        </is>
      </c>
      <c r="B939" t="n">
        <v>2</v>
      </c>
      <c r="C939" t="n">
        <v>13</v>
      </c>
      <c r="D939" t="inlineStr">
        <is>
          <t>FIX100</t>
        </is>
      </c>
      <c r="E939" t="inlineStr">
        <is>
          <t>PP</t>
        </is>
      </c>
      <c r="F939" t="n">
        <v>1.5</v>
      </c>
      <c r="G939" t="n">
        <v>11</v>
      </c>
      <c r="H939" t="n">
        <v>0</v>
      </c>
      <c r="I939" t="inlineStr">
        <is>
          <t>L</t>
        </is>
      </c>
      <c r="J939" t="inlineStr">
        <is>
          <t>S</t>
        </is>
      </c>
      <c r="K939" t="inlineStr"/>
      <c r="L939" t="inlineStr"/>
      <c r="M939" s="30">
        <f>0.005454*F939^2</f>
        <v/>
      </c>
      <c r="N939" s="31">
        <f>IF(D939="BAF20",20/M939,100)</f>
        <v/>
      </c>
      <c r="O939" s="31">
        <f>M939*N939</f>
        <v/>
      </c>
      <c r="P939" s="32">
        <f>0.0*N939</f>
        <v/>
      </c>
    </row>
    <row r="940">
      <c r="A940" t="inlineStr">
        <is>
          <t>U2-24</t>
        </is>
      </c>
      <c r="B940" t="n">
        <v>2</v>
      </c>
      <c r="C940" t="n">
        <v>1</v>
      </c>
      <c r="D940" t="inlineStr">
        <is>
          <t>BAF20</t>
        </is>
      </c>
      <c r="E940" t="inlineStr">
        <is>
          <t>WF</t>
        </is>
      </c>
      <c r="F940" t="n">
        <v>11.8</v>
      </c>
      <c r="G940" t="n">
        <v>59</v>
      </c>
      <c r="H940" t="n">
        <v>9</v>
      </c>
      <c r="I940" t="inlineStr">
        <is>
          <t>L</t>
        </is>
      </c>
      <c r="J940" t="inlineStr">
        <is>
          <t>S</t>
        </is>
      </c>
      <c r="K940" t="inlineStr">
        <is>
          <t>Y</t>
        </is>
      </c>
      <c r="L940" t="inlineStr"/>
      <c r="M940" s="30">
        <f>0.005454*F940^2</f>
        <v/>
      </c>
      <c r="N940" s="31">
        <f>IF(D940="BAF20",20/M940,100)</f>
        <v/>
      </c>
      <c r="O940" s="31">
        <f>M940*N940</f>
        <v/>
      </c>
      <c r="P940" s="32">
        <f>61.1*N940</f>
        <v/>
      </c>
    </row>
    <row r="941">
      <c r="A941" t="inlineStr">
        <is>
          <t>U2-24</t>
        </is>
      </c>
      <c r="B941" t="n">
        <v>2</v>
      </c>
      <c r="C941" t="n">
        <v>2</v>
      </c>
      <c r="D941" t="inlineStr">
        <is>
          <t>BAF20</t>
        </is>
      </c>
      <c r="E941" t="inlineStr">
        <is>
          <t>WF</t>
        </is>
      </c>
      <c r="F941" t="n">
        <v>19.1</v>
      </c>
      <c r="G941" t="n">
        <v>90</v>
      </c>
      <c r="H941" t="n">
        <v>10</v>
      </c>
      <c r="I941" t="inlineStr">
        <is>
          <t>L</t>
        </is>
      </c>
      <c r="J941" t="inlineStr">
        <is>
          <t>I</t>
        </is>
      </c>
      <c r="K941" t="inlineStr"/>
      <c r="L941" t="inlineStr"/>
      <c r="M941" s="30">
        <f>0.005454*F941^2</f>
        <v/>
      </c>
      <c r="N941" s="31">
        <f>IF(D941="BAF20",20/M941,100)</f>
        <v/>
      </c>
      <c r="O941" s="31">
        <f>M941*N941</f>
        <v/>
      </c>
      <c r="P941" s="32">
        <f>281.4*N941</f>
        <v/>
      </c>
    </row>
    <row r="942">
      <c r="A942" t="inlineStr">
        <is>
          <t>U2-24</t>
        </is>
      </c>
      <c r="B942" t="n">
        <v>2</v>
      </c>
      <c r="C942" t="n">
        <v>3</v>
      </c>
      <c r="D942" t="inlineStr">
        <is>
          <t>BAF20</t>
        </is>
      </c>
      <c r="E942" t="inlineStr">
        <is>
          <t>DF</t>
        </is>
      </c>
      <c r="F942" t="n">
        <v>29.3</v>
      </c>
      <c r="G942" t="n">
        <v>108</v>
      </c>
      <c r="H942" t="n">
        <v>1</v>
      </c>
      <c r="I942" t="inlineStr">
        <is>
          <t>L</t>
        </is>
      </c>
      <c r="J942" t="inlineStr">
        <is>
          <t>D</t>
        </is>
      </c>
      <c r="K942" t="inlineStr"/>
      <c r="L942" t="inlineStr"/>
      <c r="M942" s="30">
        <f>0.005454*F942^2</f>
        <v/>
      </c>
      <c r="N942" s="31">
        <f>IF(D942="BAF20",20/M942,100)</f>
        <v/>
      </c>
      <c r="O942" s="31">
        <f>M942*N942</f>
        <v/>
      </c>
      <c r="P942" s="32">
        <f>1047.8*N942</f>
        <v/>
      </c>
    </row>
    <row r="943">
      <c r="A943" t="inlineStr">
        <is>
          <t>U2-24</t>
        </is>
      </c>
      <c r="B943" t="n">
        <v>2</v>
      </c>
      <c r="C943" t="n">
        <v>4</v>
      </c>
      <c r="D943" t="inlineStr">
        <is>
          <t>BAF20</t>
        </is>
      </c>
      <c r="E943" t="inlineStr">
        <is>
          <t>DF</t>
        </is>
      </c>
      <c r="F943" t="n">
        <v>8.9</v>
      </c>
      <c r="G943" t="n">
        <v>53</v>
      </c>
      <c r="H943" t="n">
        <v>9</v>
      </c>
      <c r="I943" t="inlineStr">
        <is>
          <t>L</t>
        </is>
      </c>
      <c r="J943" t="inlineStr">
        <is>
          <t>S</t>
        </is>
      </c>
      <c r="K943" t="inlineStr">
        <is>
          <t>Y</t>
        </is>
      </c>
      <c r="L943" t="inlineStr"/>
      <c r="M943" s="30">
        <f>0.005454*F943^2</f>
        <v/>
      </c>
      <c r="N943" s="31">
        <f>IF(D943="BAF20",20/M943,100)</f>
        <v/>
      </c>
      <c r="O943" s="31">
        <f>M943*N943</f>
        <v/>
      </c>
      <c r="P943" s="32">
        <f>0.0*N943</f>
        <v/>
      </c>
    </row>
    <row r="944">
      <c r="A944" t="inlineStr">
        <is>
          <t>U2-24</t>
        </is>
      </c>
      <c r="B944" t="n">
        <v>2</v>
      </c>
      <c r="C944" t="n">
        <v>5</v>
      </c>
      <c r="D944" t="inlineStr">
        <is>
          <t>BAF20</t>
        </is>
      </c>
      <c r="E944" t="inlineStr">
        <is>
          <t>WF</t>
        </is>
      </c>
      <c r="F944" t="n">
        <v>5</v>
      </c>
      <c r="G944" t="n">
        <v>31</v>
      </c>
      <c r="H944" t="n">
        <v>13</v>
      </c>
      <c r="I944" t="inlineStr">
        <is>
          <t>L</t>
        </is>
      </c>
      <c r="J944" t="inlineStr">
        <is>
          <t>S</t>
        </is>
      </c>
      <c r="K944" t="inlineStr">
        <is>
          <t>Y</t>
        </is>
      </c>
      <c r="L944" t="inlineStr"/>
      <c r="M944" s="30">
        <f>0.005454*F944^2</f>
        <v/>
      </c>
      <c r="N944" s="31">
        <f>IF(D944="BAF20",20/M944,100)</f>
        <v/>
      </c>
      <c r="O944" s="31">
        <f>M944*N944</f>
        <v/>
      </c>
      <c r="P944" s="32">
        <f>0.0*N944</f>
        <v/>
      </c>
    </row>
    <row r="945">
      <c r="A945" t="inlineStr">
        <is>
          <t>U2-24</t>
        </is>
      </c>
      <c r="B945" t="n">
        <v>2</v>
      </c>
      <c r="C945" t="n">
        <v>6</v>
      </c>
      <c r="D945" t="inlineStr">
        <is>
          <t>BAF20</t>
        </is>
      </c>
      <c r="E945" t="inlineStr">
        <is>
          <t>DF</t>
        </is>
      </c>
      <c r="F945" t="n">
        <v>6.7</v>
      </c>
      <c r="G945" t="n">
        <v>38</v>
      </c>
      <c r="H945" t="n">
        <v>4</v>
      </c>
      <c r="I945" t="inlineStr">
        <is>
          <t>L</t>
        </is>
      </c>
      <c r="J945" t="inlineStr">
        <is>
          <t>S</t>
        </is>
      </c>
      <c r="K945" t="inlineStr">
        <is>
          <t>Y</t>
        </is>
      </c>
      <c r="L945" t="inlineStr"/>
      <c r="M945" s="30">
        <f>0.005454*F945^2</f>
        <v/>
      </c>
      <c r="N945" s="31">
        <f>IF(D945="BAF20",20/M945,100)</f>
        <v/>
      </c>
      <c r="O945" s="31">
        <f>M945*N945</f>
        <v/>
      </c>
      <c r="P945" s="32">
        <f>0.0*N945</f>
        <v/>
      </c>
    </row>
    <row r="946">
      <c r="A946" t="inlineStr">
        <is>
          <t>U2-24</t>
        </is>
      </c>
      <c r="B946" t="n">
        <v>2</v>
      </c>
      <c r="C946" t="n">
        <v>7</v>
      </c>
      <c r="D946" t="inlineStr">
        <is>
          <t>BAF20</t>
        </is>
      </c>
      <c r="E946" t="inlineStr">
        <is>
          <t>PP</t>
        </is>
      </c>
      <c r="F946" t="n">
        <v>22.3</v>
      </c>
      <c r="G946" t="n">
        <v>91</v>
      </c>
      <c r="H946" t="n">
        <v>2</v>
      </c>
      <c r="I946" t="inlineStr">
        <is>
          <t>L</t>
        </is>
      </c>
      <c r="J946" t="inlineStr">
        <is>
          <t>C</t>
        </is>
      </c>
      <c r="K946" t="inlineStr"/>
      <c r="L946" t="inlineStr"/>
      <c r="M946" s="30">
        <f>0.005454*F946^2</f>
        <v/>
      </c>
      <c r="N946" s="31">
        <f>IF(D946="BAF20",20/M946,100)</f>
        <v/>
      </c>
      <c r="O946" s="31">
        <f>M946*N946</f>
        <v/>
      </c>
      <c r="P946" s="32">
        <f>448.6*N946</f>
        <v/>
      </c>
    </row>
    <row r="947">
      <c r="A947" t="inlineStr">
        <is>
          <t>U2-24</t>
        </is>
      </c>
      <c r="B947" t="n">
        <v>2</v>
      </c>
      <c r="C947" t="n">
        <v>8</v>
      </c>
      <c r="D947" t="inlineStr">
        <is>
          <t>BAF20</t>
        </is>
      </c>
      <c r="E947" t="inlineStr">
        <is>
          <t>WF</t>
        </is>
      </c>
      <c r="F947" t="n">
        <v>18.5</v>
      </c>
      <c r="G947" t="n">
        <v>96</v>
      </c>
      <c r="H947" t="n">
        <v>9</v>
      </c>
      <c r="I947" t="inlineStr">
        <is>
          <t>L</t>
        </is>
      </c>
      <c r="J947" t="inlineStr">
        <is>
          <t>I</t>
        </is>
      </c>
      <c r="K947" t="inlineStr"/>
      <c r="L947" t="inlineStr"/>
      <c r="M947" s="30">
        <f>0.005454*F947^2</f>
        <v/>
      </c>
      <c r="N947" s="31">
        <f>IF(D947="BAF20",20/M947,100)</f>
        <v/>
      </c>
      <c r="O947" s="31">
        <f>M947*N947</f>
        <v/>
      </c>
      <c r="P947" s="32">
        <f>281.4*N947</f>
        <v/>
      </c>
    </row>
    <row r="948">
      <c r="A948" t="inlineStr">
        <is>
          <t>U2-24</t>
        </is>
      </c>
      <c r="B948" t="n">
        <v>2</v>
      </c>
      <c r="C948" t="n">
        <v>9</v>
      </c>
      <c r="D948" t="inlineStr">
        <is>
          <t>BAF20</t>
        </is>
      </c>
      <c r="E948" t="inlineStr">
        <is>
          <t>WF</t>
        </is>
      </c>
      <c r="F948" t="n">
        <v>32.7</v>
      </c>
      <c r="G948" t="n">
        <v>108</v>
      </c>
      <c r="H948" t="n">
        <v>9</v>
      </c>
      <c r="I948" t="inlineStr">
        <is>
          <t>L</t>
        </is>
      </c>
      <c r="J948" t="inlineStr">
        <is>
          <t>D</t>
        </is>
      </c>
      <c r="K948" t="inlineStr"/>
      <c r="L948" t="inlineStr"/>
      <c r="M948" s="30">
        <f>0.005454*F948^2</f>
        <v/>
      </c>
      <c r="N948" s="31">
        <f>IF(D948="BAF20",20/M948,100)</f>
        <v/>
      </c>
      <c r="O948" s="31">
        <f>M948*N948</f>
        <v/>
      </c>
      <c r="P948" s="32">
        <f>1265.9*N948</f>
        <v/>
      </c>
    </row>
    <row r="949">
      <c r="A949" t="inlineStr">
        <is>
          <t>U2-24</t>
        </is>
      </c>
      <c r="B949" t="n">
        <v>2</v>
      </c>
      <c r="C949" t="n">
        <v>10</v>
      </c>
      <c r="D949" t="inlineStr">
        <is>
          <t>BAF20</t>
        </is>
      </c>
      <c r="E949" t="inlineStr">
        <is>
          <t>IC</t>
        </is>
      </c>
      <c r="F949" t="n">
        <v>8.9</v>
      </c>
      <c r="G949" t="n">
        <v>37</v>
      </c>
      <c r="H949" t="n">
        <v>10</v>
      </c>
      <c r="I949" t="inlineStr">
        <is>
          <t>L</t>
        </is>
      </c>
      <c r="J949" t="inlineStr">
        <is>
          <t>S</t>
        </is>
      </c>
      <c r="K949" t="inlineStr">
        <is>
          <t>Y</t>
        </is>
      </c>
      <c r="L949" t="inlineStr"/>
      <c r="M949" s="30">
        <f>0.005454*F949^2</f>
        <v/>
      </c>
      <c r="N949" s="31">
        <f>IF(D949="BAF20",20/M949,100)</f>
        <v/>
      </c>
      <c r="O949" s="31">
        <f>M949*N949</f>
        <v/>
      </c>
      <c r="P949" s="32">
        <f>0.0*N949</f>
        <v/>
      </c>
    </row>
    <row r="950">
      <c r="A950" t="inlineStr">
        <is>
          <t>U2-24</t>
        </is>
      </c>
      <c r="B950" t="n">
        <v>2</v>
      </c>
      <c r="C950" t="n">
        <v>11</v>
      </c>
      <c r="D950" t="inlineStr">
        <is>
          <t>BAF20</t>
        </is>
      </c>
      <c r="E950" t="inlineStr">
        <is>
          <t>WF</t>
        </is>
      </c>
      <c r="F950" t="n">
        <v>23.1</v>
      </c>
      <c r="G950" t="n">
        <v>101</v>
      </c>
      <c r="H950" t="n">
        <v>2</v>
      </c>
      <c r="I950" t="inlineStr">
        <is>
          <t>L</t>
        </is>
      </c>
      <c r="J950" t="inlineStr">
        <is>
          <t>C</t>
        </is>
      </c>
      <c r="K950" t="inlineStr"/>
      <c r="L950" t="inlineStr"/>
      <c r="M950" s="30">
        <f>0.005454*F950^2</f>
        <v/>
      </c>
      <c r="N950" s="31">
        <f>IF(D950="BAF20",20/M950,100)</f>
        <v/>
      </c>
      <c r="O950" s="31">
        <f>M950*N950</f>
        <v/>
      </c>
      <c r="P950" s="32">
        <f>542.2*N950</f>
        <v/>
      </c>
    </row>
    <row r="951">
      <c r="A951" t="inlineStr">
        <is>
          <t>U2-24</t>
        </is>
      </c>
      <c r="B951" t="n">
        <v>2</v>
      </c>
      <c r="C951" t="n">
        <v>12</v>
      </c>
      <c r="D951" t="inlineStr">
        <is>
          <t>BAF20</t>
        </is>
      </c>
      <c r="E951" t="inlineStr">
        <is>
          <t>WF</t>
        </is>
      </c>
      <c r="F951" t="n">
        <v>14.4</v>
      </c>
      <c r="G951" t="n">
        <v>72</v>
      </c>
      <c r="H951" t="n">
        <v>27</v>
      </c>
      <c r="I951" t="inlineStr">
        <is>
          <t>L</t>
        </is>
      </c>
      <c r="J951" t="inlineStr">
        <is>
          <t>I</t>
        </is>
      </c>
      <c r="K951" t="inlineStr"/>
      <c r="L951" t="inlineStr"/>
      <c r="M951" s="30">
        <f>0.005454*F951^2</f>
        <v/>
      </c>
      <c r="N951" s="31">
        <f>IF(D951="BAF20",20/M951,100)</f>
        <v/>
      </c>
      <c r="O951" s="31">
        <f>M951*N951</f>
        <v/>
      </c>
      <c r="P951" s="32">
        <f>94.3*N951</f>
        <v/>
      </c>
    </row>
    <row r="952">
      <c r="A952" t="inlineStr">
        <is>
          <t>U2-24</t>
        </is>
      </c>
      <c r="B952" t="n">
        <v>2</v>
      </c>
      <c r="C952" t="n">
        <v>13</v>
      </c>
      <c r="D952" t="inlineStr">
        <is>
          <t>FIX100</t>
        </is>
      </c>
      <c r="E952" t="inlineStr">
        <is>
          <t>WF</t>
        </is>
      </c>
      <c r="F952" t="n">
        <v>2.9</v>
      </c>
      <c r="G952" t="n">
        <v>17</v>
      </c>
      <c r="H952" t="n">
        <v>0</v>
      </c>
      <c r="I952" t="inlineStr">
        <is>
          <t>L</t>
        </is>
      </c>
      <c r="J952" t="inlineStr">
        <is>
          <t>S</t>
        </is>
      </c>
      <c r="K952" t="inlineStr"/>
      <c r="L952" t="inlineStr"/>
      <c r="M952" s="30">
        <f>0.005454*F952^2</f>
        <v/>
      </c>
      <c r="N952" s="31">
        <f>IF(D952="BAF20",20/M952,100)</f>
        <v/>
      </c>
      <c r="O952" s="31">
        <f>M952*N952</f>
        <v/>
      </c>
      <c r="P952" s="32">
        <f>0.0*N952</f>
        <v/>
      </c>
    </row>
    <row r="953">
      <c r="A953" t="inlineStr">
        <is>
          <t>U2-24</t>
        </is>
      </c>
      <c r="B953" t="n">
        <v>2</v>
      </c>
      <c r="C953" t="n">
        <v>14</v>
      </c>
      <c r="D953" t="inlineStr">
        <is>
          <t>FIX100</t>
        </is>
      </c>
      <c r="E953" t="inlineStr">
        <is>
          <t>PP</t>
        </is>
      </c>
      <c r="F953" t="n">
        <v>1</v>
      </c>
      <c r="G953" t="n">
        <v>9</v>
      </c>
      <c r="H953" t="n">
        <v>0</v>
      </c>
      <c r="I953" t="inlineStr">
        <is>
          <t>L</t>
        </is>
      </c>
      <c r="J953" t="inlineStr">
        <is>
          <t>S</t>
        </is>
      </c>
      <c r="K953" t="inlineStr"/>
      <c r="L953" t="inlineStr"/>
      <c r="M953" s="30">
        <f>0.005454*F953^2</f>
        <v/>
      </c>
      <c r="N953" s="31">
        <f>IF(D953="BAF20",20/M953,100)</f>
        <v/>
      </c>
      <c r="O953" s="31">
        <f>M953*N953</f>
        <v/>
      </c>
      <c r="P953" s="32">
        <f>0.0*N953</f>
        <v/>
      </c>
    </row>
    <row r="954">
      <c r="A954" t="inlineStr">
        <is>
          <t>U2-24</t>
        </is>
      </c>
      <c r="B954" t="n">
        <v>2</v>
      </c>
      <c r="C954" t="n">
        <v>15</v>
      </c>
      <c r="D954" t="inlineStr">
        <is>
          <t>FIX100</t>
        </is>
      </c>
      <c r="E954" t="inlineStr">
        <is>
          <t>PP</t>
        </is>
      </c>
      <c r="F954" t="n">
        <v>2.5</v>
      </c>
      <c r="G954" t="n">
        <v>17</v>
      </c>
      <c r="H954" t="n">
        <v>0</v>
      </c>
      <c r="I954" t="inlineStr">
        <is>
          <t>L</t>
        </is>
      </c>
      <c r="J954" t="inlineStr">
        <is>
          <t>S</t>
        </is>
      </c>
      <c r="K954" t="inlineStr"/>
      <c r="L954" t="inlineStr"/>
      <c r="M954" s="30">
        <f>0.005454*F954^2</f>
        <v/>
      </c>
      <c r="N954" s="31">
        <f>IF(D954="BAF20",20/M954,100)</f>
        <v/>
      </c>
      <c r="O954" s="31">
        <f>M954*N954</f>
        <v/>
      </c>
      <c r="P954" s="32">
        <f>0.0*N954</f>
        <v/>
      </c>
    </row>
    <row r="955">
      <c r="A955" t="inlineStr">
        <is>
          <t>U2-25</t>
        </is>
      </c>
      <c r="B955" t="n">
        <v>2</v>
      </c>
      <c r="C955" t="n">
        <v>1</v>
      </c>
      <c r="D955" t="inlineStr">
        <is>
          <t>BAF20</t>
        </is>
      </c>
      <c r="E955" t="inlineStr">
        <is>
          <t>BO</t>
        </is>
      </c>
      <c r="F955" t="n">
        <v>12.3</v>
      </c>
      <c r="G955" t="n">
        <v>50</v>
      </c>
      <c r="H955" t="n">
        <v>15</v>
      </c>
      <c r="I955" t="inlineStr">
        <is>
          <t>L</t>
        </is>
      </c>
      <c r="J955" t="inlineStr">
        <is>
          <t>S</t>
        </is>
      </c>
      <c r="K955" t="inlineStr">
        <is>
          <t>Y</t>
        </is>
      </c>
      <c r="L955" t="inlineStr"/>
      <c r="M955" s="30">
        <f>0.005454*F955^2</f>
        <v/>
      </c>
      <c r="N955" s="31">
        <f>IF(D955="BAF20",20/M955,100)</f>
        <v/>
      </c>
      <c r="O955" s="31">
        <f>M955*N955</f>
        <v/>
      </c>
      <c r="P955" s="32">
        <f>48.1*N955</f>
        <v/>
      </c>
    </row>
    <row r="956">
      <c r="A956" t="inlineStr">
        <is>
          <t>U2-25</t>
        </is>
      </c>
      <c r="B956" t="n">
        <v>2</v>
      </c>
      <c r="C956" t="n">
        <v>2</v>
      </c>
      <c r="D956" t="inlineStr">
        <is>
          <t>BAF20</t>
        </is>
      </c>
      <c r="E956" t="inlineStr">
        <is>
          <t>PP</t>
        </is>
      </c>
      <c r="F956" t="n">
        <v>28</v>
      </c>
      <c r="G956" t="n">
        <v>110</v>
      </c>
      <c r="H956" t="n">
        <v>4</v>
      </c>
      <c r="I956" t="inlineStr">
        <is>
          <t>L</t>
        </is>
      </c>
      <c r="J956" t="inlineStr">
        <is>
          <t>D</t>
        </is>
      </c>
      <c r="K956" t="inlineStr"/>
      <c r="L956" t="inlineStr"/>
      <c r="M956" s="30">
        <f>0.005454*F956^2</f>
        <v/>
      </c>
      <c r="N956" s="31">
        <f>IF(D956="BAF20",20/M956,100)</f>
        <v/>
      </c>
      <c r="O956" s="31">
        <f>M956*N956</f>
        <v/>
      </c>
      <c r="P956" s="32">
        <f>925.1*N956</f>
        <v/>
      </c>
    </row>
    <row r="957">
      <c r="A957" t="inlineStr">
        <is>
          <t>U2-25</t>
        </is>
      </c>
      <c r="B957" t="n">
        <v>2</v>
      </c>
      <c r="C957" t="n">
        <v>3</v>
      </c>
      <c r="D957" t="inlineStr">
        <is>
          <t>BAF20</t>
        </is>
      </c>
      <c r="E957" t="inlineStr">
        <is>
          <t>PP</t>
        </is>
      </c>
      <c r="F957" t="n">
        <v>9.699999999999999</v>
      </c>
      <c r="G957" t="n">
        <v>55</v>
      </c>
      <c r="H957" t="n">
        <v>6</v>
      </c>
      <c r="I957" t="inlineStr">
        <is>
          <t>L</t>
        </is>
      </c>
      <c r="J957" t="inlineStr">
        <is>
          <t>S</t>
        </is>
      </c>
      <c r="K957" t="inlineStr">
        <is>
          <t>Y</t>
        </is>
      </c>
      <c r="L957" t="inlineStr"/>
      <c r="M957" s="30">
        <f>0.005454*F957^2</f>
        <v/>
      </c>
      <c r="N957" s="31">
        <f>IF(D957="BAF20",20/M957,100)</f>
        <v/>
      </c>
      <c r="O957" s="31">
        <f>M957*N957</f>
        <v/>
      </c>
      <c r="P957" s="32">
        <f>0.0*N957</f>
        <v/>
      </c>
    </row>
    <row r="958">
      <c r="A958" t="inlineStr">
        <is>
          <t>U2-25</t>
        </is>
      </c>
      <c r="B958" t="n">
        <v>2</v>
      </c>
      <c r="C958" t="n">
        <v>4</v>
      </c>
      <c r="D958" t="inlineStr">
        <is>
          <t>BAF20</t>
        </is>
      </c>
      <c r="E958" t="inlineStr">
        <is>
          <t>PP</t>
        </is>
      </c>
      <c r="F958" t="n">
        <v>10.3</v>
      </c>
      <c r="G958" t="n">
        <v>46</v>
      </c>
      <c r="H958" t="n">
        <v>0</v>
      </c>
      <c r="I958" t="inlineStr">
        <is>
          <t>L</t>
        </is>
      </c>
      <c r="J958" t="inlineStr">
        <is>
          <t>S</t>
        </is>
      </c>
      <c r="K958" t="inlineStr">
        <is>
          <t>Y</t>
        </is>
      </c>
      <c r="L958" t="inlineStr"/>
      <c r="M958" s="30">
        <f>0.005454*F958^2</f>
        <v/>
      </c>
      <c r="N958" s="31">
        <f>IF(D958="BAF20",20/M958,100)</f>
        <v/>
      </c>
      <c r="O958" s="31">
        <f>M958*N958</f>
        <v/>
      </c>
      <c r="P958" s="32">
        <f>38.5*N958</f>
        <v/>
      </c>
    </row>
    <row r="959">
      <c r="A959" t="inlineStr">
        <is>
          <t>U2-25</t>
        </is>
      </c>
      <c r="B959" t="n">
        <v>2</v>
      </c>
      <c r="C959" t="n">
        <v>5</v>
      </c>
      <c r="D959" t="inlineStr">
        <is>
          <t>BAF20</t>
        </is>
      </c>
      <c r="E959" t="inlineStr">
        <is>
          <t>PP</t>
        </is>
      </c>
      <c r="F959" t="n">
        <v>6.8</v>
      </c>
      <c r="G959" t="n">
        <v>38</v>
      </c>
      <c r="H959" t="n">
        <v>6</v>
      </c>
      <c r="I959" t="inlineStr">
        <is>
          <t>L</t>
        </is>
      </c>
      <c r="J959" t="inlineStr">
        <is>
          <t>S</t>
        </is>
      </c>
      <c r="K959" t="inlineStr">
        <is>
          <t>Y</t>
        </is>
      </c>
      <c r="L959" t="inlineStr"/>
      <c r="M959" s="30">
        <f>0.005454*F959^2</f>
        <v/>
      </c>
      <c r="N959" s="31">
        <f>IF(D959="BAF20",20/M959,100)</f>
        <v/>
      </c>
      <c r="O959" s="31">
        <f>M959*N959</f>
        <v/>
      </c>
      <c r="P959" s="32">
        <f>0.0*N959</f>
        <v/>
      </c>
    </row>
    <row r="960">
      <c r="A960" t="inlineStr">
        <is>
          <t>U2-25</t>
        </is>
      </c>
      <c r="B960" t="n">
        <v>2</v>
      </c>
      <c r="C960" t="n">
        <v>6</v>
      </c>
      <c r="D960" t="inlineStr">
        <is>
          <t>BAF20</t>
        </is>
      </c>
      <c r="E960" t="inlineStr">
        <is>
          <t>WF</t>
        </is>
      </c>
      <c r="F960" t="n">
        <v>17.9</v>
      </c>
      <c r="G960" t="n">
        <v>84</v>
      </c>
      <c r="H960" t="n">
        <v>28</v>
      </c>
      <c r="I960" t="inlineStr">
        <is>
          <t>L</t>
        </is>
      </c>
      <c r="J960" t="inlineStr">
        <is>
          <t>I</t>
        </is>
      </c>
      <c r="K960" t="inlineStr"/>
      <c r="L960" t="inlineStr"/>
      <c r="M960" s="30">
        <f>0.005454*F960^2</f>
        <v/>
      </c>
      <c r="N960" s="31">
        <f>IF(D960="BAF20",20/M960,100)</f>
        <v/>
      </c>
      <c r="O960" s="31">
        <f>M960*N960</f>
        <v/>
      </c>
      <c r="P960" s="32">
        <f>180.2*N960</f>
        <v/>
      </c>
    </row>
    <row r="961">
      <c r="A961" t="inlineStr">
        <is>
          <t>U2-25</t>
        </is>
      </c>
      <c r="B961" t="n">
        <v>2</v>
      </c>
      <c r="C961" t="n">
        <v>7</v>
      </c>
      <c r="D961" t="inlineStr">
        <is>
          <t>BAF20</t>
        </is>
      </c>
      <c r="E961" t="inlineStr">
        <is>
          <t>PP</t>
        </is>
      </c>
      <c r="F961" t="n">
        <v>22.3</v>
      </c>
      <c r="G961" t="n">
        <v>89</v>
      </c>
      <c r="H961" t="n">
        <v>2</v>
      </c>
      <c r="I961" t="inlineStr">
        <is>
          <t>L</t>
        </is>
      </c>
      <c r="J961" t="inlineStr">
        <is>
          <t>C</t>
        </is>
      </c>
      <c r="K961" t="inlineStr"/>
      <c r="L961" t="inlineStr"/>
      <c r="M961" s="30">
        <f>0.005454*F961^2</f>
        <v/>
      </c>
      <c r="N961" s="31">
        <f>IF(D961="BAF20",20/M961,100)</f>
        <v/>
      </c>
      <c r="O961" s="31">
        <f>M961*N961</f>
        <v/>
      </c>
      <c r="P961" s="32">
        <f>438.8*N961</f>
        <v/>
      </c>
    </row>
    <row r="962">
      <c r="A962" t="inlineStr">
        <is>
          <t>U2-25</t>
        </is>
      </c>
      <c r="B962" t="n">
        <v>2</v>
      </c>
      <c r="C962" t="n">
        <v>8</v>
      </c>
      <c r="D962" t="inlineStr">
        <is>
          <t>BAF20</t>
        </is>
      </c>
      <c r="E962" t="inlineStr">
        <is>
          <t>IC</t>
        </is>
      </c>
      <c r="F962" t="n">
        <v>23.7</v>
      </c>
      <c r="G962" t="n">
        <v>98</v>
      </c>
      <c r="H962" t="n">
        <v>100</v>
      </c>
      <c r="I962" t="inlineStr">
        <is>
          <t>D</t>
        </is>
      </c>
      <c r="J962" t="inlineStr">
        <is>
          <t>C</t>
        </is>
      </c>
      <c r="K962" t="inlineStr"/>
      <c r="L962" t="inlineStr"/>
      <c r="M962" s="30">
        <f>0.005454*F962^2</f>
        <v/>
      </c>
      <c r="N962" s="31">
        <f>IF(D962="BAF20",20/M962,100)</f>
        <v/>
      </c>
      <c r="O962" s="31">
        <f>M962*N962</f>
        <v/>
      </c>
      <c r="P962" s="32">
        <f>0.0*N962</f>
        <v/>
      </c>
    </row>
    <row r="963">
      <c r="A963" t="inlineStr">
        <is>
          <t>U2-25</t>
        </is>
      </c>
      <c r="B963" t="n">
        <v>2</v>
      </c>
      <c r="C963" t="n">
        <v>9</v>
      </c>
      <c r="D963" t="inlineStr">
        <is>
          <t>BAF20</t>
        </is>
      </c>
      <c r="E963" t="inlineStr">
        <is>
          <t>IC</t>
        </is>
      </c>
      <c r="F963" t="n">
        <v>24.9</v>
      </c>
      <c r="G963" t="n">
        <v>88</v>
      </c>
      <c r="H963" t="n">
        <v>2</v>
      </c>
      <c r="I963" t="inlineStr">
        <is>
          <t>L</t>
        </is>
      </c>
      <c r="J963" t="inlineStr">
        <is>
          <t>C</t>
        </is>
      </c>
      <c r="K963" t="inlineStr"/>
      <c r="L963" t="inlineStr"/>
      <c r="M963" s="30">
        <f>0.005454*F963^2</f>
        <v/>
      </c>
      <c r="N963" s="31">
        <f>IF(D963="BAF20",20/M963,100)</f>
        <v/>
      </c>
      <c r="O963" s="31">
        <f>M963*N963</f>
        <v/>
      </c>
      <c r="P963" s="32">
        <f>566.7*N963</f>
        <v/>
      </c>
    </row>
    <row r="964">
      <c r="A964" t="inlineStr">
        <is>
          <t>U2-25</t>
        </is>
      </c>
      <c r="B964" t="n">
        <v>2</v>
      </c>
      <c r="C964" t="n">
        <v>10</v>
      </c>
      <c r="D964" t="inlineStr">
        <is>
          <t>BAF20</t>
        </is>
      </c>
      <c r="E964" t="inlineStr">
        <is>
          <t>DF</t>
        </is>
      </c>
      <c r="F964" t="n">
        <v>35.8</v>
      </c>
      <c r="G964" t="n">
        <v>122</v>
      </c>
      <c r="H964" t="n">
        <v>1</v>
      </c>
      <c r="I964" t="inlineStr">
        <is>
          <t>L</t>
        </is>
      </c>
      <c r="J964" t="inlineStr">
        <is>
          <t>D</t>
        </is>
      </c>
      <c r="K964" t="inlineStr"/>
      <c r="L964" t="inlineStr"/>
      <c r="M964" s="30">
        <f>0.005454*F964^2</f>
        <v/>
      </c>
      <c r="N964" s="31">
        <f>IF(D964="BAF20",20/M964,100)</f>
        <v/>
      </c>
      <c r="O964" s="31">
        <f>M964*N964</f>
        <v/>
      </c>
      <c r="P964" s="32">
        <f>1953.7*N964</f>
        <v/>
      </c>
    </row>
    <row r="965">
      <c r="A965" t="inlineStr">
        <is>
          <t>U2-25</t>
        </is>
      </c>
      <c r="B965" t="n">
        <v>2</v>
      </c>
      <c r="C965" t="n">
        <v>11</v>
      </c>
      <c r="D965" t="inlineStr">
        <is>
          <t>BAF20</t>
        </is>
      </c>
      <c r="E965" t="inlineStr">
        <is>
          <t>WF</t>
        </is>
      </c>
      <c r="F965" t="n">
        <v>13.7</v>
      </c>
      <c r="G965" t="n">
        <v>62</v>
      </c>
      <c r="H965" t="n">
        <v>2</v>
      </c>
      <c r="I965" t="inlineStr">
        <is>
          <t>L</t>
        </is>
      </c>
      <c r="J965" t="inlineStr">
        <is>
          <t>I</t>
        </is>
      </c>
      <c r="K965" t="inlineStr"/>
      <c r="L965" t="inlineStr"/>
      <c r="M965" s="30">
        <f>0.005454*F965^2</f>
        <v/>
      </c>
      <c r="N965" s="31">
        <f>IF(D965="BAF20",20/M965,100)</f>
        <v/>
      </c>
      <c r="O965" s="31">
        <f>M965*N965</f>
        <v/>
      </c>
      <c r="P965" s="32">
        <f>97.2*N965</f>
        <v/>
      </c>
    </row>
    <row r="966">
      <c r="A966" t="inlineStr">
        <is>
          <t>U2-25</t>
        </is>
      </c>
      <c r="B966" t="n">
        <v>2</v>
      </c>
      <c r="C966" t="n">
        <v>12</v>
      </c>
      <c r="D966" t="inlineStr">
        <is>
          <t>BAF20</t>
        </is>
      </c>
      <c r="E966" t="inlineStr">
        <is>
          <t>DF</t>
        </is>
      </c>
      <c r="F966" t="n">
        <v>14.6</v>
      </c>
      <c r="G966" t="n">
        <v>71</v>
      </c>
      <c r="H966" t="n">
        <v>2</v>
      </c>
      <c r="I966" t="inlineStr">
        <is>
          <t>L</t>
        </is>
      </c>
      <c r="J966" t="inlineStr">
        <is>
          <t>I</t>
        </is>
      </c>
      <c r="K966" t="inlineStr"/>
      <c r="L966" t="inlineStr"/>
      <c r="M966" s="30">
        <f>0.005454*F966^2</f>
        <v/>
      </c>
      <c r="N966" s="31">
        <f>IF(D966="BAF20",20/M966,100)</f>
        <v/>
      </c>
      <c r="O966" s="31">
        <f>M966*N966</f>
        <v/>
      </c>
      <c r="P966" s="32">
        <f>128.9*N966</f>
        <v/>
      </c>
    </row>
    <row r="967">
      <c r="A967" t="inlineStr">
        <is>
          <t>U2-25</t>
        </is>
      </c>
      <c r="B967" t="n">
        <v>2</v>
      </c>
      <c r="C967" t="n">
        <v>13</v>
      </c>
      <c r="D967" t="inlineStr">
        <is>
          <t>BAF20</t>
        </is>
      </c>
      <c r="E967" t="inlineStr">
        <is>
          <t>WF</t>
        </is>
      </c>
      <c r="F967" t="n">
        <v>24.7</v>
      </c>
      <c r="G967" t="n">
        <v>109</v>
      </c>
      <c r="H967" t="n">
        <v>6</v>
      </c>
      <c r="I967" t="inlineStr">
        <is>
          <t>L</t>
        </is>
      </c>
      <c r="J967" t="inlineStr">
        <is>
          <t>C</t>
        </is>
      </c>
      <c r="K967" t="inlineStr"/>
      <c r="L967" t="inlineStr"/>
      <c r="M967" s="30">
        <f>0.005454*F967^2</f>
        <v/>
      </c>
      <c r="N967" s="31">
        <f>IF(D967="BAF20",20/M967,100)</f>
        <v/>
      </c>
      <c r="O967" s="31">
        <f>M967*N967</f>
        <v/>
      </c>
      <c r="P967" s="32">
        <f>660.2*N967</f>
        <v/>
      </c>
    </row>
    <row r="968">
      <c r="A968" t="inlineStr">
        <is>
          <t>U2-25</t>
        </is>
      </c>
      <c r="B968" t="n">
        <v>2</v>
      </c>
      <c r="C968" t="n">
        <v>14</v>
      </c>
      <c r="D968" t="inlineStr">
        <is>
          <t>BAF20</t>
        </is>
      </c>
      <c r="E968" t="inlineStr">
        <is>
          <t>PP</t>
        </is>
      </c>
      <c r="F968" t="n">
        <v>13</v>
      </c>
      <c r="G968" t="n">
        <v>58</v>
      </c>
      <c r="H968" t="n">
        <v>3</v>
      </c>
      <c r="I968" t="inlineStr">
        <is>
          <t>L</t>
        </is>
      </c>
      <c r="J968" t="inlineStr">
        <is>
          <t>S</t>
        </is>
      </c>
      <c r="K968" t="inlineStr"/>
      <c r="L968" t="inlineStr"/>
      <c r="M968" s="30">
        <f>0.005454*F968^2</f>
        <v/>
      </c>
      <c r="N968" s="31">
        <f>IF(D968="BAF20",20/M968,100)</f>
        <v/>
      </c>
      <c r="O968" s="31">
        <f>M968*N968</f>
        <v/>
      </c>
      <c r="P968" s="32">
        <f>79.8*N968</f>
        <v/>
      </c>
    </row>
    <row r="969">
      <c r="A969" t="inlineStr">
        <is>
          <t>U2-26</t>
        </is>
      </c>
      <c r="B969" t="n">
        <v>2</v>
      </c>
      <c r="C969" t="n">
        <v>1</v>
      </c>
      <c r="D969" t="inlineStr">
        <is>
          <t>BAF20</t>
        </is>
      </c>
      <c r="E969" t="inlineStr">
        <is>
          <t>BO</t>
        </is>
      </c>
      <c r="F969" t="n">
        <v>22.9</v>
      </c>
      <c r="G969" t="n">
        <v>63</v>
      </c>
      <c r="H969" t="n">
        <v>31</v>
      </c>
      <c r="I969" t="inlineStr">
        <is>
          <t>L</t>
        </is>
      </c>
      <c r="J969" t="inlineStr">
        <is>
          <t>C</t>
        </is>
      </c>
      <c r="K969" t="inlineStr"/>
      <c r="L969" t="inlineStr"/>
      <c r="M969" s="30">
        <f>0.005454*F969^2</f>
        <v/>
      </c>
      <c r="N969" s="31">
        <f>IF(D969="BAF20",20/M969,100)</f>
        <v/>
      </c>
      <c r="O969" s="31">
        <f>M969*N969</f>
        <v/>
      </c>
      <c r="P969" s="32">
        <f>210.9*N969</f>
        <v/>
      </c>
    </row>
    <row r="970">
      <c r="A970" t="inlineStr">
        <is>
          <t>U2-26</t>
        </is>
      </c>
      <c r="B970" t="n">
        <v>2</v>
      </c>
      <c r="C970" t="n">
        <v>2</v>
      </c>
      <c r="D970" t="inlineStr">
        <is>
          <t>BAF20</t>
        </is>
      </c>
      <c r="E970" t="inlineStr">
        <is>
          <t>SP</t>
        </is>
      </c>
      <c r="F970" t="n">
        <v>19.8</v>
      </c>
      <c r="G970" t="n">
        <v>91</v>
      </c>
      <c r="H970" t="n">
        <v>8</v>
      </c>
      <c r="I970" t="inlineStr">
        <is>
          <t>L</t>
        </is>
      </c>
      <c r="J970" t="inlineStr">
        <is>
          <t>C</t>
        </is>
      </c>
      <c r="K970" t="inlineStr"/>
      <c r="L970" t="inlineStr"/>
      <c r="M970" s="30">
        <f>0.005454*F970^2</f>
        <v/>
      </c>
      <c r="N970" s="31">
        <f>IF(D970="BAF20",20/M970,100)</f>
        <v/>
      </c>
      <c r="O970" s="31">
        <f>M970*N970</f>
        <v/>
      </c>
      <c r="P970" s="32">
        <f>316.8*N970</f>
        <v/>
      </c>
    </row>
    <row r="971">
      <c r="A971" t="inlineStr">
        <is>
          <t>U2-26</t>
        </is>
      </c>
      <c r="B971" t="n">
        <v>2</v>
      </c>
      <c r="C971" t="n">
        <v>3</v>
      </c>
      <c r="D971" t="inlineStr">
        <is>
          <t>BAF20</t>
        </is>
      </c>
      <c r="E971" t="inlineStr">
        <is>
          <t>BO</t>
        </is>
      </c>
      <c r="F971" t="n">
        <v>15.6</v>
      </c>
      <c r="G971" t="n">
        <v>51</v>
      </c>
      <c r="H971" t="n">
        <v>33</v>
      </c>
      <c r="I971" t="inlineStr">
        <is>
          <t>L</t>
        </is>
      </c>
      <c r="J971" t="inlineStr">
        <is>
          <t>I</t>
        </is>
      </c>
      <c r="K971" t="inlineStr"/>
      <c r="L971" t="inlineStr"/>
      <c r="M971" s="30">
        <f>0.005454*F971^2</f>
        <v/>
      </c>
      <c r="N971" s="31">
        <f>IF(D971="BAF20",20/M971,100)</f>
        <v/>
      </c>
      <c r="O971" s="31">
        <f>M971*N971</f>
        <v/>
      </c>
      <c r="P971" s="32">
        <f>66.8*N971</f>
        <v/>
      </c>
    </row>
    <row r="972">
      <c r="A972" t="inlineStr">
        <is>
          <t>U2-26</t>
        </is>
      </c>
      <c r="B972" t="n">
        <v>2</v>
      </c>
      <c r="C972" t="n">
        <v>4</v>
      </c>
      <c r="D972" t="inlineStr">
        <is>
          <t>BAF20</t>
        </is>
      </c>
      <c r="E972" t="inlineStr">
        <is>
          <t>PP</t>
        </is>
      </c>
      <c r="F972" t="n">
        <v>20</v>
      </c>
      <c r="G972" t="n">
        <v>100</v>
      </c>
      <c r="H972" t="n">
        <v>9</v>
      </c>
      <c r="I972" t="inlineStr">
        <is>
          <t>L</t>
        </is>
      </c>
      <c r="J972" t="inlineStr">
        <is>
          <t>C</t>
        </is>
      </c>
      <c r="K972" t="inlineStr"/>
      <c r="L972" t="inlineStr"/>
      <c r="M972" s="30">
        <f>0.005454*F972^2</f>
        <v/>
      </c>
      <c r="N972" s="31">
        <f>IF(D972="BAF20",20/M972,100)</f>
        <v/>
      </c>
      <c r="O972" s="31">
        <f>M972*N972</f>
        <v/>
      </c>
      <c r="P972" s="32">
        <f>352.7*N972</f>
        <v/>
      </c>
    </row>
    <row r="973">
      <c r="A973" t="inlineStr">
        <is>
          <t>U2-26</t>
        </is>
      </c>
      <c r="B973" t="n">
        <v>2</v>
      </c>
      <c r="C973" t="n">
        <v>5</v>
      </c>
      <c r="D973" t="inlineStr">
        <is>
          <t>BAF20</t>
        </is>
      </c>
      <c r="E973" t="inlineStr">
        <is>
          <t>PP</t>
        </is>
      </c>
      <c r="F973" t="n">
        <v>35.4</v>
      </c>
      <c r="G973" t="n">
        <v>122</v>
      </c>
      <c r="H973" t="n">
        <v>6</v>
      </c>
      <c r="I973" t="inlineStr">
        <is>
          <t>L</t>
        </is>
      </c>
      <c r="J973" t="inlineStr">
        <is>
          <t>D</t>
        </is>
      </c>
      <c r="K973" t="inlineStr"/>
      <c r="L973" t="inlineStr"/>
      <c r="M973" s="30">
        <f>0.005454*F973^2</f>
        <v/>
      </c>
      <c r="N973" s="31">
        <f>IF(D973="BAF20",20/M973,100)</f>
        <v/>
      </c>
      <c r="O973" s="31">
        <f>M973*N973</f>
        <v/>
      </c>
      <c r="P973" s="32">
        <f>1803.2*N973</f>
        <v/>
      </c>
    </row>
    <row r="974">
      <c r="A974" t="inlineStr">
        <is>
          <t>U2-26</t>
        </is>
      </c>
      <c r="B974" t="n">
        <v>2</v>
      </c>
      <c r="C974" t="n">
        <v>6</v>
      </c>
      <c r="D974" t="inlineStr">
        <is>
          <t>BAF20</t>
        </is>
      </c>
      <c r="E974" t="inlineStr">
        <is>
          <t>BO</t>
        </is>
      </c>
      <c r="F974" t="n">
        <v>20.6</v>
      </c>
      <c r="G974" t="n">
        <v>60</v>
      </c>
      <c r="H974" t="n">
        <v>15</v>
      </c>
      <c r="I974" t="inlineStr">
        <is>
          <t>L</t>
        </is>
      </c>
      <c r="J974" t="inlineStr">
        <is>
          <t>C</t>
        </is>
      </c>
      <c r="K974" t="inlineStr"/>
      <c r="L974" t="inlineStr"/>
      <c r="M974" s="30">
        <f>0.005454*F974^2</f>
        <v/>
      </c>
      <c r="N974" s="31">
        <f>IF(D974="BAF20",20/M974,100)</f>
        <v/>
      </c>
      <c r="O974" s="31">
        <f>M974*N974</f>
        <v/>
      </c>
      <c r="P974" s="32">
        <f>191.9*N974</f>
        <v/>
      </c>
    </row>
    <row r="975">
      <c r="A975" t="inlineStr">
        <is>
          <t>U2-26</t>
        </is>
      </c>
      <c r="B975" t="n">
        <v>2</v>
      </c>
      <c r="C975" t="n">
        <v>7</v>
      </c>
      <c r="D975" t="inlineStr">
        <is>
          <t>BAF20</t>
        </is>
      </c>
      <c r="E975" t="inlineStr">
        <is>
          <t>PP</t>
        </is>
      </c>
      <c r="F975" t="n">
        <v>19.6</v>
      </c>
      <c r="G975" t="n">
        <v>86</v>
      </c>
      <c r="H975" t="n">
        <v>5</v>
      </c>
      <c r="I975" t="inlineStr">
        <is>
          <t>L</t>
        </is>
      </c>
      <c r="J975" t="inlineStr">
        <is>
          <t>C</t>
        </is>
      </c>
      <c r="K975" t="inlineStr"/>
      <c r="L975" t="inlineStr"/>
      <c r="M975" s="30">
        <f>0.005454*F975^2</f>
        <v/>
      </c>
      <c r="N975" s="31">
        <f>IF(D975="BAF20",20/M975,100)</f>
        <v/>
      </c>
      <c r="O975" s="31">
        <f>M975*N975</f>
        <v/>
      </c>
      <c r="P975" s="32">
        <f>301.8*N975</f>
        <v/>
      </c>
    </row>
    <row r="976">
      <c r="A976" t="inlineStr">
        <is>
          <t>U2-26</t>
        </is>
      </c>
      <c r="B976" t="n">
        <v>2</v>
      </c>
      <c r="C976" t="n">
        <v>8</v>
      </c>
      <c r="D976" t="inlineStr">
        <is>
          <t>FIX100</t>
        </is>
      </c>
      <c r="E976" t="inlineStr">
        <is>
          <t>IC</t>
        </is>
      </c>
      <c r="F976" t="n">
        <v>2.7</v>
      </c>
      <c r="G976" t="n">
        <v>12</v>
      </c>
      <c r="H976" t="n">
        <v>0</v>
      </c>
      <c r="I976" t="inlineStr">
        <is>
          <t>L</t>
        </is>
      </c>
      <c r="J976" t="inlineStr">
        <is>
          <t>S</t>
        </is>
      </c>
      <c r="K976" t="inlineStr"/>
      <c r="L976" t="inlineStr"/>
      <c r="M976" s="30">
        <f>0.005454*F976^2</f>
        <v/>
      </c>
      <c r="N976" s="31">
        <f>IF(D976="BAF20",20/M976,100)</f>
        <v/>
      </c>
      <c r="O976" s="31">
        <f>M976*N976</f>
        <v/>
      </c>
      <c r="P976" s="32">
        <f>0.0*N976</f>
        <v/>
      </c>
    </row>
    <row r="977">
      <c r="A977" t="inlineStr">
        <is>
          <t>U2-26</t>
        </is>
      </c>
      <c r="B977" t="n">
        <v>2</v>
      </c>
      <c r="C977" t="n">
        <v>9</v>
      </c>
      <c r="D977" t="inlineStr">
        <is>
          <t>FIX100</t>
        </is>
      </c>
      <c r="E977" t="inlineStr">
        <is>
          <t>WF</t>
        </is>
      </c>
      <c r="F977" t="n">
        <v>3.5</v>
      </c>
      <c r="G977" t="n">
        <v>22</v>
      </c>
      <c r="H977" t="n">
        <v>0</v>
      </c>
      <c r="I977" t="inlineStr">
        <is>
          <t>L</t>
        </is>
      </c>
      <c r="J977" t="inlineStr">
        <is>
          <t>S</t>
        </is>
      </c>
      <c r="K977" t="inlineStr"/>
      <c r="L977" t="inlineStr"/>
      <c r="M977" s="30">
        <f>0.005454*F977^2</f>
        <v/>
      </c>
      <c r="N977" s="31">
        <f>IF(D977="BAF20",20/M977,100)</f>
        <v/>
      </c>
      <c r="O977" s="31">
        <f>M977*N977</f>
        <v/>
      </c>
      <c r="P977" s="32">
        <f>0.0*N977</f>
        <v/>
      </c>
    </row>
    <row r="978">
      <c r="A978" t="inlineStr">
        <is>
          <t>U2-26</t>
        </is>
      </c>
      <c r="B978" t="n">
        <v>2</v>
      </c>
      <c r="C978" t="n">
        <v>10</v>
      </c>
      <c r="D978" t="inlineStr">
        <is>
          <t>FIX100</t>
        </is>
      </c>
      <c r="E978" t="inlineStr">
        <is>
          <t>PP</t>
        </is>
      </c>
      <c r="F978" t="n">
        <v>3.9</v>
      </c>
      <c r="G978" t="n">
        <v>25</v>
      </c>
      <c r="H978" t="n">
        <v>0</v>
      </c>
      <c r="I978" t="inlineStr">
        <is>
          <t>L</t>
        </is>
      </c>
      <c r="J978" t="inlineStr">
        <is>
          <t>S</t>
        </is>
      </c>
      <c r="K978" t="inlineStr"/>
      <c r="L978" t="inlineStr"/>
      <c r="M978" s="30">
        <f>0.005454*F978^2</f>
        <v/>
      </c>
      <c r="N978" s="31">
        <f>IF(D978="BAF20",20/M978,100)</f>
        <v/>
      </c>
      <c r="O978" s="31">
        <f>M978*N978</f>
        <v/>
      </c>
      <c r="P978" s="32">
        <f>0.0*N978</f>
        <v/>
      </c>
    </row>
    <row r="979">
      <c r="A979" t="inlineStr">
        <is>
          <t>U2-27</t>
        </is>
      </c>
      <c r="B979" t="n">
        <v>2</v>
      </c>
      <c r="C979" t="n">
        <v>1</v>
      </c>
      <c r="D979" t="inlineStr">
        <is>
          <t>BAF20</t>
        </is>
      </c>
      <c r="E979" t="inlineStr">
        <is>
          <t>DF</t>
        </is>
      </c>
      <c r="F979" t="n">
        <v>18.7</v>
      </c>
      <c r="G979" t="n">
        <v>91</v>
      </c>
      <c r="H979" t="n">
        <v>1</v>
      </c>
      <c r="I979" t="inlineStr">
        <is>
          <t>L</t>
        </is>
      </c>
      <c r="J979" t="inlineStr">
        <is>
          <t>I</t>
        </is>
      </c>
      <c r="K979" t="inlineStr"/>
      <c r="L979" t="inlineStr"/>
      <c r="M979" s="30">
        <f>0.005454*F979^2</f>
        <v/>
      </c>
      <c r="N979" s="31">
        <f>IF(D979="BAF20",20/M979,100)</f>
        <v/>
      </c>
      <c r="O979" s="31">
        <f>M979*N979</f>
        <v/>
      </c>
      <c r="P979" s="32">
        <f>297.7*N979</f>
        <v/>
      </c>
    </row>
    <row r="980">
      <c r="A980" t="inlineStr">
        <is>
          <t>U2-27</t>
        </is>
      </c>
      <c r="B980" t="n">
        <v>2</v>
      </c>
      <c r="C980" t="n">
        <v>2</v>
      </c>
      <c r="D980" t="inlineStr">
        <is>
          <t>BAF20</t>
        </is>
      </c>
      <c r="E980" t="inlineStr">
        <is>
          <t>IC</t>
        </is>
      </c>
      <c r="F980" t="n">
        <v>17.7</v>
      </c>
      <c r="G980" t="n">
        <v>66</v>
      </c>
      <c r="H980" t="n">
        <v>16</v>
      </c>
      <c r="I980" t="inlineStr">
        <is>
          <t>L</t>
        </is>
      </c>
      <c r="J980" t="inlineStr">
        <is>
          <t>I</t>
        </is>
      </c>
      <c r="K980" t="inlineStr"/>
      <c r="L980" t="inlineStr"/>
      <c r="M980" s="30">
        <f>0.005454*F980^2</f>
        <v/>
      </c>
      <c r="N980" s="31">
        <f>IF(D980="BAF20",20/M980,100)</f>
        <v/>
      </c>
      <c r="O980" s="31">
        <f>M980*N980</f>
        <v/>
      </c>
      <c r="P980" s="32">
        <f>160.9*N980</f>
        <v/>
      </c>
    </row>
    <row r="981">
      <c r="A981" t="inlineStr">
        <is>
          <t>U2-27</t>
        </is>
      </c>
      <c r="B981" t="n">
        <v>2</v>
      </c>
      <c r="C981" t="n">
        <v>3</v>
      </c>
      <c r="D981" t="inlineStr">
        <is>
          <t>BAF20</t>
        </is>
      </c>
      <c r="E981" t="inlineStr">
        <is>
          <t>IC</t>
        </is>
      </c>
      <c r="F981" t="n">
        <v>13.3</v>
      </c>
      <c r="G981" t="n">
        <v>52</v>
      </c>
      <c r="H981" t="n">
        <v>6</v>
      </c>
      <c r="I981" t="inlineStr">
        <is>
          <t>L</t>
        </is>
      </c>
      <c r="J981" t="inlineStr">
        <is>
          <t>S</t>
        </is>
      </c>
      <c r="K981" t="inlineStr"/>
      <c r="L981" t="inlineStr"/>
      <c r="M981" s="30">
        <f>0.005454*F981^2</f>
        <v/>
      </c>
      <c r="N981" s="31">
        <f>IF(D981="BAF20",20/M981,100)</f>
        <v/>
      </c>
      <c r="O981" s="31">
        <f>M981*N981</f>
        <v/>
      </c>
      <c r="P981" s="32">
        <f>73.0*N981</f>
        <v/>
      </c>
    </row>
    <row r="982">
      <c r="A982" t="inlineStr">
        <is>
          <t>U2-27</t>
        </is>
      </c>
      <c r="B982" t="n">
        <v>2</v>
      </c>
      <c r="C982" t="n">
        <v>4</v>
      </c>
      <c r="D982" t="inlineStr">
        <is>
          <t>BAF20</t>
        </is>
      </c>
      <c r="E982" t="inlineStr">
        <is>
          <t>PP</t>
        </is>
      </c>
      <c r="F982" t="n">
        <v>15.6</v>
      </c>
      <c r="G982" t="n">
        <v>77</v>
      </c>
      <c r="H982" t="n">
        <v>2</v>
      </c>
      <c r="I982" t="inlineStr">
        <is>
          <t>L</t>
        </is>
      </c>
      <c r="J982" t="inlineStr">
        <is>
          <t>I</t>
        </is>
      </c>
      <c r="K982" t="inlineStr"/>
      <c r="L982" t="inlineStr"/>
      <c r="M982" s="30">
        <f>0.005454*F982^2</f>
        <v/>
      </c>
      <c r="N982" s="31">
        <f>IF(D982="BAF20",20/M982,100)</f>
        <v/>
      </c>
      <c r="O982" s="31">
        <f>M982*N982</f>
        <v/>
      </c>
      <c r="P982" s="32">
        <f>162.9*N982</f>
        <v/>
      </c>
    </row>
    <row r="983">
      <c r="A983" t="inlineStr">
        <is>
          <t>U2-27</t>
        </is>
      </c>
      <c r="B983" t="n">
        <v>2</v>
      </c>
      <c r="C983" t="n">
        <v>5</v>
      </c>
      <c r="D983" t="inlineStr">
        <is>
          <t>BAF20</t>
        </is>
      </c>
      <c r="E983" t="inlineStr">
        <is>
          <t>DF</t>
        </is>
      </c>
      <c r="F983" t="n">
        <v>19.5</v>
      </c>
      <c r="G983" t="n">
        <v>93</v>
      </c>
      <c r="H983" t="n">
        <v>9</v>
      </c>
      <c r="I983" t="inlineStr">
        <is>
          <t>L</t>
        </is>
      </c>
      <c r="J983" t="inlineStr">
        <is>
          <t>I</t>
        </is>
      </c>
      <c r="K983" t="inlineStr"/>
      <c r="L983" t="inlineStr"/>
      <c r="M983" s="30">
        <f>0.005454*F983^2</f>
        <v/>
      </c>
      <c r="N983" s="31">
        <f>IF(D983="BAF20",20/M983,100)</f>
        <v/>
      </c>
      <c r="O983" s="31">
        <f>M983*N983</f>
        <v/>
      </c>
      <c r="P983" s="32">
        <f>308.8*N983</f>
        <v/>
      </c>
    </row>
    <row r="984">
      <c r="A984" t="inlineStr">
        <is>
          <t>U2-27</t>
        </is>
      </c>
      <c r="B984" t="n">
        <v>2</v>
      </c>
      <c r="C984" t="n">
        <v>6</v>
      </c>
      <c r="D984" t="inlineStr">
        <is>
          <t>BAF20</t>
        </is>
      </c>
      <c r="E984" t="inlineStr">
        <is>
          <t>PP</t>
        </is>
      </c>
      <c r="F984" t="n">
        <v>11.8</v>
      </c>
      <c r="G984" t="n">
        <v>60</v>
      </c>
      <c r="H984" t="n">
        <v>3</v>
      </c>
      <c r="I984" t="inlineStr">
        <is>
          <t>L</t>
        </is>
      </c>
      <c r="J984" t="inlineStr">
        <is>
          <t>S</t>
        </is>
      </c>
      <c r="K984" t="inlineStr">
        <is>
          <t>Y</t>
        </is>
      </c>
      <c r="L984" t="inlineStr"/>
      <c r="M984" s="30">
        <f>0.005454*F984^2</f>
        <v/>
      </c>
      <c r="N984" s="31">
        <f>IF(D984="BAF20",20/M984,100)</f>
        <v/>
      </c>
      <c r="O984" s="31">
        <f>M984*N984</f>
        <v/>
      </c>
      <c r="P984" s="32">
        <f>66.2*N984</f>
        <v/>
      </c>
    </row>
    <row r="985">
      <c r="A985" t="inlineStr">
        <is>
          <t>U2-27</t>
        </is>
      </c>
      <c r="B985" t="n">
        <v>2</v>
      </c>
      <c r="C985" t="n">
        <v>7</v>
      </c>
      <c r="D985" t="inlineStr">
        <is>
          <t>BAF20</t>
        </is>
      </c>
      <c r="E985" t="inlineStr">
        <is>
          <t>DF</t>
        </is>
      </c>
      <c r="F985" t="n">
        <v>18.2</v>
      </c>
      <c r="G985" t="n">
        <v>85</v>
      </c>
      <c r="H985" t="n">
        <v>4</v>
      </c>
      <c r="I985" t="inlineStr">
        <is>
          <t>L</t>
        </is>
      </c>
      <c r="J985" t="inlineStr">
        <is>
          <t>I</t>
        </is>
      </c>
      <c r="K985" t="inlineStr"/>
      <c r="L985" t="inlineStr"/>
      <c r="M985" s="30">
        <f>0.005454*F985^2</f>
        <v/>
      </c>
      <c r="N985" s="31">
        <f>IF(D985="BAF20",20/M985,100)</f>
        <v/>
      </c>
      <c r="O985" s="31">
        <f>M985*N985</f>
        <v/>
      </c>
      <c r="P985" s="32">
        <f>252.9*N985</f>
        <v/>
      </c>
    </row>
    <row r="986">
      <c r="A986" t="inlineStr">
        <is>
          <t>U2-27</t>
        </is>
      </c>
      <c r="B986" t="n">
        <v>2</v>
      </c>
      <c r="C986" t="n">
        <v>8</v>
      </c>
      <c r="D986" t="inlineStr">
        <is>
          <t>BAF20</t>
        </is>
      </c>
      <c r="E986" t="inlineStr">
        <is>
          <t>IC</t>
        </is>
      </c>
      <c r="F986" t="n">
        <v>12.2</v>
      </c>
      <c r="G986" t="n">
        <v>53</v>
      </c>
      <c r="H986" t="n">
        <v>4</v>
      </c>
      <c r="I986" t="inlineStr">
        <is>
          <t>L</t>
        </is>
      </c>
      <c r="J986" t="inlineStr">
        <is>
          <t>S</t>
        </is>
      </c>
      <c r="K986" t="inlineStr">
        <is>
          <t>Y</t>
        </is>
      </c>
      <c r="L986" t="inlineStr"/>
      <c r="M986" s="30">
        <f>0.005454*F986^2</f>
        <v/>
      </c>
      <c r="N986" s="31">
        <f>IF(D986="BAF20",20/M986,100)</f>
        <v/>
      </c>
      <c r="O986" s="31">
        <f>M986*N986</f>
        <v/>
      </c>
      <c r="P986" s="32">
        <f>62.4*N986</f>
        <v/>
      </c>
    </row>
    <row r="987">
      <c r="A987" t="inlineStr">
        <is>
          <t>U2-27</t>
        </is>
      </c>
      <c r="B987" t="n">
        <v>2</v>
      </c>
      <c r="C987" t="n">
        <v>9</v>
      </c>
      <c r="D987" t="inlineStr">
        <is>
          <t>BAF20</t>
        </is>
      </c>
      <c r="E987" t="inlineStr">
        <is>
          <t>PP</t>
        </is>
      </c>
      <c r="F987" t="n">
        <v>17.9</v>
      </c>
      <c r="G987" t="n">
        <v>78</v>
      </c>
      <c r="H987" t="n">
        <v>2</v>
      </c>
      <c r="I987" t="inlineStr">
        <is>
          <t>L</t>
        </is>
      </c>
      <c r="J987" t="inlineStr">
        <is>
          <t>I</t>
        </is>
      </c>
      <c r="K987" t="inlineStr"/>
      <c r="L987" t="inlineStr"/>
      <c r="M987" s="30">
        <f>0.005454*F987^2</f>
        <v/>
      </c>
      <c r="N987" s="31">
        <f>IF(D987="BAF20",20/M987,100)</f>
        <v/>
      </c>
      <c r="O987" s="31">
        <f>M987*N987</f>
        <v/>
      </c>
      <c r="P987" s="32">
        <f>227.8*N987</f>
        <v/>
      </c>
    </row>
    <row r="988">
      <c r="A988" t="inlineStr">
        <is>
          <t>U2-27</t>
        </is>
      </c>
      <c r="B988" t="n">
        <v>2</v>
      </c>
      <c r="C988" t="n">
        <v>10</v>
      </c>
      <c r="D988" t="inlineStr">
        <is>
          <t>BAF20</t>
        </is>
      </c>
      <c r="E988" t="inlineStr">
        <is>
          <t>PP</t>
        </is>
      </c>
      <c r="F988" t="n">
        <v>14.1</v>
      </c>
      <c r="G988" t="n">
        <v>66</v>
      </c>
      <c r="H988" t="n">
        <v>2</v>
      </c>
      <c r="I988" t="inlineStr">
        <is>
          <t>L</t>
        </is>
      </c>
      <c r="J988" t="inlineStr">
        <is>
          <t>I</t>
        </is>
      </c>
      <c r="K988" t="inlineStr"/>
      <c r="L988" t="inlineStr"/>
      <c r="M988" s="30">
        <f>0.005454*F988^2</f>
        <v/>
      </c>
      <c r="N988" s="31">
        <f>IF(D988="BAF20",20/M988,100)</f>
        <v/>
      </c>
      <c r="O988" s="31">
        <f>M988*N988</f>
        <v/>
      </c>
      <c r="P988" s="32">
        <f>110.5*N988</f>
        <v/>
      </c>
    </row>
    <row r="989">
      <c r="A989" t="inlineStr">
        <is>
          <t>U2-27</t>
        </is>
      </c>
      <c r="B989" t="n">
        <v>2</v>
      </c>
      <c r="C989" t="n">
        <v>11</v>
      </c>
      <c r="D989" t="inlineStr">
        <is>
          <t>BAF20</t>
        </is>
      </c>
      <c r="E989" t="inlineStr">
        <is>
          <t>DF</t>
        </is>
      </c>
      <c r="F989" t="n">
        <v>21</v>
      </c>
      <c r="G989" t="n">
        <v>88</v>
      </c>
      <c r="H989" t="n">
        <v>7</v>
      </c>
      <c r="I989" t="inlineStr">
        <is>
          <t>L</t>
        </is>
      </c>
      <c r="J989" t="inlineStr">
        <is>
          <t>C</t>
        </is>
      </c>
      <c r="K989" t="inlineStr"/>
      <c r="L989" t="inlineStr"/>
      <c r="M989" s="30">
        <f>0.005454*F989^2</f>
        <v/>
      </c>
      <c r="N989" s="31">
        <f>IF(D989="BAF20",20/M989,100)</f>
        <v/>
      </c>
      <c r="O989" s="31">
        <f>M989*N989</f>
        <v/>
      </c>
      <c r="P989" s="32">
        <f>356.4*N989</f>
        <v/>
      </c>
    </row>
    <row r="990">
      <c r="A990" t="inlineStr">
        <is>
          <t>U2-27</t>
        </is>
      </c>
      <c r="B990" t="n">
        <v>2</v>
      </c>
      <c r="C990" t="n">
        <v>12</v>
      </c>
      <c r="D990" t="inlineStr">
        <is>
          <t>BAF20</t>
        </is>
      </c>
      <c r="E990" t="inlineStr">
        <is>
          <t>WF</t>
        </is>
      </c>
      <c r="F990" t="n">
        <v>17.7</v>
      </c>
      <c r="G990" t="n">
        <v>83</v>
      </c>
      <c r="H990" t="n">
        <v>2</v>
      </c>
      <c r="I990" t="inlineStr">
        <is>
          <t>L</t>
        </is>
      </c>
      <c r="J990" t="inlineStr">
        <is>
          <t>I</t>
        </is>
      </c>
      <c r="K990" t="inlineStr"/>
      <c r="L990" t="inlineStr"/>
      <c r="M990" s="30">
        <f>0.005454*F990^2</f>
        <v/>
      </c>
      <c r="N990" s="31">
        <f>IF(D990="BAF20",20/M990,100)</f>
        <v/>
      </c>
      <c r="O990" s="31">
        <f>M990*N990</f>
        <v/>
      </c>
      <c r="P990" s="32">
        <f>236.0*N990</f>
        <v/>
      </c>
    </row>
    <row r="991">
      <c r="A991" t="inlineStr">
        <is>
          <t>U2-27</t>
        </is>
      </c>
      <c r="B991" t="n">
        <v>2</v>
      </c>
      <c r="C991" t="n">
        <v>13</v>
      </c>
      <c r="D991" t="inlineStr">
        <is>
          <t>FIX100</t>
        </is>
      </c>
      <c r="E991" t="inlineStr">
        <is>
          <t>WF</t>
        </is>
      </c>
      <c r="F991" t="n">
        <v>4.7</v>
      </c>
      <c r="G991" t="n">
        <v>22</v>
      </c>
      <c r="H991" t="n">
        <v>0</v>
      </c>
      <c r="I991" t="inlineStr">
        <is>
          <t>L</t>
        </is>
      </c>
      <c r="J991" t="inlineStr">
        <is>
          <t>S</t>
        </is>
      </c>
      <c r="K991" t="inlineStr"/>
      <c r="L991" t="inlineStr"/>
      <c r="M991" s="30">
        <f>0.005454*F991^2</f>
        <v/>
      </c>
      <c r="N991" s="31">
        <f>IF(D991="BAF20",20/M991,100)</f>
        <v/>
      </c>
      <c r="O991" s="31">
        <f>M991*N991</f>
        <v/>
      </c>
      <c r="P991" s="32">
        <f>0.0*N991</f>
        <v/>
      </c>
    </row>
    <row r="992">
      <c r="A992" t="inlineStr">
        <is>
          <t>U2-27</t>
        </is>
      </c>
      <c r="B992" t="n">
        <v>2</v>
      </c>
      <c r="C992" t="n">
        <v>14</v>
      </c>
      <c r="D992" t="inlineStr">
        <is>
          <t>FIX100</t>
        </is>
      </c>
      <c r="E992" t="inlineStr">
        <is>
          <t>WF</t>
        </is>
      </c>
      <c r="F992" t="n">
        <v>3.3</v>
      </c>
      <c r="G992" t="n">
        <v>20</v>
      </c>
      <c r="H992" t="n">
        <v>0</v>
      </c>
      <c r="I992" t="inlineStr">
        <is>
          <t>L</t>
        </is>
      </c>
      <c r="J992" t="inlineStr">
        <is>
          <t>S</t>
        </is>
      </c>
      <c r="K992" t="inlineStr"/>
      <c r="L992" t="inlineStr"/>
      <c r="M992" s="30">
        <f>0.005454*F992^2</f>
        <v/>
      </c>
      <c r="N992" s="31">
        <f>IF(D992="BAF20",20/M992,100)</f>
        <v/>
      </c>
      <c r="O992" s="31">
        <f>M992*N992</f>
        <v/>
      </c>
      <c r="P992" s="32">
        <f>0.0*N992</f>
        <v/>
      </c>
    </row>
    <row r="993">
      <c r="A993" t="inlineStr">
        <is>
          <t>U2-27</t>
        </is>
      </c>
      <c r="B993" t="n">
        <v>2</v>
      </c>
      <c r="C993" t="n">
        <v>15</v>
      </c>
      <c r="D993" t="inlineStr">
        <is>
          <t>FIX100</t>
        </is>
      </c>
      <c r="E993" t="inlineStr">
        <is>
          <t>PP</t>
        </is>
      </c>
      <c r="F993" t="n">
        <v>2.6</v>
      </c>
      <c r="G993" t="n">
        <v>15</v>
      </c>
      <c r="H993" t="n">
        <v>0</v>
      </c>
      <c r="I993" t="inlineStr">
        <is>
          <t>L</t>
        </is>
      </c>
      <c r="J993" t="inlineStr">
        <is>
          <t>S</t>
        </is>
      </c>
      <c r="K993" t="inlineStr"/>
      <c r="L993" t="inlineStr"/>
      <c r="M993" s="30">
        <f>0.005454*F993^2</f>
        <v/>
      </c>
      <c r="N993" s="31">
        <f>IF(D993="BAF20",20/M993,100)</f>
        <v/>
      </c>
      <c r="O993" s="31">
        <f>M993*N993</f>
        <v/>
      </c>
      <c r="P993" s="32">
        <f>0.0*N993</f>
        <v/>
      </c>
    </row>
    <row r="994">
      <c r="A994" t="inlineStr">
        <is>
          <t>U2-27</t>
        </is>
      </c>
      <c r="B994" t="n">
        <v>2</v>
      </c>
      <c r="C994" t="n">
        <v>16</v>
      </c>
      <c r="D994" t="inlineStr">
        <is>
          <t>FIX100</t>
        </is>
      </c>
      <c r="E994" t="inlineStr">
        <is>
          <t>PP</t>
        </is>
      </c>
      <c r="F994" t="n">
        <v>2.5</v>
      </c>
      <c r="G994" t="n">
        <v>15</v>
      </c>
      <c r="H994" t="n">
        <v>0</v>
      </c>
      <c r="I994" t="inlineStr">
        <is>
          <t>L</t>
        </is>
      </c>
      <c r="J994" t="inlineStr">
        <is>
          <t>S</t>
        </is>
      </c>
      <c r="K994" t="inlineStr"/>
      <c r="L994" t="inlineStr"/>
      <c r="M994" s="30">
        <f>0.005454*F994^2</f>
        <v/>
      </c>
      <c r="N994" s="31">
        <f>IF(D994="BAF20",20/M994,100)</f>
        <v/>
      </c>
      <c r="O994" s="31">
        <f>M994*N994</f>
        <v/>
      </c>
      <c r="P994" s="32">
        <f>0.0*N994</f>
        <v/>
      </c>
    </row>
    <row r="995">
      <c r="A995" t="inlineStr">
        <is>
          <t>U2-28</t>
        </is>
      </c>
      <c r="B995" t="n">
        <v>2</v>
      </c>
      <c r="C995" t="n">
        <v>1</v>
      </c>
      <c r="D995" t="inlineStr">
        <is>
          <t>BAF20</t>
        </is>
      </c>
      <c r="E995" t="inlineStr">
        <is>
          <t>BO</t>
        </is>
      </c>
      <c r="F995" t="n">
        <v>13.7</v>
      </c>
      <c r="G995" t="n">
        <v>50</v>
      </c>
      <c r="H995" t="n">
        <v>21</v>
      </c>
      <c r="I995" t="inlineStr">
        <is>
          <t>L</t>
        </is>
      </c>
      <c r="J995" t="inlineStr">
        <is>
          <t>I</t>
        </is>
      </c>
      <c r="K995" t="inlineStr"/>
      <c r="L995" t="inlineStr"/>
      <c r="M995" s="30">
        <f>0.005454*F995^2</f>
        <v/>
      </c>
      <c r="N995" s="31">
        <f>IF(D995="BAF20",20/M995,100)</f>
        <v/>
      </c>
      <c r="O995" s="31">
        <f>M995*N995</f>
        <v/>
      </c>
      <c r="P995" s="32">
        <f>57.2*N995</f>
        <v/>
      </c>
    </row>
    <row r="996">
      <c r="A996" t="inlineStr">
        <is>
          <t>U2-28</t>
        </is>
      </c>
      <c r="B996" t="n">
        <v>2</v>
      </c>
      <c r="C996" t="n">
        <v>2</v>
      </c>
      <c r="D996" t="inlineStr">
        <is>
          <t>BAF20</t>
        </is>
      </c>
      <c r="E996" t="inlineStr">
        <is>
          <t>BO</t>
        </is>
      </c>
      <c r="F996" t="n">
        <v>24</v>
      </c>
      <c r="G996" t="n">
        <v>56</v>
      </c>
      <c r="H996" t="n">
        <v>37</v>
      </c>
      <c r="I996" t="inlineStr">
        <is>
          <t>L</t>
        </is>
      </c>
      <c r="J996" t="inlineStr">
        <is>
          <t>C</t>
        </is>
      </c>
      <c r="K996" t="inlineStr"/>
      <c r="L996" t="inlineStr"/>
      <c r="M996" s="30">
        <f>0.005454*F996^2</f>
        <v/>
      </c>
      <c r="N996" s="31">
        <f>IF(D996="BAF20",20/M996,100)</f>
        <v/>
      </c>
      <c r="O996" s="31">
        <f>M996*N996</f>
        <v/>
      </c>
      <c r="P996" s="32">
        <f>191.8*N996</f>
        <v/>
      </c>
    </row>
    <row r="997">
      <c r="A997" t="inlineStr">
        <is>
          <t>U2-28</t>
        </is>
      </c>
      <c r="B997" t="n">
        <v>2</v>
      </c>
      <c r="C997" t="n">
        <v>3</v>
      </c>
      <c r="D997" t="inlineStr">
        <is>
          <t>BAF20</t>
        </is>
      </c>
      <c r="E997" t="inlineStr">
        <is>
          <t>DF</t>
        </is>
      </c>
      <c r="F997" t="n">
        <v>13.1</v>
      </c>
      <c r="G997" t="n">
        <v>71</v>
      </c>
      <c r="H997" t="n">
        <v>5</v>
      </c>
      <c r="I997" t="inlineStr">
        <is>
          <t>L</t>
        </is>
      </c>
      <c r="J997" t="inlineStr">
        <is>
          <t>S</t>
        </is>
      </c>
      <c r="K997" t="inlineStr"/>
      <c r="L997" t="inlineStr"/>
      <c r="M997" s="30">
        <f>0.005454*F997^2</f>
        <v/>
      </c>
      <c r="N997" s="31">
        <f>IF(D997="BAF20",20/M997,100)</f>
        <v/>
      </c>
      <c r="O997" s="31">
        <f>M997*N997</f>
        <v/>
      </c>
      <c r="P997" s="32">
        <f>97.3*N997</f>
        <v/>
      </c>
    </row>
    <row r="998">
      <c r="A998" t="inlineStr">
        <is>
          <t>U2-28</t>
        </is>
      </c>
      <c r="B998" t="n">
        <v>2</v>
      </c>
      <c r="C998" t="n">
        <v>4</v>
      </c>
      <c r="D998" t="inlineStr">
        <is>
          <t>BAF20</t>
        </is>
      </c>
      <c r="E998" t="inlineStr">
        <is>
          <t>BO</t>
        </is>
      </c>
      <c r="F998" t="n">
        <v>26.6</v>
      </c>
      <c r="G998" t="n">
        <v>67</v>
      </c>
      <c r="H998" t="n">
        <v>100</v>
      </c>
      <c r="I998" t="inlineStr">
        <is>
          <t>D</t>
        </is>
      </c>
      <c r="J998" t="inlineStr">
        <is>
          <t>D</t>
        </is>
      </c>
      <c r="K998" t="inlineStr"/>
      <c r="L998" t="inlineStr"/>
      <c r="M998" s="30">
        <f>0.005454*F998^2</f>
        <v/>
      </c>
      <c r="N998" s="31">
        <f>IF(D998="BAF20",20/M998,100)</f>
        <v/>
      </c>
      <c r="O998" s="31">
        <f>M998*N998</f>
        <v/>
      </c>
      <c r="P998" s="32">
        <f>0.0*N998</f>
        <v/>
      </c>
    </row>
    <row r="999">
      <c r="A999" t="inlineStr">
        <is>
          <t>U2-28</t>
        </is>
      </c>
      <c r="B999" t="n">
        <v>2</v>
      </c>
      <c r="C999" t="n">
        <v>5</v>
      </c>
      <c r="D999" t="inlineStr">
        <is>
          <t>BAF20</t>
        </is>
      </c>
      <c r="E999" t="inlineStr">
        <is>
          <t>DF</t>
        </is>
      </c>
      <c r="F999" t="n">
        <v>23.2</v>
      </c>
      <c r="G999" t="n">
        <v>98</v>
      </c>
      <c r="H999" t="n">
        <v>4</v>
      </c>
      <c r="I999" t="inlineStr">
        <is>
          <t>L</t>
        </is>
      </c>
      <c r="J999" t="inlineStr">
        <is>
          <t>C</t>
        </is>
      </c>
      <c r="K999" t="inlineStr"/>
      <c r="L999" t="inlineStr"/>
      <c r="M999" s="30">
        <f>0.005454*F999^2</f>
        <v/>
      </c>
      <c r="N999" s="31">
        <f>IF(D999="BAF20",20/M999,100)</f>
        <v/>
      </c>
      <c r="O999" s="31">
        <f>M999*N999</f>
        <v/>
      </c>
      <c r="P999" s="32">
        <f>520.7*N999</f>
        <v/>
      </c>
    </row>
    <row r="1000">
      <c r="A1000" t="inlineStr">
        <is>
          <t>U2-28</t>
        </is>
      </c>
      <c r="B1000" t="n">
        <v>2</v>
      </c>
      <c r="C1000" t="n">
        <v>6</v>
      </c>
      <c r="D1000" t="inlineStr">
        <is>
          <t>BAF20</t>
        </is>
      </c>
      <c r="E1000" t="inlineStr">
        <is>
          <t>DF</t>
        </is>
      </c>
      <c r="F1000" t="n">
        <v>5.3</v>
      </c>
      <c r="G1000" t="n">
        <v>35</v>
      </c>
      <c r="H1000" t="n">
        <v>4</v>
      </c>
      <c r="I1000" t="inlineStr">
        <is>
          <t>L</t>
        </is>
      </c>
      <c r="J1000" t="inlineStr">
        <is>
          <t>S</t>
        </is>
      </c>
      <c r="K1000" t="inlineStr">
        <is>
          <t>Y</t>
        </is>
      </c>
      <c r="L1000" t="inlineStr"/>
      <c r="M1000" s="30">
        <f>0.005454*F1000^2</f>
        <v/>
      </c>
      <c r="N1000" s="31">
        <f>IF(D1000="BAF20",20/M1000,100)</f>
        <v/>
      </c>
      <c r="O1000" s="31">
        <f>M1000*N1000</f>
        <v/>
      </c>
      <c r="P1000" s="32">
        <f>0.0*N1000</f>
        <v/>
      </c>
    </row>
    <row r="1001">
      <c r="A1001" t="inlineStr">
        <is>
          <t>U2-28</t>
        </is>
      </c>
      <c r="B1001" t="n">
        <v>2</v>
      </c>
      <c r="C1001" t="n">
        <v>7</v>
      </c>
      <c r="D1001" t="inlineStr">
        <is>
          <t>BAF20</t>
        </is>
      </c>
      <c r="E1001" t="inlineStr">
        <is>
          <t>PP</t>
        </is>
      </c>
      <c r="F1001" t="n">
        <v>24.2</v>
      </c>
      <c r="G1001" t="n">
        <v>104</v>
      </c>
      <c r="H1001" t="n">
        <v>2</v>
      </c>
      <c r="I1001" t="inlineStr">
        <is>
          <t>L</t>
        </is>
      </c>
      <c r="J1001" t="inlineStr">
        <is>
          <t>C</t>
        </is>
      </c>
      <c r="K1001" t="inlineStr"/>
      <c r="L1001" t="inlineStr"/>
      <c r="M1001" s="30">
        <f>0.005454*F1001^2</f>
        <v/>
      </c>
      <c r="N1001" s="31">
        <f>IF(D1001="BAF20",20/M1001,100)</f>
        <v/>
      </c>
      <c r="O1001" s="31">
        <f>M1001*N1001</f>
        <v/>
      </c>
      <c r="P1001" s="32">
        <f>624.9*N1001</f>
        <v/>
      </c>
    </row>
    <row r="1002">
      <c r="A1002" t="inlineStr">
        <is>
          <t>U2-28</t>
        </is>
      </c>
      <c r="B1002" t="n">
        <v>2</v>
      </c>
      <c r="C1002" t="n">
        <v>8</v>
      </c>
      <c r="D1002" t="inlineStr">
        <is>
          <t>BAF20</t>
        </is>
      </c>
      <c r="E1002" t="inlineStr">
        <is>
          <t>BO</t>
        </is>
      </c>
      <c r="F1002" t="n">
        <v>31.5</v>
      </c>
      <c r="G1002" t="n">
        <v>81</v>
      </c>
      <c r="H1002" t="n">
        <v>100</v>
      </c>
      <c r="I1002" t="inlineStr">
        <is>
          <t>D</t>
        </is>
      </c>
      <c r="J1002" t="inlineStr">
        <is>
          <t>D</t>
        </is>
      </c>
      <c r="K1002" t="inlineStr"/>
      <c r="L1002" t="inlineStr"/>
      <c r="M1002" s="30">
        <f>0.005454*F1002^2</f>
        <v/>
      </c>
      <c r="N1002" s="31">
        <f>IF(D1002="BAF20",20/M1002,100)</f>
        <v/>
      </c>
      <c r="O1002" s="31">
        <f>M1002*N1002</f>
        <v/>
      </c>
      <c r="P1002" s="32">
        <f>0.0*N1002</f>
        <v/>
      </c>
    </row>
    <row r="1003">
      <c r="A1003" t="inlineStr">
        <is>
          <t>U2-28</t>
        </is>
      </c>
      <c r="B1003" t="n">
        <v>2</v>
      </c>
      <c r="C1003" t="n">
        <v>9</v>
      </c>
      <c r="D1003" t="inlineStr">
        <is>
          <t>BAF20</t>
        </is>
      </c>
      <c r="E1003" t="inlineStr">
        <is>
          <t>PP</t>
        </is>
      </c>
      <c r="F1003" t="n">
        <v>12.5</v>
      </c>
      <c r="G1003" t="n">
        <v>53</v>
      </c>
      <c r="H1003" t="n">
        <v>9</v>
      </c>
      <c r="I1003" t="inlineStr">
        <is>
          <t>L</t>
        </is>
      </c>
      <c r="J1003" t="inlineStr">
        <is>
          <t>S</t>
        </is>
      </c>
      <c r="K1003" t="inlineStr">
        <is>
          <t>Y</t>
        </is>
      </c>
      <c r="L1003" t="inlineStr"/>
      <c r="M1003" s="30">
        <f>0.005454*F1003^2</f>
        <v/>
      </c>
      <c r="N1003" s="31">
        <f>IF(D1003="BAF20",20/M1003,100)</f>
        <v/>
      </c>
      <c r="O1003" s="31">
        <f>M1003*N1003</f>
        <v/>
      </c>
      <c r="P1003" s="32">
        <f>62.5*N1003</f>
        <v/>
      </c>
    </row>
    <row r="1004">
      <c r="A1004" t="inlineStr">
        <is>
          <t>U2-28</t>
        </is>
      </c>
      <c r="B1004" t="n">
        <v>2</v>
      </c>
      <c r="C1004" t="n">
        <v>10</v>
      </c>
      <c r="D1004" t="inlineStr">
        <is>
          <t>BAF20</t>
        </is>
      </c>
      <c r="E1004" t="inlineStr">
        <is>
          <t>IC</t>
        </is>
      </c>
      <c r="F1004" t="n">
        <v>20.6</v>
      </c>
      <c r="G1004" t="n">
        <v>67</v>
      </c>
      <c r="H1004" t="n">
        <v>2</v>
      </c>
      <c r="I1004" t="inlineStr">
        <is>
          <t>L</t>
        </is>
      </c>
      <c r="J1004" t="inlineStr">
        <is>
          <t>C</t>
        </is>
      </c>
      <c r="K1004" t="inlineStr"/>
      <c r="L1004" t="inlineStr"/>
      <c r="M1004" s="30">
        <f>0.005454*F1004^2</f>
        <v/>
      </c>
      <c r="N1004" s="31">
        <f>IF(D1004="BAF20",20/M1004,100)</f>
        <v/>
      </c>
      <c r="O1004" s="31">
        <f>M1004*N1004</f>
        <v/>
      </c>
      <c r="P1004" s="32">
        <f>273.1*N1004</f>
        <v/>
      </c>
    </row>
    <row r="1005">
      <c r="A1005" t="inlineStr">
        <is>
          <t>U2-28</t>
        </is>
      </c>
      <c r="B1005" t="n">
        <v>2</v>
      </c>
      <c r="C1005" t="n">
        <v>11</v>
      </c>
      <c r="D1005" t="inlineStr">
        <is>
          <t>BAF20</t>
        </is>
      </c>
      <c r="E1005" t="inlineStr">
        <is>
          <t>BO</t>
        </is>
      </c>
      <c r="F1005" t="n">
        <v>18.3</v>
      </c>
      <c r="G1005" t="n">
        <v>53</v>
      </c>
      <c r="H1005" t="n">
        <v>6</v>
      </c>
      <c r="I1005" t="inlineStr">
        <is>
          <t>L</t>
        </is>
      </c>
      <c r="J1005" t="inlineStr">
        <is>
          <t>I</t>
        </is>
      </c>
      <c r="K1005" t="inlineStr"/>
      <c r="L1005" t="inlineStr"/>
      <c r="M1005" s="30">
        <f>0.005454*F1005^2</f>
        <v/>
      </c>
      <c r="N1005" s="31">
        <f>IF(D1005="BAF20",20/M1005,100)</f>
        <v/>
      </c>
      <c r="O1005" s="31">
        <f>M1005*N1005</f>
        <v/>
      </c>
      <c r="P1005" s="32">
        <f>141.5*N1005</f>
        <v/>
      </c>
    </row>
    <row r="1006">
      <c r="A1006" t="inlineStr">
        <is>
          <t>U2-28</t>
        </is>
      </c>
      <c r="B1006" t="n">
        <v>2</v>
      </c>
      <c r="C1006" t="n">
        <v>12</v>
      </c>
      <c r="D1006" t="inlineStr">
        <is>
          <t>FIX100</t>
        </is>
      </c>
      <c r="E1006" t="inlineStr">
        <is>
          <t>DF</t>
        </is>
      </c>
      <c r="F1006" t="n">
        <v>1.4</v>
      </c>
      <c r="G1006" t="n">
        <v>12</v>
      </c>
      <c r="H1006" t="n">
        <v>0</v>
      </c>
      <c r="I1006" t="inlineStr">
        <is>
          <t>L</t>
        </is>
      </c>
      <c r="J1006" t="inlineStr">
        <is>
          <t>S</t>
        </is>
      </c>
      <c r="K1006" t="inlineStr"/>
      <c r="L1006" t="inlineStr"/>
      <c r="M1006" s="30">
        <f>0.005454*F1006^2</f>
        <v/>
      </c>
      <c r="N1006" s="31">
        <f>IF(D1006="BAF20",20/M1006,100)</f>
        <v/>
      </c>
      <c r="O1006" s="31">
        <f>M1006*N1006</f>
        <v/>
      </c>
      <c r="P1006" s="32">
        <f>0.0*N1006</f>
        <v/>
      </c>
    </row>
    <row r="1007">
      <c r="A1007" t="inlineStr">
        <is>
          <t>U2-28</t>
        </is>
      </c>
      <c r="B1007" t="n">
        <v>2</v>
      </c>
      <c r="C1007" t="n">
        <v>13</v>
      </c>
      <c r="D1007" t="inlineStr">
        <is>
          <t>FIX100</t>
        </is>
      </c>
      <c r="E1007" t="inlineStr">
        <is>
          <t>BO</t>
        </is>
      </c>
      <c r="F1007" t="n">
        <v>4.3</v>
      </c>
      <c r="G1007" t="n">
        <v>22</v>
      </c>
      <c r="H1007" t="n">
        <v>0</v>
      </c>
      <c r="I1007" t="inlineStr">
        <is>
          <t>L</t>
        </is>
      </c>
      <c r="J1007" t="inlineStr">
        <is>
          <t>S</t>
        </is>
      </c>
      <c r="K1007" t="inlineStr"/>
      <c r="L1007" t="inlineStr"/>
      <c r="M1007" s="30">
        <f>0.005454*F1007^2</f>
        <v/>
      </c>
      <c r="N1007" s="31">
        <f>IF(D1007="BAF20",20/M1007,100)</f>
        <v/>
      </c>
      <c r="O1007" s="31">
        <f>M1007*N1007</f>
        <v/>
      </c>
      <c r="P1007" s="32">
        <f>0.0*N1007</f>
        <v/>
      </c>
    </row>
    <row r="1008">
      <c r="A1008" t="inlineStr">
        <is>
          <t>U2-28</t>
        </is>
      </c>
      <c r="B1008" t="n">
        <v>2</v>
      </c>
      <c r="C1008" t="n">
        <v>14</v>
      </c>
      <c r="D1008" t="inlineStr">
        <is>
          <t>FIX100</t>
        </is>
      </c>
      <c r="E1008" t="inlineStr">
        <is>
          <t>PP</t>
        </is>
      </c>
      <c r="F1008" t="n">
        <v>1.7</v>
      </c>
      <c r="G1008" t="n">
        <v>12</v>
      </c>
      <c r="H1008" t="n">
        <v>0</v>
      </c>
      <c r="I1008" t="inlineStr">
        <is>
          <t>L</t>
        </is>
      </c>
      <c r="J1008" t="inlineStr">
        <is>
          <t>S</t>
        </is>
      </c>
      <c r="K1008" t="inlineStr"/>
      <c r="L1008" t="inlineStr"/>
      <c r="M1008" s="30">
        <f>0.005454*F1008^2</f>
        <v/>
      </c>
      <c r="N1008" s="31">
        <f>IF(D1008="BAF20",20/M1008,100)</f>
        <v/>
      </c>
      <c r="O1008" s="31">
        <f>M1008*N1008</f>
        <v/>
      </c>
      <c r="P1008" s="32">
        <f>0.0*N1008</f>
        <v/>
      </c>
    </row>
    <row r="1009">
      <c r="A1009" t="inlineStr">
        <is>
          <t>U2-28</t>
        </is>
      </c>
      <c r="B1009" t="n">
        <v>2</v>
      </c>
      <c r="C1009" t="n">
        <v>15</v>
      </c>
      <c r="D1009" t="inlineStr">
        <is>
          <t>FIX100</t>
        </is>
      </c>
      <c r="E1009" t="inlineStr">
        <is>
          <t>PP</t>
        </is>
      </c>
      <c r="F1009" t="n">
        <v>1.6</v>
      </c>
      <c r="G1009" t="n">
        <v>12</v>
      </c>
      <c r="H1009" t="n">
        <v>0</v>
      </c>
      <c r="I1009" t="inlineStr">
        <is>
          <t>L</t>
        </is>
      </c>
      <c r="J1009" t="inlineStr">
        <is>
          <t>S</t>
        </is>
      </c>
      <c r="K1009" t="inlineStr"/>
      <c r="L1009" t="inlineStr"/>
      <c r="M1009" s="30">
        <f>0.005454*F1009^2</f>
        <v/>
      </c>
      <c r="N1009" s="31">
        <f>IF(D1009="BAF20",20/M1009,100)</f>
        <v/>
      </c>
      <c r="O1009" s="31">
        <f>M1009*N1009</f>
        <v/>
      </c>
      <c r="P1009" s="32">
        <f>0.0*N1009</f>
        <v/>
      </c>
    </row>
    <row r="1010">
      <c r="A1010" t="inlineStr">
        <is>
          <t>U2-28</t>
        </is>
      </c>
      <c r="B1010" t="n">
        <v>2</v>
      </c>
      <c r="C1010" t="n">
        <v>16</v>
      </c>
      <c r="D1010" t="inlineStr">
        <is>
          <t>FIX100</t>
        </is>
      </c>
      <c r="E1010" t="inlineStr">
        <is>
          <t>BO</t>
        </is>
      </c>
      <c r="F1010" t="n">
        <v>1.6</v>
      </c>
      <c r="G1010" t="n">
        <v>9</v>
      </c>
      <c r="H1010" t="n">
        <v>0</v>
      </c>
      <c r="I1010" t="inlineStr">
        <is>
          <t>L</t>
        </is>
      </c>
      <c r="J1010" t="inlineStr">
        <is>
          <t>S</t>
        </is>
      </c>
      <c r="K1010" t="inlineStr"/>
      <c r="L1010" t="inlineStr"/>
      <c r="M1010" s="30">
        <f>0.005454*F1010^2</f>
        <v/>
      </c>
      <c r="N1010" s="31">
        <f>IF(D1010="BAF20",20/M1010,100)</f>
        <v/>
      </c>
      <c r="O1010" s="31">
        <f>M1010*N1010</f>
        <v/>
      </c>
      <c r="P1010" s="32">
        <f>0.0*N1010</f>
        <v/>
      </c>
    </row>
    <row r="1011">
      <c r="A1011" t="inlineStr">
        <is>
          <t>U2-28</t>
        </is>
      </c>
      <c r="B1011" t="n">
        <v>2</v>
      </c>
      <c r="C1011" t="n">
        <v>17</v>
      </c>
      <c r="D1011" t="inlineStr">
        <is>
          <t>FIX100</t>
        </is>
      </c>
      <c r="E1011" t="inlineStr">
        <is>
          <t>IC</t>
        </is>
      </c>
      <c r="F1011" t="n">
        <v>4</v>
      </c>
      <c r="G1011" t="n">
        <v>16</v>
      </c>
      <c r="H1011" t="n">
        <v>0</v>
      </c>
      <c r="I1011" t="inlineStr">
        <is>
          <t>L</t>
        </is>
      </c>
      <c r="J1011" t="inlineStr">
        <is>
          <t>S</t>
        </is>
      </c>
      <c r="K1011" t="inlineStr"/>
      <c r="L1011" t="inlineStr"/>
      <c r="M1011" s="30">
        <f>0.005454*F1011^2</f>
        <v/>
      </c>
      <c r="N1011" s="31">
        <f>IF(D1011="BAF20",20/M1011,100)</f>
        <v/>
      </c>
      <c r="O1011" s="31">
        <f>M1011*N1011</f>
        <v/>
      </c>
      <c r="P1011" s="32">
        <f>0.0*N1011</f>
        <v/>
      </c>
    </row>
    <row r="1012">
      <c r="A1012" t="inlineStr">
        <is>
          <t>U2-29</t>
        </is>
      </c>
      <c r="B1012" t="n">
        <v>2</v>
      </c>
      <c r="C1012" t="n">
        <v>1</v>
      </c>
      <c r="D1012" t="inlineStr">
        <is>
          <t>BAF20</t>
        </is>
      </c>
      <c r="E1012" t="inlineStr">
        <is>
          <t>DF</t>
        </is>
      </c>
      <c r="F1012" t="n">
        <v>27.9</v>
      </c>
      <c r="G1012" t="n">
        <v>111</v>
      </c>
      <c r="H1012" t="n">
        <v>6</v>
      </c>
      <c r="I1012" t="inlineStr">
        <is>
          <t>L</t>
        </is>
      </c>
      <c r="J1012" t="inlineStr">
        <is>
          <t>D</t>
        </is>
      </c>
      <c r="K1012" t="inlineStr"/>
      <c r="L1012" t="inlineStr"/>
      <c r="M1012" s="30">
        <f>0.005454*F1012^2</f>
        <v/>
      </c>
      <c r="N1012" s="31">
        <f>IF(D1012="BAF20",20/M1012,100)</f>
        <v/>
      </c>
      <c r="O1012" s="31">
        <f>M1012*N1012</f>
        <v/>
      </c>
      <c r="P1012" s="32">
        <f>906.0*N1012</f>
        <v/>
      </c>
    </row>
    <row r="1013">
      <c r="A1013" t="inlineStr">
        <is>
          <t>U2-29</t>
        </is>
      </c>
      <c r="B1013" t="n">
        <v>2</v>
      </c>
      <c r="C1013" t="n">
        <v>2</v>
      </c>
      <c r="D1013" t="inlineStr">
        <is>
          <t>BAF20</t>
        </is>
      </c>
      <c r="E1013" t="inlineStr">
        <is>
          <t>DF</t>
        </is>
      </c>
      <c r="F1013" t="n">
        <v>13.3</v>
      </c>
      <c r="G1013" t="n">
        <v>73</v>
      </c>
      <c r="H1013" t="n">
        <v>10</v>
      </c>
      <c r="I1013" t="inlineStr">
        <is>
          <t>L</t>
        </is>
      </c>
      <c r="J1013" t="inlineStr">
        <is>
          <t>S</t>
        </is>
      </c>
      <c r="K1013" t="inlineStr"/>
      <c r="L1013" t="inlineStr"/>
      <c r="M1013" s="30">
        <f>0.005454*F1013^2</f>
        <v/>
      </c>
      <c r="N1013" s="31">
        <f>IF(D1013="BAF20",20/M1013,100)</f>
        <v/>
      </c>
      <c r="O1013" s="31">
        <f>M1013*N1013</f>
        <v/>
      </c>
      <c r="P1013" s="32">
        <f>98.2*N1013</f>
        <v/>
      </c>
    </row>
    <row r="1014">
      <c r="A1014" t="inlineStr">
        <is>
          <t>U2-29</t>
        </is>
      </c>
      <c r="B1014" t="n">
        <v>2</v>
      </c>
      <c r="C1014" t="n">
        <v>3</v>
      </c>
      <c r="D1014" t="inlineStr">
        <is>
          <t>BAF20</t>
        </is>
      </c>
      <c r="E1014" t="inlineStr">
        <is>
          <t>IC</t>
        </is>
      </c>
      <c r="F1014" t="n">
        <v>21.7</v>
      </c>
      <c r="G1014" t="n">
        <v>71</v>
      </c>
      <c r="H1014" t="n">
        <v>4</v>
      </c>
      <c r="I1014" t="inlineStr">
        <is>
          <t>L</t>
        </is>
      </c>
      <c r="J1014" t="inlineStr">
        <is>
          <t>C</t>
        </is>
      </c>
      <c r="K1014" t="inlineStr"/>
      <c r="L1014" t="inlineStr"/>
      <c r="M1014" s="30">
        <f>0.005454*F1014^2</f>
        <v/>
      </c>
      <c r="N1014" s="31">
        <f>IF(D1014="BAF20",20/M1014,100)</f>
        <v/>
      </c>
      <c r="O1014" s="31">
        <f>M1014*N1014</f>
        <v/>
      </c>
      <c r="P1014" s="32">
        <f>321.1*N1014</f>
        <v/>
      </c>
    </row>
    <row r="1015">
      <c r="A1015" t="inlineStr">
        <is>
          <t>U2-29</t>
        </is>
      </c>
      <c r="B1015" t="n">
        <v>2</v>
      </c>
      <c r="C1015" t="n">
        <v>4</v>
      </c>
      <c r="D1015" t="inlineStr">
        <is>
          <t>BAF20</t>
        </is>
      </c>
      <c r="E1015" t="inlineStr">
        <is>
          <t>BO</t>
        </is>
      </c>
      <c r="F1015" t="n">
        <v>5</v>
      </c>
      <c r="G1015" t="n">
        <v>23</v>
      </c>
      <c r="H1015" t="n">
        <v>60</v>
      </c>
      <c r="I1015" t="inlineStr">
        <is>
          <t>L</t>
        </is>
      </c>
      <c r="J1015" t="inlineStr">
        <is>
          <t>S</t>
        </is>
      </c>
      <c r="K1015" t="inlineStr">
        <is>
          <t>Y</t>
        </is>
      </c>
      <c r="L1015" t="inlineStr"/>
      <c r="M1015" s="30">
        <f>0.005454*F1015^2</f>
        <v/>
      </c>
      <c r="N1015" s="31">
        <f>IF(D1015="BAF20",20/M1015,100)</f>
        <v/>
      </c>
      <c r="O1015" s="31">
        <f>M1015*N1015</f>
        <v/>
      </c>
      <c r="P1015" s="32">
        <f>0.0*N1015</f>
        <v/>
      </c>
    </row>
    <row r="1016">
      <c r="A1016" t="inlineStr">
        <is>
          <t>U2-29</t>
        </is>
      </c>
      <c r="B1016" t="n">
        <v>2</v>
      </c>
      <c r="C1016" t="n">
        <v>5</v>
      </c>
      <c r="D1016" t="inlineStr">
        <is>
          <t>BAF20</t>
        </is>
      </c>
      <c r="E1016" t="inlineStr">
        <is>
          <t>WF</t>
        </is>
      </c>
      <c r="F1016" t="n">
        <v>29.3</v>
      </c>
      <c r="G1016" t="n">
        <v>122</v>
      </c>
      <c r="H1016" t="n">
        <v>2</v>
      </c>
      <c r="I1016" t="inlineStr">
        <is>
          <t>L</t>
        </is>
      </c>
      <c r="J1016" t="inlineStr">
        <is>
          <t>D</t>
        </is>
      </c>
      <c r="K1016" t="inlineStr"/>
      <c r="L1016" t="inlineStr"/>
      <c r="M1016" s="30">
        <f>0.005454*F1016^2</f>
        <v/>
      </c>
      <c r="N1016" s="31">
        <f>IF(D1016="BAF20",20/M1016,100)</f>
        <v/>
      </c>
      <c r="O1016" s="31">
        <f>M1016*N1016</f>
        <v/>
      </c>
      <c r="P1016" s="32">
        <f>1171.7*N1016</f>
        <v/>
      </c>
    </row>
    <row r="1017">
      <c r="A1017" t="inlineStr">
        <is>
          <t>U2-29</t>
        </is>
      </c>
      <c r="B1017" t="n">
        <v>2</v>
      </c>
      <c r="C1017" t="n">
        <v>6</v>
      </c>
      <c r="D1017" t="inlineStr">
        <is>
          <t>BAF20</t>
        </is>
      </c>
      <c r="E1017" t="inlineStr">
        <is>
          <t>WF</t>
        </is>
      </c>
      <c r="F1017" t="n">
        <v>35.4</v>
      </c>
      <c r="G1017" t="n">
        <v>119</v>
      </c>
      <c r="H1017" t="n">
        <v>13</v>
      </c>
      <c r="I1017" t="inlineStr">
        <is>
          <t>L</t>
        </is>
      </c>
      <c r="J1017" t="inlineStr">
        <is>
          <t>D</t>
        </is>
      </c>
      <c r="K1017" t="inlineStr"/>
      <c r="L1017" t="inlineStr"/>
      <c r="M1017" s="30">
        <f>0.005454*F1017^2</f>
        <v/>
      </c>
      <c r="N1017" s="31">
        <f>IF(D1017="BAF20",20/M1017,100)</f>
        <v/>
      </c>
      <c r="O1017" s="31">
        <f>M1017*N1017</f>
        <v/>
      </c>
      <c r="P1017" s="32">
        <f>1627.8*N1017</f>
        <v/>
      </c>
    </row>
    <row r="1018">
      <c r="A1018" t="inlineStr">
        <is>
          <t>U2-29</t>
        </is>
      </c>
      <c r="B1018" t="n">
        <v>2</v>
      </c>
      <c r="C1018" t="n">
        <v>7</v>
      </c>
      <c r="D1018" t="inlineStr">
        <is>
          <t>BAF20</t>
        </is>
      </c>
      <c r="E1018" t="inlineStr">
        <is>
          <t>PP</t>
        </is>
      </c>
      <c r="F1018" t="n">
        <v>14</v>
      </c>
      <c r="G1018" t="n">
        <v>57</v>
      </c>
      <c r="H1018" t="n">
        <v>1</v>
      </c>
      <c r="I1018" t="inlineStr">
        <is>
          <t>L</t>
        </is>
      </c>
      <c r="J1018" t="inlineStr">
        <is>
          <t>I</t>
        </is>
      </c>
      <c r="K1018" t="inlineStr"/>
      <c r="L1018" t="inlineStr"/>
      <c r="M1018" s="30">
        <f>0.005454*F1018^2</f>
        <v/>
      </c>
      <c r="N1018" s="31">
        <f>IF(D1018="BAF20",20/M1018,100)</f>
        <v/>
      </c>
      <c r="O1018" s="31">
        <f>M1018*N1018</f>
        <v/>
      </c>
      <c r="P1018" s="32">
        <f>94.9*N1018</f>
        <v/>
      </c>
    </row>
    <row r="1019">
      <c r="A1019" t="inlineStr">
        <is>
          <t>U2-29</t>
        </is>
      </c>
      <c r="B1019" t="n">
        <v>2</v>
      </c>
      <c r="C1019" t="n">
        <v>8</v>
      </c>
      <c r="D1019" t="inlineStr">
        <is>
          <t>BAF20</t>
        </is>
      </c>
      <c r="E1019" t="inlineStr">
        <is>
          <t>IC</t>
        </is>
      </c>
      <c r="F1019" t="n">
        <v>16.9</v>
      </c>
      <c r="G1019" t="n">
        <v>63</v>
      </c>
      <c r="H1019" t="n">
        <v>13</v>
      </c>
      <c r="I1019" t="inlineStr">
        <is>
          <t>L</t>
        </is>
      </c>
      <c r="J1019" t="inlineStr">
        <is>
          <t>I</t>
        </is>
      </c>
      <c r="K1019" t="inlineStr"/>
      <c r="L1019" t="inlineStr"/>
      <c r="M1019" s="30">
        <f>0.005454*F1019^2</f>
        <v/>
      </c>
      <c r="N1019" s="31">
        <f>IF(D1019="BAF20",20/M1019,100)</f>
        <v/>
      </c>
      <c r="O1019" s="31">
        <f>M1019*N1019</f>
        <v/>
      </c>
      <c r="P1019" s="32">
        <f>142.7*N1019</f>
        <v/>
      </c>
    </row>
    <row r="1020">
      <c r="A1020" t="inlineStr">
        <is>
          <t>U2-29</t>
        </is>
      </c>
      <c r="B1020" t="n">
        <v>2</v>
      </c>
      <c r="C1020" t="n">
        <v>9</v>
      </c>
      <c r="D1020" t="inlineStr">
        <is>
          <t>BAF20</t>
        </is>
      </c>
      <c r="E1020" t="inlineStr">
        <is>
          <t>PP</t>
        </is>
      </c>
      <c r="F1020" t="n">
        <v>25.2</v>
      </c>
      <c r="G1020" t="n">
        <v>114</v>
      </c>
      <c r="H1020" t="n">
        <v>8</v>
      </c>
      <c r="I1020" t="inlineStr">
        <is>
          <t>L</t>
        </is>
      </c>
      <c r="J1020" t="inlineStr">
        <is>
          <t>C</t>
        </is>
      </c>
      <c r="K1020" t="inlineStr"/>
      <c r="L1020" t="inlineStr"/>
      <c r="M1020" s="30">
        <f>0.005454*F1020^2</f>
        <v/>
      </c>
      <c r="N1020" s="31">
        <f>IF(D1020="BAF20",20/M1020,100)</f>
        <v/>
      </c>
      <c r="O1020" s="31">
        <f>M1020*N1020</f>
        <v/>
      </c>
      <c r="P1020" s="32">
        <f>709.6*N1020</f>
        <v/>
      </c>
    </row>
    <row r="1021">
      <c r="A1021" t="inlineStr">
        <is>
          <t>U2-29</t>
        </is>
      </c>
      <c r="B1021" t="n">
        <v>2</v>
      </c>
      <c r="C1021" t="n">
        <v>10</v>
      </c>
      <c r="D1021" t="inlineStr">
        <is>
          <t>BAF20</t>
        </is>
      </c>
      <c r="E1021" t="inlineStr">
        <is>
          <t>WF</t>
        </is>
      </c>
      <c r="F1021" t="n">
        <v>6.6</v>
      </c>
      <c r="G1021" t="n">
        <v>37</v>
      </c>
      <c r="H1021" t="n">
        <v>10</v>
      </c>
      <c r="I1021" t="inlineStr">
        <is>
          <t>L</t>
        </is>
      </c>
      <c r="J1021" t="inlineStr">
        <is>
          <t>S</t>
        </is>
      </c>
      <c r="K1021" t="inlineStr">
        <is>
          <t>Y</t>
        </is>
      </c>
      <c r="L1021" t="inlineStr"/>
      <c r="M1021" s="30">
        <f>0.005454*F1021^2</f>
        <v/>
      </c>
      <c r="N1021" s="31">
        <f>IF(D1021="BAF20",20/M1021,100)</f>
        <v/>
      </c>
      <c r="O1021" s="31">
        <f>M1021*N1021</f>
        <v/>
      </c>
      <c r="P1021" s="32">
        <f>0.0*N1021</f>
        <v/>
      </c>
    </row>
    <row r="1022">
      <c r="A1022" t="inlineStr">
        <is>
          <t>U2-29</t>
        </is>
      </c>
      <c r="B1022" t="n">
        <v>2</v>
      </c>
      <c r="C1022" t="n">
        <v>11</v>
      </c>
      <c r="D1022" t="inlineStr">
        <is>
          <t>BAF20</t>
        </is>
      </c>
      <c r="E1022" t="inlineStr">
        <is>
          <t>PP</t>
        </is>
      </c>
      <c r="F1022" t="n">
        <v>19.6</v>
      </c>
      <c r="G1022" t="n">
        <v>97</v>
      </c>
      <c r="H1022" t="n">
        <v>1</v>
      </c>
      <c r="I1022" t="inlineStr">
        <is>
          <t>L</t>
        </is>
      </c>
      <c r="J1022" t="inlineStr">
        <is>
          <t>C</t>
        </is>
      </c>
      <c r="K1022" t="inlineStr"/>
      <c r="L1022" t="inlineStr"/>
      <c r="M1022" s="30">
        <f>0.005454*F1022^2</f>
        <v/>
      </c>
      <c r="N1022" s="31">
        <f>IF(D1022="BAF20",20/M1022,100)</f>
        <v/>
      </c>
      <c r="O1022" s="31">
        <f>M1022*N1022</f>
        <v/>
      </c>
      <c r="P1022" s="32">
        <f>354.7*N1022</f>
        <v/>
      </c>
    </row>
    <row r="1023">
      <c r="A1023" t="inlineStr">
        <is>
          <t>U2-29</t>
        </is>
      </c>
      <c r="B1023" t="n">
        <v>2</v>
      </c>
      <c r="C1023" t="n">
        <v>12</v>
      </c>
      <c r="D1023" t="inlineStr">
        <is>
          <t>BAF20</t>
        </is>
      </c>
      <c r="E1023" t="inlineStr">
        <is>
          <t>IC</t>
        </is>
      </c>
      <c r="F1023" t="n">
        <v>15</v>
      </c>
      <c r="G1023" t="n">
        <v>62</v>
      </c>
      <c r="H1023" t="n">
        <v>1</v>
      </c>
      <c r="I1023" t="inlineStr">
        <is>
          <t>L</t>
        </is>
      </c>
      <c r="J1023" t="inlineStr">
        <is>
          <t>I</t>
        </is>
      </c>
      <c r="K1023" t="inlineStr"/>
      <c r="L1023" t="inlineStr"/>
      <c r="M1023" s="30">
        <f>0.005454*F1023^2</f>
        <v/>
      </c>
      <c r="N1023" s="31">
        <f>IF(D1023="BAF20",20/M1023,100)</f>
        <v/>
      </c>
      <c r="O1023" s="31">
        <f>M1023*N1023</f>
        <v/>
      </c>
      <c r="P1023" s="32">
        <f>121.0*N1023</f>
        <v/>
      </c>
    </row>
    <row r="1024">
      <c r="A1024" t="inlineStr">
        <is>
          <t>U2-29</t>
        </is>
      </c>
      <c r="B1024" t="n">
        <v>2</v>
      </c>
      <c r="C1024" t="n">
        <v>13</v>
      </c>
      <c r="D1024" t="inlineStr">
        <is>
          <t>BAF20</t>
        </is>
      </c>
      <c r="E1024" t="inlineStr">
        <is>
          <t>IC</t>
        </is>
      </c>
      <c r="F1024" t="n">
        <v>46.1</v>
      </c>
      <c r="G1024" t="n">
        <v>120</v>
      </c>
      <c r="H1024" t="n">
        <v>16</v>
      </c>
      <c r="I1024" t="inlineStr">
        <is>
          <t>L</t>
        </is>
      </c>
      <c r="J1024" t="inlineStr">
        <is>
          <t>D</t>
        </is>
      </c>
      <c r="K1024" t="inlineStr"/>
      <c r="L1024" t="inlineStr"/>
      <c r="M1024" s="30">
        <f>0.005454*F1024^2</f>
        <v/>
      </c>
      <c r="N1024" s="31">
        <f>IF(D1024="BAF20",20/M1024,100)</f>
        <v/>
      </c>
      <c r="O1024" s="31">
        <f>M1024*N1024</f>
        <v/>
      </c>
      <c r="P1024" s="32">
        <f>2738.2*N1024</f>
        <v/>
      </c>
    </row>
    <row r="1025">
      <c r="A1025" t="inlineStr">
        <is>
          <t>U2-29</t>
        </is>
      </c>
      <c r="B1025" t="n">
        <v>2</v>
      </c>
      <c r="C1025" t="n">
        <v>14</v>
      </c>
      <c r="D1025" t="inlineStr">
        <is>
          <t>BAF20</t>
        </is>
      </c>
      <c r="E1025" t="inlineStr">
        <is>
          <t>SP</t>
        </is>
      </c>
      <c r="F1025" t="n">
        <v>41.9</v>
      </c>
      <c r="G1025" t="n">
        <v>158</v>
      </c>
      <c r="H1025" t="n">
        <v>3</v>
      </c>
      <c r="I1025" t="inlineStr">
        <is>
          <t>L</t>
        </is>
      </c>
      <c r="J1025" t="inlineStr">
        <is>
          <t>D</t>
        </is>
      </c>
      <c r="K1025" t="inlineStr"/>
      <c r="L1025" t="inlineStr"/>
      <c r="M1025" s="30">
        <f>0.005454*F1025^2</f>
        <v/>
      </c>
      <c r="N1025" s="31">
        <f>IF(D1025="BAF20",20/M1025,100)</f>
        <v/>
      </c>
      <c r="O1025" s="31">
        <f>M1025*N1025</f>
        <v/>
      </c>
      <c r="P1025" s="32">
        <f>3439.2*N1025</f>
        <v/>
      </c>
    </row>
    <row r="1026">
      <c r="A1026" t="inlineStr">
        <is>
          <t>U2-29</t>
        </is>
      </c>
      <c r="B1026" t="n">
        <v>2</v>
      </c>
      <c r="C1026" t="n">
        <v>15</v>
      </c>
      <c r="D1026" t="inlineStr">
        <is>
          <t>BAF20</t>
        </is>
      </c>
      <c r="E1026" t="inlineStr">
        <is>
          <t>BO</t>
        </is>
      </c>
      <c r="F1026" t="n">
        <v>7.2</v>
      </c>
      <c r="G1026" t="n">
        <v>30</v>
      </c>
      <c r="H1026" t="n">
        <v>5</v>
      </c>
      <c r="I1026" t="inlineStr">
        <is>
          <t>L</t>
        </is>
      </c>
      <c r="J1026" t="inlineStr">
        <is>
          <t>S</t>
        </is>
      </c>
      <c r="K1026" t="inlineStr">
        <is>
          <t>Y</t>
        </is>
      </c>
      <c r="L1026" t="inlineStr"/>
      <c r="M1026" s="30">
        <f>0.005454*F1026^2</f>
        <v/>
      </c>
      <c r="N1026" s="31">
        <f>IF(D1026="BAF20",20/M1026,100)</f>
        <v/>
      </c>
      <c r="O1026" s="31">
        <f>M1026*N1026</f>
        <v/>
      </c>
      <c r="P1026" s="32">
        <f>0.0*N1026</f>
        <v/>
      </c>
    </row>
    <row r="1027">
      <c r="A1027" t="inlineStr">
        <is>
          <t>U2-30</t>
        </is>
      </c>
      <c r="B1027" t="n">
        <v>2</v>
      </c>
      <c r="C1027" t="n">
        <v>1</v>
      </c>
      <c r="D1027" t="inlineStr">
        <is>
          <t>BAF20</t>
        </is>
      </c>
      <c r="E1027" t="inlineStr">
        <is>
          <t>PP</t>
        </is>
      </c>
      <c r="F1027" t="n">
        <v>27.5</v>
      </c>
      <c r="G1027" t="n">
        <v>107</v>
      </c>
      <c r="H1027" t="n">
        <v>2</v>
      </c>
      <c r="I1027" t="inlineStr">
        <is>
          <t>L</t>
        </is>
      </c>
      <c r="J1027" t="inlineStr">
        <is>
          <t>D</t>
        </is>
      </c>
      <c r="K1027" t="inlineStr"/>
      <c r="L1027" t="inlineStr"/>
      <c r="M1027" s="30">
        <f>0.005454*F1027^2</f>
        <v/>
      </c>
      <c r="N1027" s="31">
        <f>IF(D1027="BAF20",20/M1027,100)</f>
        <v/>
      </c>
      <c r="O1027" s="31">
        <f>M1027*N1027</f>
        <v/>
      </c>
      <c r="P1027" s="32">
        <f>878.7*N1027</f>
        <v/>
      </c>
    </row>
    <row r="1028">
      <c r="A1028" t="inlineStr">
        <is>
          <t>U2-30</t>
        </is>
      </c>
      <c r="B1028" t="n">
        <v>2</v>
      </c>
      <c r="C1028" t="n">
        <v>2</v>
      </c>
      <c r="D1028" t="inlineStr">
        <is>
          <t>BAF20</t>
        </is>
      </c>
      <c r="E1028" t="inlineStr">
        <is>
          <t>SP</t>
        </is>
      </c>
      <c r="F1028" t="n">
        <v>17.1</v>
      </c>
      <c r="G1028" t="n">
        <v>81</v>
      </c>
      <c r="H1028" t="n">
        <v>0</v>
      </c>
      <c r="I1028" t="inlineStr">
        <is>
          <t>L</t>
        </is>
      </c>
      <c r="J1028" t="inlineStr">
        <is>
          <t>I</t>
        </is>
      </c>
      <c r="K1028" t="inlineStr"/>
      <c r="L1028" t="inlineStr"/>
      <c r="M1028" s="30">
        <f>0.005454*F1028^2</f>
        <v/>
      </c>
      <c r="N1028" s="31">
        <f>IF(D1028="BAF20",20/M1028,100)</f>
        <v/>
      </c>
      <c r="O1028" s="31">
        <f>M1028*N1028</f>
        <v/>
      </c>
      <c r="P1028" s="32">
        <f>216.8*N1028</f>
        <v/>
      </c>
    </row>
    <row r="1029">
      <c r="A1029" t="inlineStr">
        <is>
          <t>U2-30</t>
        </is>
      </c>
      <c r="B1029" t="n">
        <v>2</v>
      </c>
      <c r="C1029" t="n">
        <v>3</v>
      </c>
      <c r="D1029" t="inlineStr">
        <is>
          <t>BAF20</t>
        </is>
      </c>
      <c r="E1029" t="inlineStr">
        <is>
          <t>DF</t>
        </is>
      </c>
      <c r="F1029" t="n">
        <v>11.7</v>
      </c>
      <c r="G1029" t="n">
        <v>60</v>
      </c>
      <c r="H1029" t="n">
        <v>8</v>
      </c>
      <c r="I1029" t="inlineStr">
        <is>
          <t>L</t>
        </is>
      </c>
      <c r="J1029" t="inlineStr">
        <is>
          <t>S</t>
        </is>
      </c>
      <c r="K1029" t="inlineStr">
        <is>
          <t>Y</t>
        </is>
      </c>
      <c r="L1029" t="inlineStr"/>
      <c r="M1029" s="30">
        <f>0.005454*F1029^2</f>
        <v/>
      </c>
      <c r="N1029" s="31">
        <f>IF(D1029="BAF20",20/M1029,100)</f>
        <v/>
      </c>
      <c r="O1029" s="31">
        <f>M1029*N1029</f>
        <v/>
      </c>
      <c r="P1029" s="32">
        <f>61.6*N1029</f>
        <v/>
      </c>
    </row>
    <row r="1030">
      <c r="A1030" t="inlineStr">
        <is>
          <t>U2-30</t>
        </is>
      </c>
      <c r="B1030" t="n">
        <v>2</v>
      </c>
      <c r="C1030" t="n">
        <v>4</v>
      </c>
      <c r="D1030" t="inlineStr">
        <is>
          <t>BAF20</t>
        </is>
      </c>
      <c r="E1030" t="inlineStr">
        <is>
          <t>PP</t>
        </is>
      </c>
      <c r="F1030" t="n">
        <v>16.6</v>
      </c>
      <c r="G1030" t="n">
        <v>82</v>
      </c>
      <c r="H1030" t="n">
        <v>100</v>
      </c>
      <c r="I1030" t="inlineStr">
        <is>
          <t>D</t>
        </is>
      </c>
      <c r="J1030" t="inlineStr">
        <is>
          <t>I</t>
        </is>
      </c>
      <c r="K1030" t="inlineStr"/>
      <c r="L1030" t="inlineStr"/>
      <c r="M1030" s="30">
        <f>0.005454*F1030^2</f>
        <v/>
      </c>
      <c r="N1030" s="31">
        <f>IF(D1030="BAF20",20/M1030,100)</f>
        <v/>
      </c>
      <c r="O1030" s="31">
        <f>M1030*N1030</f>
        <v/>
      </c>
      <c r="P1030" s="32">
        <f>0.0*N1030</f>
        <v/>
      </c>
    </row>
    <row r="1031">
      <c r="A1031" t="inlineStr">
        <is>
          <t>U2-30</t>
        </is>
      </c>
      <c r="B1031" t="n">
        <v>2</v>
      </c>
      <c r="C1031" t="n">
        <v>5</v>
      </c>
      <c r="D1031" t="inlineStr">
        <is>
          <t>BAF20</t>
        </is>
      </c>
      <c r="E1031" t="inlineStr">
        <is>
          <t>WF</t>
        </is>
      </c>
      <c r="F1031" t="n">
        <v>28.4</v>
      </c>
      <c r="G1031" t="n">
        <v>123</v>
      </c>
      <c r="H1031" t="n">
        <v>1</v>
      </c>
      <c r="I1031" t="inlineStr">
        <is>
          <t>L</t>
        </is>
      </c>
      <c r="J1031" t="inlineStr">
        <is>
          <t>D</t>
        </is>
      </c>
      <c r="K1031" t="inlineStr"/>
      <c r="L1031" t="inlineStr"/>
      <c r="M1031" s="30">
        <f>0.005454*F1031^2</f>
        <v/>
      </c>
      <c r="N1031" s="31">
        <f>IF(D1031="BAF20",20/M1031,100)</f>
        <v/>
      </c>
      <c r="O1031" s="31">
        <f>M1031*N1031</f>
        <v/>
      </c>
      <c r="P1031" s="32">
        <f>1104.7*N1031</f>
        <v/>
      </c>
    </row>
    <row r="1032">
      <c r="A1032" t="inlineStr">
        <is>
          <t>U2-30</t>
        </is>
      </c>
      <c r="B1032" t="n">
        <v>2</v>
      </c>
      <c r="C1032" t="n">
        <v>6</v>
      </c>
      <c r="D1032" t="inlineStr">
        <is>
          <t>BAF20</t>
        </is>
      </c>
      <c r="E1032" t="inlineStr">
        <is>
          <t>WF</t>
        </is>
      </c>
      <c r="F1032" t="n">
        <v>12.7</v>
      </c>
      <c r="G1032" t="n">
        <v>67</v>
      </c>
      <c r="H1032" t="n">
        <v>7</v>
      </c>
      <c r="I1032" t="inlineStr">
        <is>
          <t>L</t>
        </is>
      </c>
      <c r="J1032" t="inlineStr">
        <is>
          <t>S</t>
        </is>
      </c>
      <c r="K1032" t="inlineStr"/>
      <c r="L1032" t="inlineStr"/>
      <c r="M1032" s="30">
        <f>0.005454*F1032^2</f>
        <v/>
      </c>
      <c r="N1032" s="31">
        <f>IF(D1032="BAF20",20/M1032,100)</f>
        <v/>
      </c>
      <c r="O1032" s="31">
        <f>M1032*N1032</f>
        <v/>
      </c>
      <c r="P1032" s="32">
        <f>83.8*N1032</f>
        <v/>
      </c>
    </row>
    <row r="1033">
      <c r="A1033" t="inlineStr">
        <is>
          <t>U2-30</t>
        </is>
      </c>
      <c r="B1033" t="n">
        <v>2</v>
      </c>
      <c r="C1033" t="n">
        <v>7</v>
      </c>
      <c r="D1033" t="inlineStr">
        <is>
          <t>BAF20</t>
        </is>
      </c>
      <c r="E1033" t="inlineStr">
        <is>
          <t>PP</t>
        </is>
      </c>
      <c r="F1033" t="n">
        <v>11.3</v>
      </c>
      <c r="G1033" t="n">
        <v>62</v>
      </c>
      <c r="H1033" t="n">
        <v>2</v>
      </c>
      <c r="I1033" t="inlineStr">
        <is>
          <t>L</t>
        </is>
      </c>
      <c r="J1033" t="inlineStr">
        <is>
          <t>S</t>
        </is>
      </c>
      <c r="K1033" t="inlineStr">
        <is>
          <t>Y</t>
        </is>
      </c>
      <c r="L1033" t="inlineStr"/>
      <c r="M1033" s="30">
        <f>0.005454*F1033^2</f>
        <v/>
      </c>
      <c r="N1033" s="31">
        <f>IF(D1033="BAF20",20/M1033,100)</f>
        <v/>
      </c>
      <c r="O1033" s="31">
        <f>M1033*N1033</f>
        <v/>
      </c>
      <c r="P1033" s="32">
        <f>62.7*N1033</f>
        <v/>
      </c>
    </row>
    <row r="1034">
      <c r="A1034" t="inlineStr">
        <is>
          <t>U2-30</t>
        </is>
      </c>
      <c r="B1034" t="n">
        <v>2</v>
      </c>
      <c r="C1034" t="n">
        <v>8</v>
      </c>
      <c r="D1034" t="inlineStr">
        <is>
          <t>BAF20</t>
        </is>
      </c>
      <c r="E1034" t="inlineStr">
        <is>
          <t>PP</t>
        </is>
      </c>
      <c r="F1034" t="n">
        <v>24.7</v>
      </c>
      <c r="G1034" t="n">
        <v>97</v>
      </c>
      <c r="H1034" t="n">
        <v>100</v>
      </c>
      <c r="I1034" t="inlineStr">
        <is>
          <t>D</t>
        </is>
      </c>
      <c r="J1034" t="inlineStr">
        <is>
          <t>C</t>
        </is>
      </c>
      <c r="K1034" t="inlineStr"/>
      <c r="L1034" t="inlineStr"/>
      <c r="M1034" s="30">
        <f>0.005454*F1034^2</f>
        <v/>
      </c>
      <c r="N1034" s="31">
        <f>IF(D1034="BAF20",20/M1034,100)</f>
        <v/>
      </c>
      <c r="O1034" s="31">
        <f>M1034*N1034</f>
        <v/>
      </c>
      <c r="P1034" s="32">
        <f>0.0*N1034</f>
        <v/>
      </c>
    </row>
    <row r="1035">
      <c r="A1035" t="inlineStr">
        <is>
          <t>U2-30</t>
        </is>
      </c>
      <c r="B1035" t="n">
        <v>2</v>
      </c>
      <c r="C1035" t="n">
        <v>9</v>
      </c>
      <c r="D1035" t="inlineStr">
        <is>
          <t>BAF20</t>
        </is>
      </c>
      <c r="E1035" t="inlineStr">
        <is>
          <t>PP</t>
        </is>
      </c>
      <c r="F1035" t="n">
        <v>8.5</v>
      </c>
      <c r="G1035" t="n">
        <v>45</v>
      </c>
      <c r="H1035" t="n">
        <v>3</v>
      </c>
      <c r="I1035" t="inlineStr">
        <is>
          <t>L</t>
        </is>
      </c>
      <c r="J1035" t="inlineStr">
        <is>
          <t>S</t>
        </is>
      </c>
      <c r="K1035" t="inlineStr">
        <is>
          <t>Y</t>
        </is>
      </c>
      <c r="L1035" t="inlineStr"/>
      <c r="M1035" s="30">
        <f>0.005454*F1035^2</f>
        <v/>
      </c>
      <c r="N1035" s="31">
        <f>IF(D1035="BAF20",20/M1035,100)</f>
        <v/>
      </c>
      <c r="O1035" s="31">
        <f>M1035*N1035</f>
        <v/>
      </c>
      <c r="P1035" s="32">
        <f>0.0*N1035</f>
        <v/>
      </c>
    </row>
    <row r="1036">
      <c r="A1036" t="inlineStr">
        <is>
          <t>U2-30</t>
        </is>
      </c>
      <c r="B1036" t="n">
        <v>2</v>
      </c>
      <c r="C1036" t="n">
        <v>10</v>
      </c>
      <c r="D1036" t="inlineStr">
        <is>
          <t>FIX100</t>
        </is>
      </c>
      <c r="E1036" t="inlineStr">
        <is>
          <t>WF</t>
        </is>
      </c>
      <c r="F1036" t="n">
        <v>4.4</v>
      </c>
      <c r="G1036" t="n">
        <v>25</v>
      </c>
      <c r="H1036" t="n">
        <v>0</v>
      </c>
      <c r="I1036" t="inlineStr">
        <is>
          <t>L</t>
        </is>
      </c>
      <c r="J1036" t="inlineStr">
        <is>
          <t>S</t>
        </is>
      </c>
      <c r="K1036" t="inlineStr"/>
      <c r="L1036" t="inlineStr"/>
      <c r="M1036" s="30">
        <f>0.005454*F1036^2</f>
        <v/>
      </c>
      <c r="N1036" s="31">
        <f>IF(D1036="BAF20",20/M1036,100)</f>
        <v/>
      </c>
      <c r="O1036" s="31">
        <f>M1036*N1036</f>
        <v/>
      </c>
      <c r="P1036" s="32">
        <f>0.0*N1036</f>
        <v/>
      </c>
    </row>
    <row r="1037">
      <c r="A1037" t="inlineStr">
        <is>
          <t>U2-30</t>
        </is>
      </c>
      <c r="B1037" t="n">
        <v>2</v>
      </c>
      <c r="C1037" t="n">
        <v>11</v>
      </c>
      <c r="D1037" t="inlineStr">
        <is>
          <t>FIX100</t>
        </is>
      </c>
      <c r="E1037" t="inlineStr">
        <is>
          <t>PP</t>
        </is>
      </c>
      <c r="F1037" t="n">
        <v>4</v>
      </c>
      <c r="G1037" t="n">
        <v>22</v>
      </c>
      <c r="H1037" t="n">
        <v>0</v>
      </c>
      <c r="I1037" t="inlineStr">
        <is>
          <t>L</t>
        </is>
      </c>
      <c r="J1037" t="inlineStr">
        <is>
          <t>S</t>
        </is>
      </c>
      <c r="K1037" t="inlineStr"/>
      <c r="L1037" t="inlineStr"/>
      <c r="M1037" s="30">
        <f>0.005454*F1037^2</f>
        <v/>
      </c>
      <c r="N1037" s="31">
        <f>IF(D1037="BAF20",20/M1037,100)</f>
        <v/>
      </c>
      <c r="O1037" s="31">
        <f>M1037*N1037</f>
        <v/>
      </c>
      <c r="P1037" s="32">
        <f>0.0*N1037</f>
        <v/>
      </c>
    </row>
    <row r="1038">
      <c r="A1038" t="inlineStr">
        <is>
          <t>U2-30</t>
        </is>
      </c>
      <c r="B1038" t="n">
        <v>2</v>
      </c>
      <c r="C1038" t="n">
        <v>12</v>
      </c>
      <c r="D1038" t="inlineStr">
        <is>
          <t>FIX100</t>
        </is>
      </c>
      <c r="E1038" t="inlineStr">
        <is>
          <t>BO</t>
        </is>
      </c>
      <c r="F1038" t="n">
        <v>2</v>
      </c>
      <c r="G1038" t="n">
        <v>13</v>
      </c>
      <c r="H1038" t="n">
        <v>0</v>
      </c>
      <c r="I1038" t="inlineStr">
        <is>
          <t>L</t>
        </is>
      </c>
      <c r="J1038" t="inlineStr">
        <is>
          <t>S</t>
        </is>
      </c>
      <c r="K1038" t="inlineStr"/>
      <c r="L1038" t="inlineStr"/>
      <c r="M1038" s="30">
        <f>0.005454*F1038^2</f>
        <v/>
      </c>
      <c r="N1038" s="31">
        <f>IF(D1038="BAF20",20/M1038,100)</f>
        <v/>
      </c>
      <c r="O1038" s="31">
        <f>M1038*N1038</f>
        <v/>
      </c>
      <c r="P1038" s="32">
        <f>0.0*N1038</f>
        <v/>
      </c>
    </row>
    <row r="1039">
      <c r="A1039" t="inlineStr">
        <is>
          <t>U2-30</t>
        </is>
      </c>
      <c r="B1039" t="n">
        <v>2</v>
      </c>
      <c r="C1039" t="n">
        <v>13</v>
      </c>
      <c r="D1039" t="inlineStr">
        <is>
          <t>FIX100</t>
        </is>
      </c>
      <c r="E1039" t="inlineStr">
        <is>
          <t>WF</t>
        </is>
      </c>
      <c r="F1039" t="n">
        <v>3.7</v>
      </c>
      <c r="G1039" t="n">
        <v>18</v>
      </c>
      <c r="H1039" t="n">
        <v>0</v>
      </c>
      <c r="I1039" t="inlineStr">
        <is>
          <t>L</t>
        </is>
      </c>
      <c r="J1039" t="inlineStr">
        <is>
          <t>S</t>
        </is>
      </c>
      <c r="K1039" t="inlineStr"/>
      <c r="L1039" t="inlineStr"/>
      <c r="M1039" s="30">
        <f>0.005454*F1039^2</f>
        <v/>
      </c>
      <c r="N1039" s="31">
        <f>IF(D1039="BAF20",20/M1039,100)</f>
        <v/>
      </c>
      <c r="O1039" s="31">
        <f>M1039*N1039</f>
        <v/>
      </c>
      <c r="P1039" s="32">
        <f>0.0*N1039</f>
        <v/>
      </c>
    </row>
    <row r="1040">
      <c r="A1040" t="inlineStr">
        <is>
          <t>U2-30</t>
        </is>
      </c>
      <c r="B1040" t="n">
        <v>2</v>
      </c>
      <c r="C1040" t="n">
        <v>14</v>
      </c>
      <c r="D1040" t="inlineStr">
        <is>
          <t>FIX100</t>
        </is>
      </c>
      <c r="E1040" t="inlineStr">
        <is>
          <t>PP</t>
        </is>
      </c>
      <c r="F1040" t="n">
        <v>2.2</v>
      </c>
      <c r="G1040" t="n">
        <v>14</v>
      </c>
      <c r="H1040" t="n">
        <v>0</v>
      </c>
      <c r="I1040" t="inlineStr">
        <is>
          <t>L</t>
        </is>
      </c>
      <c r="J1040" t="inlineStr">
        <is>
          <t>S</t>
        </is>
      </c>
      <c r="K1040" t="inlineStr"/>
      <c r="L1040" t="inlineStr"/>
      <c r="M1040" s="30">
        <f>0.005454*F1040^2</f>
        <v/>
      </c>
      <c r="N1040" s="31">
        <f>IF(D1040="BAF20",20/M1040,100)</f>
        <v/>
      </c>
      <c r="O1040" s="31">
        <f>M1040*N1040</f>
        <v/>
      </c>
      <c r="P1040" s="32">
        <f>0.0*N1040</f>
        <v/>
      </c>
    </row>
    <row r="1041">
      <c r="A1041" t="inlineStr">
        <is>
          <t>U2-30</t>
        </is>
      </c>
      <c r="B1041" t="n">
        <v>2</v>
      </c>
      <c r="C1041" t="n">
        <v>15</v>
      </c>
      <c r="D1041" t="inlineStr">
        <is>
          <t>FIX100</t>
        </is>
      </c>
      <c r="E1041" t="inlineStr">
        <is>
          <t>DF</t>
        </is>
      </c>
      <c r="F1041" t="n">
        <v>3.8</v>
      </c>
      <c r="G1041" t="n">
        <v>19</v>
      </c>
      <c r="H1041" t="n">
        <v>0</v>
      </c>
      <c r="I1041" t="inlineStr">
        <is>
          <t>L</t>
        </is>
      </c>
      <c r="J1041" t="inlineStr">
        <is>
          <t>S</t>
        </is>
      </c>
      <c r="K1041" t="inlineStr"/>
      <c r="L1041" t="inlineStr"/>
      <c r="M1041" s="30">
        <f>0.005454*F1041^2</f>
        <v/>
      </c>
      <c r="N1041" s="31">
        <f>IF(D1041="BAF20",20/M1041,100)</f>
        <v/>
      </c>
      <c r="O1041" s="31">
        <f>M1041*N1041</f>
        <v/>
      </c>
      <c r="P1041" s="32">
        <f>0.0*N1041</f>
        <v/>
      </c>
    </row>
    <row r="1042">
      <c r="A1042" t="inlineStr">
        <is>
          <t>U2-31</t>
        </is>
      </c>
      <c r="B1042" t="n">
        <v>2</v>
      </c>
      <c r="C1042" t="n">
        <v>1</v>
      </c>
      <c r="D1042" t="inlineStr">
        <is>
          <t>BAF20</t>
        </is>
      </c>
      <c r="E1042" t="inlineStr">
        <is>
          <t>BO</t>
        </is>
      </c>
      <c r="F1042" t="n">
        <v>10.5</v>
      </c>
      <c r="G1042" t="n">
        <v>39</v>
      </c>
      <c r="H1042" t="n">
        <v>12</v>
      </c>
      <c r="I1042" t="inlineStr">
        <is>
          <t>L</t>
        </is>
      </c>
      <c r="J1042" t="inlineStr">
        <is>
          <t>S</t>
        </is>
      </c>
      <c r="K1042" t="inlineStr">
        <is>
          <t>Y</t>
        </is>
      </c>
      <c r="L1042" t="inlineStr"/>
      <c r="M1042" s="30">
        <f>0.005454*F1042^2</f>
        <v/>
      </c>
      <c r="N1042" s="31">
        <f>IF(D1042="BAF20",20/M1042,100)</f>
        <v/>
      </c>
      <c r="O1042" s="31">
        <f>M1042*N1042</f>
        <v/>
      </c>
      <c r="P1042" s="32">
        <f>27.1*N1042</f>
        <v/>
      </c>
    </row>
    <row r="1043">
      <c r="A1043" t="inlineStr">
        <is>
          <t>U2-31</t>
        </is>
      </c>
      <c r="B1043" t="n">
        <v>2</v>
      </c>
      <c r="C1043" t="n">
        <v>2</v>
      </c>
      <c r="D1043" t="inlineStr">
        <is>
          <t>BAF20</t>
        </is>
      </c>
      <c r="E1043" t="inlineStr">
        <is>
          <t>SP</t>
        </is>
      </c>
      <c r="F1043" t="n">
        <v>12</v>
      </c>
      <c r="G1043" t="n">
        <v>62</v>
      </c>
      <c r="H1043" t="n">
        <v>5</v>
      </c>
      <c r="I1043" t="inlineStr">
        <is>
          <t>L</t>
        </is>
      </c>
      <c r="J1043" t="inlineStr">
        <is>
          <t>S</t>
        </is>
      </c>
      <c r="K1043" t="inlineStr"/>
      <c r="L1043" t="inlineStr"/>
      <c r="M1043" s="30">
        <f>0.005454*F1043^2</f>
        <v/>
      </c>
      <c r="N1043" s="31">
        <f>IF(D1043="BAF20",20/M1043,100)</f>
        <v/>
      </c>
      <c r="O1043" s="31">
        <f>M1043*N1043</f>
        <v/>
      </c>
      <c r="P1043" s="32">
        <f>69.6*N1043</f>
        <v/>
      </c>
    </row>
    <row r="1044">
      <c r="A1044" t="inlineStr">
        <is>
          <t>U2-31</t>
        </is>
      </c>
      <c r="B1044" t="n">
        <v>2</v>
      </c>
      <c r="C1044" t="n">
        <v>3</v>
      </c>
      <c r="D1044" t="inlineStr">
        <is>
          <t>BAF20</t>
        </is>
      </c>
      <c r="E1044" t="inlineStr">
        <is>
          <t>WF</t>
        </is>
      </c>
      <c r="F1044" t="n">
        <v>21.5</v>
      </c>
      <c r="G1044" t="n">
        <v>102</v>
      </c>
      <c r="H1044" t="n">
        <v>1</v>
      </c>
      <c r="I1044" t="inlineStr">
        <is>
          <t>L</t>
        </is>
      </c>
      <c r="J1044" t="inlineStr">
        <is>
          <t>C</t>
        </is>
      </c>
      <c r="K1044" t="inlineStr"/>
      <c r="L1044" t="inlineStr"/>
      <c r="M1044" s="30">
        <f>0.005454*F1044^2</f>
        <v/>
      </c>
      <c r="N1044" s="31">
        <f>IF(D1044="BAF20",20/M1044,100)</f>
        <v/>
      </c>
      <c r="O1044" s="31">
        <f>M1044*N1044</f>
        <v/>
      </c>
      <c r="P1044" s="32">
        <f>465.3*N1044</f>
        <v/>
      </c>
    </row>
    <row r="1045">
      <c r="A1045" t="inlineStr">
        <is>
          <t>U2-31</t>
        </is>
      </c>
      <c r="B1045" t="n">
        <v>2</v>
      </c>
      <c r="C1045" t="n">
        <v>4</v>
      </c>
      <c r="D1045" t="inlineStr">
        <is>
          <t>BAF20</t>
        </is>
      </c>
      <c r="E1045" t="inlineStr">
        <is>
          <t>BO</t>
        </is>
      </c>
      <c r="F1045" t="n">
        <v>11</v>
      </c>
      <c r="G1045" t="n">
        <v>44</v>
      </c>
      <c r="H1045" t="n">
        <v>3</v>
      </c>
      <c r="I1045" t="inlineStr">
        <is>
          <t>L</t>
        </is>
      </c>
      <c r="J1045" t="inlineStr">
        <is>
          <t>S</t>
        </is>
      </c>
      <c r="K1045" t="inlineStr">
        <is>
          <t>Y</t>
        </is>
      </c>
      <c r="L1045" t="inlineStr"/>
      <c r="M1045" s="30">
        <f>0.005454*F1045^2</f>
        <v/>
      </c>
      <c r="N1045" s="31">
        <f>IF(D1045="BAF20",20/M1045,100)</f>
        <v/>
      </c>
      <c r="O1045" s="31">
        <f>M1045*N1045</f>
        <v/>
      </c>
      <c r="P1045" s="32">
        <f>37.5*N1045</f>
        <v/>
      </c>
    </row>
    <row r="1046">
      <c r="A1046" t="inlineStr">
        <is>
          <t>U2-31</t>
        </is>
      </c>
      <c r="B1046" t="n">
        <v>2</v>
      </c>
      <c r="C1046" t="n">
        <v>5</v>
      </c>
      <c r="D1046" t="inlineStr">
        <is>
          <t>BAF20</t>
        </is>
      </c>
      <c r="E1046" t="inlineStr">
        <is>
          <t>BO</t>
        </is>
      </c>
      <c r="F1046" t="n">
        <v>14.7</v>
      </c>
      <c r="G1046" t="n">
        <v>51</v>
      </c>
      <c r="H1046" t="n">
        <v>100</v>
      </c>
      <c r="I1046" t="inlineStr">
        <is>
          <t>D</t>
        </is>
      </c>
      <c r="J1046" t="inlineStr">
        <is>
          <t>I</t>
        </is>
      </c>
      <c r="K1046" t="inlineStr"/>
      <c r="L1046" t="inlineStr"/>
      <c r="M1046" s="30">
        <f>0.005454*F1046^2</f>
        <v/>
      </c>
      <c r="N1046" s="31">
        <f>IF(D1046="BAF20",20/M1046,100)</f>
        <v/>
      </c>
      <c r="O1046" s="31">
        <f>M1046*N1046</f>
        <v/>
      </c>
      <c r="P1046" s="32">
        <f>0.0*N1046</f>
        <v/>
      </c>
    </row>
    <row r="1047">
      <c r="A1047" t="inlineStr">
        <is>
          <t>U2-31</t>
        </is>
      </c>
      <c r="B1047" t="n">
        <v>2</v>
      </c>
      <c r="C1047" t="n">
        <v>6</v>
      </c>
      <c r="D1047" t="inlineStr">
        <is>
          <t>BAF20</t>
        </is>
      </c>
      <c r="E1047" t="inlineStr">
        <is>
          <t>BO</t>
        </is>
      </c>
      <c r="F1047" t="n">
        <v>14.3</v>
      </c>
      <c r="G1047" t="n">
        <v>52</v>
      </c>
      <c r="H1047" t="n">
        <v>9</v>
      </c>
      <c r="I1047" t="inlineStr">
        <is>
          <t>L</t>
        </is>
      </c>
      <c r="J1047" t="inlineStr">
        <is>
          <t>I</t>
        </is>
      </c>
      <c r="K1047" t="inlineStr"/>
      <c r="L1047" t="inlineStr"/>
      <c r="M1047" s="30">
        <f>0.005454*F1047^2</f>
        <v/>
      </c>
      <c r="N1047" s="31">
        <f>IF(D1047="BAF20",20/M1047,100)</f>
        <v/>
      </c>
      <c r="O1047" s="31">
        <f>M1047*N1047</f>
        <v/>
      </c>
      <c r="P1047" s="32">
        <f>75.6*N1047</f>
        <v/>
      </c>
    </row>
    <row r="1048">
      <c r="A1048" t="inlineStr">
        <is>
          <t>U2-31</t>
        </is>
      </c>
      <c r="B1048" t="n">
        <v>2</v>
      </c>
      <c r="C1048" t="n">
        <v>7</v>
      </c>
      <c r="D1048" t="inlineStr">
        <is>
          <t>BAF20</t>
        </is>
      </c>
      <c r="E1048" t="inlineStr">
        <is>
          <t>BO</t>
        </is>
      </c>
      <c r="F1048" t="n">
        <v>12.4</v>
      </c>
      <c r="G1048" t="n">
        <v>47</v>
      </c>
      <c r="H1048" t="n">
        <v>8</v>
      </c>
      <c r="I1048" t="inlineStr">
        <is>
          <t>L</t>
        </is>
      </c>
      <c r="J1048" t="inlineStr">
        <is>
          <t>S</t>
        </is>
      </c>
      <c r="K1048" t="inlineStr">
        <is>
          <t>Y</t>
        </is>
      </c>
      <c r="L1048" t="inlineStr"/>
      <c r="M1048" s="30">
        <f>0.005454*F1048^2</f>
        <v/>
      </c>
      <c r="N1048" s="31">
        <f>IF(D1048="BAF20",20/M1048,100)</f>
        <v/>
      </c>
      <c r="O1048" s="31">
        <f>M1048*N1048</f>
        <v/>
      </c>
      <c r="P1048" s="32">
        <f>49.8*N1048</f>
        <v/>
      </c>
    </row>
    <row r="1049">
      <c r="A1049" t="inlineStr">
        <is>
          <t>U2-31</t>
        </is>
      </c>
      <c r="B1049" t="n">
        <v>2</v>
      </c>
      <c r="C1049" t="n">
        <v>8</v>
      </c>
      <c r="D1049" t="inlineStr">
        <is>
          <t>BAF20</t>
        </is>
      </c>
      <c r="E1049" t="inlineStr">
        <is>
          <t>PP</t>
        </is>
      </c>
      <c r="F1049" t="n">
        <v>10.8</v>
      </c>
      <c r="G1049" t="n">
        <v>55</v>
      </c>
      <c r="H1049" t="n">
        <v>1</v>
      </c>
      <c r="I1049" t="inlineStr">
        <is>
          <t>L</t>
        </is>
      </c>
      <c r="J1049" t="inlineStr">
        <is>
          <t>S</t>
        </is>
      </c>
      <c r="K1049" t="inlineStr">
        <is>
          <t>Y</t>
        </is>
      </c>
      <c r="L1049" t="inlineStr"/>
      <c r="M1049" s="30">
        <f>0.005454*F1049^2</f>
        <v/>
      </c>
      <c r="N1049" s="31">
        <f>IF(D1049="BAF20",20/M1049,100)</f>
        <v/>
      </c>
      <c r="O1049" s="31">
        <f>M1049*N1049</f>
        <v/>
      </c>
      <c r="P1049" s="32">
        <f>50.7*N1049</f>
        <v/>
      </c>
    </row>
    <row r="1050">
      <c r="A1050" t="inlineStr">
        <is>
          <t>U2-31</t>
        </is>
      </c>
      <c r="B1050" t="n">
        <v>2</v>
      </c>
      <c r="C1050" t="n">
        <v>9</v>
      </c>
      <c r="D1050" t="inlineStr">
        <is>
          <t>BAF20</t>
        </is>
      </c>
      <c r="E1050" t="inlineStr">
        <is>
          <t>WF</t>
        </is>
      </c>
      <c r="F1050" t="n">
        <v>12.9</v>
      </c>
      <c r="G1050" t="n">
        <v>60</v>
      </c>
      <c r="H1050" t="n">
        <v>3</v>
      </c>
      <c r="I1050" t="inlineStr">
        <is>
          <t>L</t>
        </is>
      </c>
      <c r="J1050" t="inlineStr">
        <is>
          <t>S</t>
        </is>
      </c>
      <c r="K1050" t="inlineStr"/>
      <c r="L1050" t="inlineStr"/>
      <c r="M1050" s="30">
        <f>0.005454*F1050^2</f>
        <v/>
      </c>
      <c r="N1050" s="31">
        <f>IF(D1050="BAF20",20/M1050,100)</f>
        <v/>
      </c>
      <c r="O1050" s="31">
        <f>M1050*N1050</f>
        <v/>
      </c>
      <c r="P1050" s="32">
        <f>81.1*N1050</f>
        <v/>
      </c>
    </row>
    <row r="1051">
      <c r="A1051" t="inlineStr">
        <is>
          <t>U2-31</t>
        </is>
      </c>
      <c r="B1051" t="n">
        <v>2</v>
      </c>
      <c r="C1051" t="n">
        <v>10</v>
      </c>
      <c r="D1051" t="inlineStr">
        <is>
          <t>BAF20</t>
        </is>
      </c>
      <c r="E1051" t="inlineStr">
        <is>
          <t>WF</t>
        </is>
      </c>
      <c r="F1051" t="n">
        <v>10.5</v>
      </c>
      <c r="G1051" t="n">
        <v>65</v>
      </c>
      <c r="H1051" t="n">
        <v>9</v>
      </c>
      <c r="I1051" t="inlineStr">
        <is>
          <t>L</t>
        </is>
      </c>
      <c r="J1051" t="inlineStr">
        <is>
          <t>S</t>
        </is>
      </c>
      <c r="K1051" t="inlineStr">
        <is>
          <t>Y</t>
        </is>
      </c>
      <c r="L1051" t="inlineStr"/>
      <c r="M1051" s="30">
        <f>0.005454*F1051^2</f>
        <v/>
      </c>
      <c r="N1051" s="31">
        <f>IF(D1051="BAF20",20/M1051,100)</f>
        <v/>
      </c>
      <c r="O1051" s="31">
        <f>M1051*N1051</f>
        <v/>
      </c>
      <c r="P1051" s="32">
        <f>51.7*N1051</f>
        <v/>
      </c>
    </row>
    <row r="1052">
      <c r="A1052" t="inlineStr">
        <is>
          <t>U2-31</t>
        </is>
      </c>
      <c r="B1052" t="n">
        <v>2</v>
      </c>
      <c r="C1052" t="n">
        <v>11</v>
      </c>
      <c r="D1052" t="inlineStr">
        <is>
          <t>BAF20</t>
        </is>
      </c>
      <c r="E1052" t="inlineStr">
        <is>
          <t>DF</t>
        </is>
      </c>
      <c r="F1052" t="n">
        <v>18.1</v>
      </c>
      <c r="G1052" t="n">
        <v>97</v>
      </c>
      <c r="H1052" t="n">
        <v>5</v>
      </c>
      <c r="I1052" t="inlineStr">
        <is>
          <t>L</t>
        </is>
      </c>
      <c r="J1052" t="inlineStr">
        <is>
          <t>I</t>
        </is>
      </c>
      <c r="K1052" t="inlineStr"/>
      <c r="L1052" t="inlineStr"/>
      <c r="M1052" s="30">
        <f>0.005454*F1052^2</f>
        <v/>
      </c>
      <c r="N1052" s="31">
        <f>IF(D1052="BAF20",20/M1052,100)</f>
        <v/>
      </c>
      <c r="O1052" s="31">
        <f>M1052*N1052</f>
        <v/>
      </c>
      <c r="P1052" s="32">
        <f>281.9*N1052</f>
        <v/>
      </c>
    </row>
    <row r="1053">
      <c r="A1053" t="inlineStr">
        <is>
          <t>U2-31</t>
        </is>
      </c>
      <c r="B1053" t="n">
        <v>2</v>
      </c>
      <c r="C1053" t="n">
        <v>12</v>
      </c>
      <c r="D1053" t="inlineStr">
        <is>
          <t>BAF20</t>
        </is>
      </c>
      <c r="E1053" t="inlineStr">
        <is>
          <t>PP</t>
        </is>
      </c>
      <c r="F1053" t="n">
        <v>50.5</v>
      </c>
      <c r="G1053" t="n">
        <v>157</v>
      </c>
      <c r="H1053" t="n">
        <v>1</v>
      </c>
      <c r="I1053" t="inlineStr">
        <is>
          <t>L</t>
        </is>
      </c>
      <c r="J1053" t="inlineStr">
        <is>
          <t>D</t>
        </is>
      </c>
      <c r="K1053" t="inlineStr"/>
      <c r="L1053" t="inlineStr"/>
      <c r="M1053" s="30">
        <f>0.005454*F1053^2</f>
        <v/>
      </c>
      <c r="N1053" s="31">
        <f>IF(D1053="BAF20",20/M1053,100)</f>
        <v/>
      </c>
      <c r="O1053" s="31">
        <f>M1053*N1053</f>
        <v/>
      </c>
      <c r="P1053" s="32">
        <f>5066.6*N1053</f>
        <v/>
      </c>
    </row>
    <row r="1054">
      <c r="A1054" t="inlineStr">
        <is>
          <t>U2-31</t>
        </is>
      </c>
      <c r="B1054" t="n">
        <v>2</v>
      </c>
      <c r="C1054" t="n">
        <v>13</v>
      </c>
      <c r="D1054" t="inlineStr">
        <is>
          <t>BAF20</t>
        </is>
      </c>
      <c r="E1054" t="inlineStr">
        <is>
          <t>WF</t>
        </is>
      </c>
      <c r="F1054" t="n">
        <v>17.1</v>
      </c>
      <c r="G1054" t="n">
        <v>79</v>
      </c>
      <c r="H1054" t="n">
        <v>19</v>
      </c>
      <c r="I1054" t="inlineStr">
        <is>
          <t>L</t>
        </is>
      </c>
      <c r="J1054" t="inlineStr">
        <is>
          <t>I</t>
        </is>
      </c>
      <c r="K1054" t="inlineStr"/>
      <c r="L1054" t="inlineStr"/>
      <c r="M1054" s="30">
        <f>0.005454*F1054^2</f>
        <v/>
      </c>
      <c r="N1054" s="31">
        <f>IF(D1054="BAF20",20/M1054,100)</f>
        <v/>
      </c>
      <c r="O1054" s="31">
        <f>M1054*N1054</f>
        <v/>
      </c>
      <c r="P1054" s="32">
        <f>171.2*N1054</f>
        <v/>
      </c>
    </row>
    <row r="1055">
      <c r="A1055" t="inlineStr">
        <is>
          <t>U2-31</t>
        </is>
      </c>
      <c r="B1055" t="n">
        <v>2</v>
      </c>
      <c r="C1055" t="n">
        <v>14</v>
      </c>
      <c r="D1055" t="inlineStr">
        <is>
          <t>BAF20</t>
        </is>
      </c>
      <c r="E1055" t="inlineStr">
        <is>
          <t>PP</t>
        </is>
      </c>
      <c r="F1055" t="n">
        <v>25.4</v>
      </c>
      <c r="G1055" t="n">
        <v>98</v>
      </c>
      <c r="H1055" t="n">
        <v>1</v>
      </c>
      <c r="I1055" t="inlineStr">
        <is>
          <t>L</t>
        </is>
      </c>
      <c r="J1055" t="inlineStr">
        <is>
          <t>D</t>
        </is>
      </c>
      <c r="K1055" t="inlineStr"/>
      <c r="L1055" t="inlineStr"/>
      <c r="M1055" s="30">
        <f>0.005454*F1055^2</f>
        <v/>
      </c>
      <c r="N1055" s="31">
        <f>IF(D1055="BAF20",20/M1055,100)</f>
        <v/>
      </c>
      <c r="O1055" s="31">
        <f>M1055*N1055</f>
        <v/>
      </c>
      <c r="P1055" s="32">
        <f>669.2*N1055</f>
        <v/>
      </c>
    </row>
    <row r="1056">
      <c r="A1056" t="inlineStr">
        <is>
          <t>U2-31</t>
        </is>
      </c>
      <c r="B1056" t="n">
        <v>2</v>
      </c>
      <c r="C1056" t="n">
        <v>15</v>
      </c>
      <c r="D1056" t="inlineStr">
        <is>
          <t>BAF20</t>
        </is>
      </c>
      <c r="E1056" t="inlineStr">
        <is>
          <t>PP</t>
        </is>
      </c>
      <c r="F1056" t="n">
        <v>11.3</v>
      </c>
      <c r="G1056" t="n">
        <v>54</v>
      </c>
      <c r="H1056" t="n">
        <v>2</v>
      </c>
      <c r="I1056" t="inlineStr">
        <is>
          <t>L</t>
        </is>
      </c>
      <c r="J1056" t="inlineStr">
        <is>
          <t>S</t>
        </is>
      </c>
      <c r="K1056" t="inlineStr">
        <is>
          <t>Y</t>
        </is>
      </c>
      <c r="L1056" t="inlineStr"/>
      <c r="M1056" s="30">
        <f>0.005454*F1056^2</f>
        <v/>
      </c>
      <c r="N1056" s="31">
        <f>IF(D1056="BAF20",20/M1056,100)</f>
        <v/>
      </c>
      <c r="O1056" s="31">
        <f>M1056*N1056</f>
        <v/>
      </c>
      <c r="P1056" s="32">
        <f>54.6*N1056</f>
        <v/>
      </c>
    </row>
    <row r="1057">
      <c r="A1057" t="inlineStr">
        <is>
          <t>U2-31</t>
        </is>
      </c>
      <c r="B1057" t="n">
        <v>2</v>
      </c>
      <c r="C1057" t="n">
        <v>16</v>
      </c>
      <c r="D1057" t="inlineStr">
        <is>
          <t>BAF20</t>
        </is>
      </c>
      <c r="E1057" t="inlineStr">
        <is>
          <t>PP</t>
        </is>
      </c>
      <c r="F1057" t="n">
        <v>20.9</v>
      </c>
      <c r="G1057" t="n">
        <v>88</v>
      </c>
      <c r="H1057" t="n">
        <v>2</v>
      </c>
      <c r="I1057" t="inlineStr">
        <is>
          <t>L</t>
        </is>
      </c>
      <c r="J1057" t="inlineStr">
        <is>
          <t>C</t>
        </is>
      </c>
      <c r="K1057" t="inlineStr"/>
      <c r="L1057" t="inlineStr"/>
      <c r="M1057" s="30">
        <f>0.005454*F1057^2</f>
        <v/>
      </c>
      <c r="N1057" s="31">
        <f>IF(D1057="BAF20",20/M1057,100)</f>
        <v/>
      </c>
      <c r="O1057" s="31">
        <f>M1057*N1057</f>
        <v/>
      </c>
      <c r="P1057" s="32">
        <f>371.3*N1057</f>
        <v/>
      </c>
    </row>
    <row r="1058">
      <c r="A1058" t="inlineStr">
        <is>
          <t>U2-31</t>
        </is>
      </c>
      <c r="B1058" t="n">
        <v>2</v>
      </c>
      <c r="C1058" t="n">
        <v>17</v>
      </c>
      <c r="D1058" t="inlineStr">
        <is>
          <t>BAF20</t>
        </is>
      </c>
      <c r="E1058" t="inlineStr">
        <is>
          <t>IC</t>
        </is>
      </c>
      <c r="F1058" t="n">
        <v>6.6</v>
      </c>
      <c r="G1058" t="n">
        <v>28</v>
      </c>
      <c r="H1058" t="n">
        <v>2</v>
      </c>
      <c r="I1058" t="inlineStr">
        <is>
          <t>L</t>
        </is>
      </c>
      <c r="J1058" t="inlineStr">
        <is>
          <t>S</t>
        </is>
      </c>
      <c r="K1058" t="inlineStr">
        <is>
          <t>Y</t>
        </is>
      </c>
      <c r="L1058" t="inlineStr"/>
      <c r="M1058" s="30">
        <f>0.005454*F1058^2</f>
        <v/>
      </c>
      <c r="N1058" s="31">
        <f>IF(D1058="BAF20",20/M1058,100)</f>
        <v/>
      </c>
      <c r="O1058" s="31">
        <f>M1058*N1058</f>
        <v/>
      </c>
      <c r="P1058" s="32">
        <f>0.0*N1058</f>
        <v/>
      </c>
    </row>
    <row r="1059">
      <c r="A1059" t="inlineStr">
        <is>
          <t>U2-31</t>
        </is>
      </c>
      <c r="B1059" t="n">
        <v>2</v>
      </c>
      <c r="C1059" t="n">
        <v>18</v>
      </c>
      <c r="D1059" t="inlineStr">
        <is>
          <t>BAF20</t>
        </is>
      </c>
      <c r="E1059" t="inlineStr">
        <is>
          <t>DF</t>
        </is>
      </c>
      <c r="F1059" t="n">
        <v>13.2</v>
      </c>
      <c r="G1059" t="n">
        <v>66</v>
      </c>
      <c r="H1059" t="n">
        <v>7</v>
      </c>
      <c r="I1059" t="inlineStr">
        <is>
          <t>L</t>
        </is>
      </c>
      <c r="J1059" t="inlineStr">
        <is>
          <t>S</t>
        </is>
      </c>
      <c r="K1059" t="inlineStr"/>
      <c r="L1059" t="inlineStr"/>
      <c r="M1059" s="30">
        <f>0.005454*F1059^2</f>
        <v/>
      </c>
      <c r="N1059" s="31">
        <f>IF(D1059="BAF20",20/M1059,100)</f>
        <v/>
      </c>
      <c r="O1059" s="31">
        <f>M1059*N1059</f>
        <v/>
      </c>
      <c r="P1059" s="32">
        <f>90.1*N1059</f>
        <v/>
      </c>
    </row>
    <row r="1060">
      <c r="A1060" t="inlineStr">
        <is>
          <t>U2-31</t>
        </is>
      </c>
      <c r="B1060" t="n">
        <v>2</v>
      </c>
      <c r="C1060" t="n">
        <v>19</v>
      </c>
      <c r="D1060" t="inlineStr">
        <is>
          <t>BAF20</t>
        </is>
      </c>
      <c r="E1060" t="inlineStr">
        <is>
          <t>PP</t>
        </is>
      </c>
      <c r="F1060" t="n">
        <v>12.4</v>
      </c>
      <c r="G1060" t="n">
        <v>63</v>
      </c>
      <c r="H1060" t="n">
        <v>4</v>
      </c>
      <c r="I1060" t="inlineStr">
        <is>
          <t>L</t>
        </is>
      </c>
      <c r="J1060" t="inlineStr">
        <is>
          <t>S</t>
        </is>
      </c>
      <c r="K1060" t="inlineStr">
        <is>
          <t>Y</t>
        </is>
      </c>
      <c r="L1060" t="inlineStr"/>
      <c r="M1060" s="30">
        <f>0.005454*F1060^2</f>
        <v/>
      </c>
      <c r="N1060" s="31">
        <f>IF(D1060="BAF20",20/M1060,100)</f>
        <v/>
      </c>
      <c r="O1060" s="31">
        <f>M1060*N1060</f>
        <v/>
      </c>
      <c r="P1060" s="32">
        <f>77.0*N1060</f>
        <v/>
      </c>
    </row>
    <row r="1061">
      <c r="A1061" t="inlineStr">
        <is>
          <t>U2-31</t>
        </is>
      </c>
      <c r="B1061" t="n">
        <v>2</v>
      </c>
      <c r="C1061" t="n">
        <v>20</v>
      </c>
      <c r="D1061" t="inlineStr">
        <is>
          <t>BAF20</t>
        </is>
      </c>
      <c r="E1061" t="inlineStr">
        <is>
          <t>BO</t>
        </is>
      </c>
      <c r="F1061" t="n">
        <v>15.1</v>
      </c>
      <c r="G1061" t="n">
        <v>50</v>
      </c>
      <c r="H1061" t="n">
        <v>25</v>
      </c>
      <c r="I1061" t="inlineStr">
        <is>
          <t>L</t>
        </is>
      </c>
      <c r="J1061" t="inlineStr">
        <is>
          <t>I</t>
        </is>
      </c>
      <c r="K1061" t="inlineStr"/>
      <c r="L1061" t="inlineStr"/>
      <c r="M1061" s="30">
        <f>0.005454*F1061^2</f>
        <v/>
      </c>
      <c r="N1061" s="31">
        <f>IF(D1061="BAF20",20/M1061,100)</f>
        <v/>
      </c>
      <c r="O1061" s="31">
        <f>M1061*N1061</f>
        <v/>
      </c>
      <c r="P1061" s="32">
        <f>67.9*N1061</f>
        <v/>
      </c>
    </row>
    <row r="1062">
      <c r="A1062" t="inlineStr">
        <is>
          <t>U2-31</t>
        </is>
      </c>
      <c r="B1062" t="n">
        <v>2</v>
      </c>
      <c r="C1062" t="n">
        <v>21</v>
      </c>
      <c r="D1062" t="inlineStr">
        <is>
          <t>BAF20</t>
        </is>
      </c>
      <c r="E1062" t="inlineStr">
        <is>
          <t>IC</t>
        </is>
      </c>
      <c r="F1062" t="n">
        <v>8.4</v>
      </c>
      <c r="G1062" t="n">
        <v>30</v>
      </c>
      <c r="H1062" t="n">
        <v>4</v>
      </c>
      <c r="I1062" t="inlineStr">
        <is>
          <t>L</t>
        </is>
      </c>
      <c r="J1062" t="inlineStr">
        <is>
          <t>S</t>
        </is>
      </c>
      <c r="K1062" t="inlineStr">
        <is>
          <t>Y</t>
        </is>
      </c>
      <c r="L1062" t="inlineStr"/>
      <c r="M1062" s="30">
        <f>0.005454*F1062^2</f>
        <v/>
      </c>
      <c r="N1062" s="31">
        <f>IF(D1062="BAF20",20/M1062,100)</f>
        <v/>
      </c>
      <c r="O1062" s="31">
        <f>M1062*N1062</f>
        <v/>
      </c>
      <c r="P1062" s="32">
        <f>0.0*N1062</f>
        <v/>
      </c>
    </row>
    <row r="1063">
      <c r="A1063" t="inlineStr">
        <is>
          <t>U2-31</t>
        </is>
      </c>
      <c r="B1063" t="n">
        <v>2</v>
      </c>
      <c r="C1063" t="n">
        <v>22</v>
      </c>
      <c r="D1063" t="inlineStr">
        <is>
          <t>BAF20</t>
        </is>
      </c>
      <c r="E1063" t="inlineStr">
        <is>
          <t>PP</t>
        </is>
      </c>
      <c r="F1063" t="n">
        <v>17.9</v>
      </c>
      <c r="G1063" t="n">
        <v>80</v>
      </c>
      <c r="H1063" t="n">
        <v>1</v>
      </c>
      <c r="I1063" t="inlineStr">
        <is>
          <t>L</t>
        </is>
      </c>
      <c r="J1063" t="inlineStr">
        <is>
          <t>I</t>
        </is>
      </c>
      <c r="K1063" t="inlineStr"/>
      <c r="L1063" t="inlineStr"/>
      <c r="M1063" s="30">
        <f>0.005454*F1063^2</f>
        <v/>
      </c>
      <c r="N1063" s="31">
        <f>IF(D1063="BAF20",20/M1063,100)</f>
        <v/>
      </c>
      <c r="O1063" s="31">
        <f>M1063*N1063</f>
        <v/>
      </c>
      <c r="P1063" s="32">
        <f>236.0*N1063</f>
        <v/>
      </c>
    </row>
    <row r="1064">
      <c r="A1064" t="inlineStr">
        <is>
          <t>U2-31</t>
        </is>
      </c>
      <c r="B1064" t="n">
        <v>2</v>
      </c>
      <c r="C1064" t="n">
        <v>23</v>
      </c>
      <c r="D1064" t="inlineStr">
        <is>
          <t>FIX100</t>
        </is>
      </c>
      <c r="E1064" t="inlineStr">
        <is>
          <t>DF</t>
        </is>
      </c>
      <c r="F1064" t="n">
        <v>4.6</v>
      </c>
      <c r="G1064" t="n">
        <v>26</v>
      </c>
      <c r="H1064" t="n">
        <v>0</v>
      </c>
      <c r="I1064" t="inlineStr">
        <is>
          <t>L</t>
        </is>
      </c>
      <c r="J1064" t="inlineStr">
        <is>
          <t>S</t>
        </is>
      </c>
      <c r="K1064" t="inlineStr"/>
      <c r="L1064" t="inlineStr"/>
      <c r="M1064" s="30">
        <f>0.005454*F1064^2</f>
        <v/>
      </c>
      <c r="N1064" s="31">
        <f>IF(D1064="BAF20",20/M1064,100)</f>
        <v/>
      </c>
      <c r="O1064" s="31">
        <f>M1064*N1064</f>
        <v/>
      </c>
      <c r="P1064" s="32">
        <f>0.0*N1064</f>
        <v/>
      </c>
    </row>
    <row r="1065">
      <c r="A1065" t="inlineStr">
        <is>
          <t>U2-32</t>
        </is>
      </c>
      <c r="B1065" t="n">
        <v>2</v>
      </c>
      <c r="C1065" t="n">
        <v>1</v>
      </c>
      <c r="D1065" t="inlineStr">
        <is>
          <t>BAF20</t>
        </is>
      </c>
      <c r="E1065" t="inlineStr">
        <is>
          <t>IC</t>
        </is>
      </c>
      <c r="F1065" t="n">
        <v>30.9</v>
      </c>
      <c r="G1065" t="n">
        <v>109</v>
      </c>
      <c r="H1065" t="n">
        <v>6</v>
      </c>
      <c r="I1065" t="inlineStr">
        <is>
          <t>L</t>
        </is>
      </c>
      <c r="J1065" t="inlineStr">
        <is>
          <t>D</t>
        </is>
      </c>
      <c r="K1065" t="inlineStr"/>
      <c r="L1065" t="inlineStr"/>
      <c r="M1065" s="30">
        <f>0.005454*F1065^2</f>
        <v/>
      </c>
      <c r="N1065" s="31">
        <f>IF(D1065="BAF20",20/M1065,100)</f>
        <v/>
      </c>
      <c r="O1065" s="31">
        <f>M1065*N1065</f>
        <v/>
      </c>
      <c r="P1065" s="32">
        <f>1145.8*N1065</f>
        <v/>
      </c>
    </row>
    <row r="1066">
      <c r="A1066" t="inlineStr">
        <is>
          <t>U2-32</t>
        </is>
      </c>
      <c r="B1066" t="n">
        <v>2</v>
      </c>
      <c r="C1066" t="n">
        <v>2</v>
      </c>
      <c r="D1066" t="inlineStr">
        <is>
          <t>BAF20</t>
        </is>
      </c>
      <c r="E1066" t="inlineStr">
        <is>
          <t>PP</t>
        </is>
      </c>
      <c r="F1066" t="n">
        <v>37.9</v>
      </c>
      <c r="G1066" t="n">
        <v>136</v>
      </c>
      <c r="H1066" t="n">
        <v>1</v>
      </c>
      <c r="I1066" t="inlineStr">
        <is>
          <t>L</t>
        </is>
      </c>
      <c r="J1066" t="inlineStr">
        <is>
          <t>D</t>
        </is>
      </c>
      <c r="K1066" t="inlineStr"/>
      <c r="L1066" t="inlineStr"/>
      <c r="M1066" s="30">
        <f>0.005454*F1066^2</f>
        <v/>
      </c>
      <c r="N1066" s="31">
        <f>IF(D1066="BAF20",20/M1066,100)</f>
        <v/>
      </c>
      <c r="O1066" s="31">
        <f>M1066*N1066</f>
        <v/>
      </c>
      <c r="P1066" s="32">
        <f>2472.0*N1066</f>
        <v/>
      </c>
    </row>
    <row r="1067">
      <c r="A1067" t="inlineStr">
        <is>
          <t>U2-32</t>
        </is>
      </c>
      <c r="B1067" t="n">
        <v>2</v>
      </c>
      <c r="C1067" t="n">
        <v>3</v>
      </c>
      <c r="D1067" t="inlineStr">
        <is>
          <t>BAF20</t>
        </is>
      </c>
      <c r="E1067" t="inlineStr">
        <is>
          <t>PP</t>
        </is>
      </c>
      <c r="F1067" t="n">
        <v>21.6</v>
      </c>
      <c r="G1067" t="n">
        <v>98</v>
      </c>
      <c r="H1067" t="n">
        <v>2</v>
      </c>
      <c r="I1067" t="inlineStr">
        <is>
          <t>L</t>
        </is>
      </c>
      <c r="J1067" t="inlineStr">
        <is>
          <t>C</t>
        </is>
      </c>
      <c r="K1067" t="inlineStr"/>
      <c r="L1067" t="inlineStr"/>
      <c r="M1067" s="30">
        <f>0.005454*F1067^2</f>
        <v/>
      </c>
      <c r="N1067" s="31">
        <f>IF(D1067="BAF20",20/M1067,100)</f>
        <v/>
      </c>
      <c r="O1067" s="31">
        <f>M1067*N1067</f>
        <v/>
      </c>
      <c r="P1067" s="32">
        <f>447.5*N1067</f>
        <v/>
      </c>
    </row>
    <row r="1068">
      <c r="A1068" t="inlineStr">
        <is>
          <t>U2-32</t>
        </is>
      </c>
      <c r="B1068" t="n">
        <v>2</v>
      </c>
      <c r="C1068" t="n">
        <v>4</v>
      </c>
      <c r="D1068" t="inlineStr">
        <is>
          <t>BAF20</t>
        </is>
      </c>
      <c r="E1068" t="inlineStr">
        <is>
          <t>WF</t>
        </is>
      </c>
      <c r="F1068" t="n">
        <v>11.5</v>
      </c>
      <c r="G1068" t="n">
        <v>62</v>
      </c>
      <c r="H1068" t="n">
        <v>3</v>
      </c>
      <c r="I1068" t="inlineStr">
        <is>
          <t>L</t>
        </is>
      </c>
      <c r="J1068" t="inlineStr">
        <is>
          <t>S</t>
        </is>
      </c>
      <c r="K1068" t="inlineStr">
        <is>
          <t>Y</t>
        </is>
      </c>
      <c r="L1068" t="inlineStr"/>
      <c r="M1068" s="30">
        <f>0.005454*F1068^2</f>
        <v/>
      </c>
      <c r="N1068" s="31">
        <f>IF(D1068="BAF20",20/M1068,100)</f>
        <v/>
      </c>
      <c r="O1068" s="31">
        <f>M1068*N1068</f>
        <v/>
      </c>
      <c r="P1068" s="32">
        <f>64.5*N1068</f>
        <v/>
      </c>
    </row>
    <row r="1069">
      <c r="A1069" t="inlineStr">
        <is>
          <t>U2-32</t>
        </is>
      </c>
      <c r="B1069" t="n">
        <v>2</v>
      </c>
      <c r="C1069" t="n">
        <v>5</v>
      </c>
      <c r="D1069" t="inlineStr">
        <is>
          <t>BAF20</t>
        </is>
      </c>
      <c r="E1069" t="inlineStr">
        <is>
          <t>IC</t>
        </is>
      </c>
      <c r="F1069" t="n">
        <v>11.9</v>
      </c>
      <c r="G1069" t="n">
        <v>47</v>
      </c>
      <c r="H1069" t="n">
        <v>4</v>
      </c>
      <c r="I1069" t="inlineStr">
        <is>
          <t>L</t>
        </is>
      </c>
      <c r="J1069" t="inlineStr">
        <is>
          <t>S</t>
        </is>
      </c>
      <c r="K1069" t="inlineStr">
        <is>
          <t>Y</t>
        </is>
      </c>
      <c r="L1069" t="inlineStr"/>
      <c r="M1069" s="30">
        <f>0.005454*F1069^2</f>
        <v/>
      </c>
      <c r="N1069" s="31">
        <f>IF(D1069="BAF20",20/M1069,100)</f>
        <v/>
      </c>
      <c r="O1069" s="31">
        <f>M1069*N1069</f>
        <v/>
      </c>
      <c r="P1069" s="32">
        <f>52.3*N1069</f>
        <v/>
      </c>
    </row>
    <row r="1070">
      <c r="A1070" t="inlineStr">
        <is>
          <t>U2-32</t>
        </is>
      </c>
      <c r="B1070" t="n">
        <v>2</v>
      </c>
      <c r="C1070" t="n">
        <v>6</v>
      </c>
      <c r="D1070" t="inlineStr">
        <is>
          <t>BAF20</t>
        </is>
      </c>
      <c r="E1070" t="inlineStr">
        <is>
          <t>PP</t>
        </is>
      </c>
      <c r="F1070" t="n">
        <v>13.5</v>
      </c>
      <c r="G1070" t="n">
        <v>70</v>
      </c>
      <c r="H1070" t="n">
        <v>3</v>
      </c>
      <c r="I1070" t="inlineStr">
        <is>
          <t>L</t>
        </is>
      </c>
      <c r="J1070" t="inlineStr">
        <is>
          <t>S</t>
        </is>
      </c>
      <c r="K1070" t="inlineStr"/>
      <c r="L1070" t="inlineStr"/>
      <c r="M1070" s="30">
        <f>0.005454*F1070^2</f>
        <v/>
      </c>
      <c r="N1070" s="31">
        <f>IF(D1070="BAF20",20/M1070,100)</f>
        <v/>
      </c>
      <c r="O1070" s="31">
        <f>M1070*N1070</f>
        <v/>
      </c>
      <c r="P1070" s="32">
        <f>105.0*N1070</f>
        <v/>
      </c>
    </row>
    <row r="1071">
      <c r="A1071" t="inlineStr">
        <is>
          <t>U2-32</t>
        </is>
      </c>
      <c r="B1071" t="n">
        <v>2</v>
      </c>
      <c r="C1071" t="n">
        <v>7</v>
      </c>
      <c r="D1071" t="inlineStr">
        <is>
          <t>FIX100</t>
        </is>
      </c>
      <c r="E1071" t="inlineStr">
        <is>
          <t>WF</t>
        </is>
      </c>
      <c r="F1071" t="n">
        <v>3.6</v>
      </c>
      <c r="G1071" t="n">
        <v>19</v>
      </c>
      <c r="H1071" t="n">
        <v>0</v>
      </c>
      <c r="I1071" t="inlineStr">
        <is>
          <t>L</t>
        </is>
      </c>
      <c r="J1071" t="inlineStr">
        <is>
          <t>S</t>
        </is>
      </c>
      <c r="K1071" t="inlineStr"/>
      <c r="L1071" t="inlineStr"/>
      <c r="M1071" s="30">
        <f>0.005454*F1071^2</f>
        <v/>
      </c>
      <c r="N1071" s="31">
        <f>IF(D1071="BAF20",20/M1071,100)</f>
        <v/>
      </c>
      <c r="O1071" s="31">
        <f>M1071*N1071</f>
        <v/>
      </c>
      <c r="P1071" s="32">
        <f>0.0*N1071</f>
        <v/>
      </c>
    </row>
    <row r="1072">
      <c r="A1072" t="inlineStr">
        <is>
          <t>U2-32</t>
        </is>
      </c>
      <c r="B1072" t="n">
        <v>2</v>
      </c>
      <c r="C1072" t="n">
        <v>8</v>
      </c>
      <c r="D1072" t="inlineStr">
        <is>
          <t>FIX100</t>
        </is>
      </c>
      <c r="E1072" t="inlineStr">
        <is>
          <t>PP</t>
        </is>
      </c>
      <c r="F1072" t="n">
        <v>4</v>
      </c>
      <c r="G1072" t="n">
        <v>25</v>
      </c>
      <c r="H1072" t="n">
        <v>0</v>
      </c>
      <c r="I1072" t="inlineStr">
        <is>
          <t>L</t>
        </is>
      </c>
      <c r="J1072" t="inlineStr">
        <is>
          <t>S</t>
        </is>
      </c>
      <c r="K1072" t="inlineStr"/>
      <c r="L1072" t="inlineStr"/>
      <c r="M1072" s="30">
        <f>0.005454*F1072^2</f>
        <v/>
      </c>
      <c r="N1072" s="31">
        <f>IF(D1072="BAF20",20/M1072,100)</f>
        <v/>
      </c>
      <c r="O1072" s="31">
        <f>M1072*N1072</f>
        <v/>
      </c>
      <c r="P1072" s="32">
        <f>0.0*N1072</f>
        <v/>
      </c>
    </row>
    <row r="1073">
      <c r="A1073" t="inlineStr">
        <is>
          <t>U2-32</t>
        </is>
      </c>
      <c r="B1073" t="n">
        <v>2</v>
      </c>
      <c r="C1073" t="n">
        <v>9</v>
      </c>
      <c r="D1073" t="inlineStr">
        <is>
          <t>FIX100</t>
        </is>
      </c>
      <c r="E1073" t="inlineStr">
        <is>
          <t>DF</t>
        </is>
      </c>
      <c r="F1073" t="n">
        <v>2.4</v>
      </c>
      <c r="G1073" t="n">
        <v>14</v>
      </c>
      <c r="H1073" t="n">
        <v>0</v>
      </c>
      <c r="I1073" t="inlineStr">
        <is>
          <t>L</t>
        </is>
      </c>
      <c r="J1073" t="inlineStr">
        <is>
          <t>S</t>
        </is>
      </c>
      <c r="K1073" t="inlineStr"/>
      <c r="L1073" t="inlineStr"/>
      <c r="M1073" s="30">
        <f>0.005454*F1073^2</f>
        <v/>
      </c>
      <c r="N1073" s="31">
        <f>IF(D1073="BAF20",20/M1073,100)</f>
        <v/>
      </c>
      <c r="O1073" s="31">
        <f>M1073*N1073</f>
        <v/>
      </c>
      <c r="P1073" s="32">
        <f>0.0*N1073</f>
        <v/>
      </c>
    </row>
    <row r="1074">
      <c r="A1074" t="inlineStr">
        <is>
          <t>U2-32</t>
        </is>
      </c>
      <c r="B1074" t="n">
        <v>2</v>
      </c>
      <c r="C1074" t="n">
        <v>10</v>
      </c>
      <c r="D1074" t="inlineStr">
        <is>
          <t>FIX100</t>
        </is>
      </c>
      <c r="E1074" t="inlineStr">
        <is>
          <t>BO</t>
        </is>
      </c>
      <c r="F1074" t="n">
        <v>1.2</v>
      </c>
      <c r="G1074" t="n">
        <v>8</v>
      </c>
      <c r="H1074" t="n">
        <v>0</v>
      </c>
      <c r="I1074" t="inlineStr">
        <is>
          <t>L</t>
        </is>
      </c>
      <c r="J1074" t="inlineStr">
        <is>
          <t>S</t>
        </is>
      </c>
      <c r="K1074" t="inlineStr"/>
      <c r="L1074" t="inlineStr"/>
      <c r="M1074" s="30">
        <f>0.005454*F1074^2</f>
        <v/>
      </c>
      <c r="N1074" s="31">
        <f>IF(D1074="BAF20",20/M1074,100)</f>
        <v/>
      </c>
      <c r="O1074" s="31">
        <f>M1074*N1074</f>
        <v/>
      </c>
      <c r="P1074" s="32">
        <f>0.0*N1074</f>
        <v/>
      </c>
    </row>
    <row r="1075">
      <c r="A1075" t="inlineStr">
        <is>
          <t>U2-33</t>
        </is>
      </c>
      <c r="B1075" t="n">
        <v>2</v>
      </c>
      <c r="C1075" t="n">
        <v>1</v>
      </c>
      <c r="D1075" t="inlineStr">
        <is>
          <t>BAF20</t>
        </is>
      </c>
      <c r="E1075" t="inlineStr">
        <is>
          <t>PP</t>
        </is>
      </c>
      <c r="F1075" t="n">
        <v>12.5</v>
      </c>
      <c r="G1075" t="n">
        <v>57</v>
      </c>
      <c r="H1075" t="n">
        <v>8</v>
      </c>
      <c r="I1075" t="inlineStr">
        <is>
          <t>L</t>
        </is>
      </c>
      <c r="J1075" t="inlineStr">
        <is>
          <t>S</t>
        </is>
      </c>
      <c r="K1075" t="inlineStr">
        <is>
          <t>Y</t>
        </is>
      </c>
      <c r="L1075" t="inlineStr"/>
      <c r="M1075" s="30">
        <f>0.005454*F1075^2</f>
        <v/>
      </c>
      <c r="N1075" s="31">
        <f>IF(D1075="BAF20",20/M1075,100)</f>
        <v/>
      </c>
      <c r="O1075" s="31">
        <f>M1075*N1075</f>
        <v/>
      </c>
      <c r="P1075" s="32">
        <f>68.0*N1075</f>
        <v/>
      </c>
    </row>
    <row r="1076">
      <c r="A1076" t="inlineStr">
        <is>
          <t>U2-33</t>
        </is>
      </c>
      <c r="B1076" t="n">
        <v>2</v>
      </c>
      <c r="C1076" t="n">
        <v>2</v>
      </c>
      <c r="D1076" t="inlineStr">
        <is>
          <t>BAF20</t>
        </is>
      </c>
      <c r="E1076" t="inlineStr">
        <is>
          <t>IC</t>
        </is>
      </c>
      <c r="F1076" t="n">
        <v>30.7</v>
      </c>
      <c r="G1076" t="n">
        <v>100</v>
      </c>
      <c r="H1076" t="n">
        <v>3</v>
      </c>
      <c r="I1076" t="inlineStr">
        <is>
          <t>L</t>
        </is>
      </c>
      <c r="J1076" t="inlineStr">
        <is>
          <t>D</t>
        </is>
      </c>
      <c r="K1076" t="inlineStr"/>
      <c r="L1076" t="inlineStr"/>
      <c r="M1076" s="30">
        <f>0.005454*F1076^2</f>
        <v/>
      </c>
      <c r="N1076" s="31">
        <f>IF(D1076="BAF20",20/M1076,100)</f>
        <v/>
      </c>
      <c r="O1076" s="31">
        <f>M1076*N1076</f>
        <v/>
      </c>
      <c r="P1076" s="32">
        <f>1067.3*N1076</f>
        <v/>
      </c>
    </row>
    <row r="1077">
      <c r="A1077" t="inlineStr">
        <is>
          <t>U2-33</t>
        </is>
      </c>
      <c r="B1077" t="n">
        <v>2</v>
      </c>
      <c r="C1077" t="n">
        <v>3</v>
      </c>
      <c r="D1077" t="inlineStr">
        <is>
          <t>BAF20</t>
        </is>
      </c>
      <c r="E1077" t="inlineStr">
        <is>
          <t>IC</t>
        </is>
      </c>
      <c r="F1077" t="n">
        <v>15.4</v>
      </c>
      <c r="G1077" t="n">
        <v>55</v>
      </c>
      <c r="H1077" t="n">
        <v>3</v>
      </c>
      <c r="I1077" t="inlineStr">
        <is>
          <t>L</t>
        </is>
      </c>
      <c r="J1077" t="inlineStr">
        <is>
          <t>I</t>
        </is>
      </c>
      <c r="K1077" t="inlineStr"/>
      <c r="L1077" t="inlineStr"/>
      <c r="M1077" s="30">
        <f>0.005454*F1077^2</f>
        <v/>
      </c>
      <c r="N1077" s="31">
        <f>IF(D1077="BAF20",20/M1077,100)</f>
        <v/>
      </c>
      <c r="O1077" s="31">
        <f>M1077*N1077</f>
        <v/>
      </c>
      <c r="P1077" s="32">
        <f>111.8*N1077</f>
        <v/>
      </c>
    </row>
    <row r="1078">
      <c r="A1078" t="inlineStr">
        <is>
          <t>U2-33</t>
        </is>
      </c>
      <c r="B1078" t="n">
        <v>2</v>
      </c>
      <c r="C1078" t="n">
        <v>4</v>
      </c>
      <c r="D1078" t="inlineStr">
        <is>
          <t>BAF20</t>
        </is>
      </c>
      <c r="E1078" t="inlineStr">
        <is>
          <t>PP</t>
        </is>
      </c>
      <c r="F1078" t="n">
        <v>29.2</v>
      </c>
      <c r="G1078" t="n">
        <v>114</v>
      </c>
      <c r="H1078" t="n">
        <v>2</v>
      </c>
      <c r="I1078" t="inlineStr">
        <is>
          <t>L</t>
        </is>
      </c>
      <c r="J1078" t="inlineStr">
        <is>
          <t>D</t>
        </is>
      </c>
      <c r="K1078" t="inlineStr"/>
      <c r="L1078" t="inlineStr"/>
      <c r="M1078" s="30">
        <f>0.005454*F1078^2</f>
        <v/>
      </c>
      <c r="N1078" s="31">
        <f>IF(D1078="BAF20",20/M1078,100)</f>
        <v/>
      </c>
      <c r="O1078" s="31">
        <f>M1078*N1078</f>
        <v/>
      </c>
      <c r="P1078" s="32">
        <f>1085.6*N1078</f>
        <v/>
      </c>
    </row>
    <row r="1079">
      <c r="A1079" t="inlineStr">
        <is>
          <t>U2-33</t>
        </is>
      </c>
      <c r="B1079" t="n">
        <v>2</v>
      </c>
      <c r="C1079" t="n">
        <v>5</v>
      </c>
      <c r="D1079" t="inlineStr">
        <is>
          <t>BAF20</t>
        </is>
      </c>
      <c r="E1079" t="inlineStr">
        <is>
          <t>PP</t>
        </is>
      </c>
      <c r="F1079" t="n">
        <v>25.3</v>
      </c>
      <c r="G1079" t="n">
        <v>105</v>
      </c>
      <c r="H1079" t="n">
        <v>6</v>
      </c>
      <c r="I1079" t="inlineStr">
        <is>
          <t>L</t>
        </is>
      </c>
      <c r="J1079" t="inlineStr">
        <is>
          <t>C</t>
        </is>
      </c>
      <c r="K1079" t="inlineStr"/>
      <c r="L1079" t="inlineStr"/>
      <c r="M1079" s="30">
        <f>0.005454*F1079^2</f>
        <v/>
      </c>
      <c r="N1079" s="31">
        <f>IF(D1079="BAF20",20/M1079,100)</f>
        <v/>
      </c>
      <c r="O1079" s="31">
        <f>M1079*N1079</f>
        <v/>
      </c>
      <c r="P1079" s="32">
        <f>674.3*N1079</f>
        <v/>
      </c>
    </row>
    <row r="1080">
      <c r="A1080" t="inlineStr">
        <is>
          <t>U2-33</t>
        </is>
      </c>
      <c r="B1080" t="n">
        <v>2</v>
      </c>
      <c r="C1080" t="n">
        <v>6</v>
      </c>
      <c r="D1080" t="inlineStr">
        <is>
          <t>BAF20</t>
        </is>
      </c>
      <c r="E1080" t="inlineStr">
        <is>
          <t>IC</t>
        </is>
      </c>
      <c r="F1080" t="n">
        <v>18.8</v>
      </c>
      <c r="G1080" t="n">
        <v>70</v>
      </c>
      <c r="H1080" t="n">
        <v>100</v>
      </c>
      <c r="I1080" t="inlineStr">
        <is>
          <t>D</t>
        </is>
      </c>
      <c r="J1080" t="inlineStr">
        <is>
          <t>I</t>
        </is>
      </c>
      <c r="K1080" t="inlineStr"/>
      <c r="L1080" t="inlineStr"/>
      <c r="M1080" s="30">
        <f>0.005454*F1080^2</f>
        <v/>
      </c>
      <c r="N1080" s="31">
        <f>IF(D1080="BAF20",20/M1080,100)</f>
        <v/>
      </c>
      <c r="O1080" s="31">
        <f>M1080*N1080</f>
        <v/>
      </c>
      <c r="P1080" s="32">
        <f>0.0*N1080</f>
        <v/>
      </c>
    </row>
    <row r="1081">
      <c r="A1081" t="inlineStr">
        <is>
          <t>U2-33</t>
        </is>
      </c>
      <c r="B1081" t="n">
        <v>2</v>
      </c>
      <c r="C1081" t="n">
        <v>7</v>
      </c>
      <c r="D1081" t="inlineStr">
        <is>
          <t>BAF20</t>
        </is>
      </c>
      <c r="E1081" t="inlineStr">
        <is>
          <t>PP</t>
        </is>
      </c>
      <c r="F1081" t="n">
        <v>12.8</v>
      </c>
      <c r="G1081" t="n">
        <v>69</v>
      </c>
      <c r="H1081" t="n">
        <v>3</v>
      </c>
      <c r="I1081" t="inlineStr">
        <is>
          <t>L</t>
        </is>
      </c>
      <c r="J1081" t="inlineStr">
        <is>
          <t>S</t>
        </is>
      </c>
      <c r="K1081" t="inlineStr"/>
      <c r="L1081" t="inlineStr"/>
      <c r="M1081" s="30">
        <f>0.005454*F1081^2</f>
        <v/>
      </c>
      <c r="N1081" s="31">
        <f>IF(D1081="BAF20",20/M1081,100)</f>
        <v/>
      </c>
      <c r="O1081" s="31">
        <f>M1081*N1081</f>
        <v/>
      </c>
      <c r="P1081" s="32">
        <f>91.6*N1081</f>
        <v/>
      </c>
    </row>
    <row r="1082">
      <c r="A1082" t="inlineStr">
        <is>
          <t>U2-33</t>
        </is>
      </c>
      <c r="B1082" t="n">
        <v>2</v>
      </c>
      <c r="C1082" t="n">
        <v>8</v>
      </c>
      <c r="D1082" t="inlineStr">
        <is>
          <t>BAF20</t>
        </is>
      </c>
      <c r="E1082" t="inlineStr">
        <is>
          <t>IC</t>
        </is>
      </c>
      <c r="F1082" t="n">
        <v>22.1</v>
      </c>
      <c r="G1082" t="n">
        <v>75</v>
      </c>
      <c r="H1082" t="n">
        <v>4</v>
      </c>
      <c r="I1082" t="inlineStr">
        <is>
          <t>L</t>
        </is>
      </c>
      <c r="J1082" t="inlineStr">
        <is>
          <t>C</t>
        </is>
      </c>
      <c r="K1082" t="inlineStr"/>
      <c r="L1082" t="inlineStr"/>
      <c r="M1082" s="30">
        <f>0.005454*F1082^2</f>
        <v/>
      </c>
      <c r="N1082" s="31">
        <f>IF(D1082="BAF20",20/M1082,100)</f>
        <v/>
      </c>
      <c r="O1082" s="31">
        <f>M1082*N1082</f>
        <v/>
      </c>
      <c r="P1082" s="32">
        <f>354.4*N1082</f>
        <v/>
      </c>
    </row>
    <row r="1083">
      <c r="A1083" t="inlineStr">
        <is>
          <t>U2-33</t>
        </is>
      </c>
      <c r="B1083" t="n">
        <v>2</v>
      </c>
      <c r="C1083" t="n">
        <v>9</v>
      </c>
      <c r="D1083" t="inlineStr">
        <is>
          <t>BAF20</t>
        </is>
      </c>
      <c r="E1083" t="inlineStr">
        <is>
          <t>IC</t>
        </is>
      </c>
      <c r="F1083" t="n">
        <v>7.6</v>
      </c>
      <c r="G1083" t="n">
        <v>30</v>
      </c>
      <c r="H1083" t="n">
        <v>1</v>
      </c>
      <c r="I1083" t="inlineStr">
        <is>
          <t>L</t>
        </is>
      </c>
      <c r="J1083" t="inlineStr">
        <is>
          <t>S</t>
        </is>
      </c>
      <c r="K1083" t="inlineStr">
        <is>
          <t>Y</t>
        </is>
      </c>
      <c r="L1083" t="inlineStr"/>
      <c r="M1083" s="30">
        <f>0.005454*F1083^2</f>
        <v/>
      </c>
      <c r="N1083" s="31">
        <f>IF(D1083="BAF20",20/M1083,100)</f>
        <v/>
      </c>
      <c r="O1083" s="31">
        <f>M1083*N1083</f>
        <v/>
      </c>
      <c r="P1083" s="32">
        <f>0.0*N1083</f>
        <v/>
      </c>
    </row>
    <row r="1084">
      <c r="A1084" t="inlineStr">
        <is>
          <t>U2-33</t>
        </is>
      </c>
      <c r="B1084" t="n">
        <v>2</v>
      </c>
      <c r="C1084" t="n">
        <v>10</v>
      </c>
      <c r="D1084" t="inlineStr">
        <is>
          <t>BAF20</t>
        </is>
      </c>
      <c r="E1084" t="inlineStr">
        <is>
          <t>WF</t>
        </is>
      </c>
      <c r="F1084" t="n">
        <v>28.7</v>
      </c>
      <c r="G1084" t="n">
        <v>111</v>
      </c>
      <c r="H1084" t="n">
        <v>3</v>
      </c>
      <c r="I1084" t="inlineStr">
        <is>
          <t>L</t>
        </is>
      </c>
      <c r="J1084" t="inlineStr">
        <is>
          <t>D</t>
        </is>
      </c>
      <c r="K1084" t="inlineStr"/>
      <c r="L1084" t="inlineStr"/>
      <c r="M1084" s="30">
        <f>0.005454*F1084^2</f>
        <v/>
      </c>
      <c r="N1084" s="31">
        <f>IF(D1084="BAF20",20/M1084,100)</f>
        <v/>
      </c>
      <c r="O1084" s="31">
        <f>M1084*N1084</f>
        <v/>
      </c>
      <c r="P1084" s="32">
        <f>1002.5*N1084</f>
        <v/>
      </c>
    </row>
    <row r="1085">
      <c r="A1085" t="inlineStr">
        <is>
          <t>U2-33</t>
        </is>
      </c>
      <c r="B1085" t="n">
        <v>2</v>
      </c>
      <c r="C1085" t="n">
        <v>11</v>
      </c>
      <c r="D1085" t="inlineStr">
        <is>
          <t>FIX100</t>
        </is>
      </c>
      <c r="E1085" t="inlineStr">
        <is>
          <t>DF</t>
        </is>
      </c>
      <c r="F1085" t="n">
        <v>1.4</v>
      </c>
      <c r="G1085" t="n">
        <v>10</v>
      </c>
      <c r="H1085" t="n">
        <v>0</v>
      </c>
      <c r="I1085" t="inlineStr">
        <is>
          <t>L</t>
        </is>
      </c>
      <c r="J1085" t="inlineStr">
        <is>
          <t>S</t>
        </is>
      </c>
      <c r="K1085" t="inlineStr"/>
      <c r="L1085" t="inlineStr"/>
      <c r="M1085" s="30">
        <f>0.005454*F1085^2</f>
        <v/>
      </c>
      <c r="N1085" s="31">
        <f>IF(D1085="BAF20",20/M1085,100)</f>
        <v/>
      </c>
      <c r="O1085" s="31">
        <f>M1085*N1085</f>
        <v/>
      </c>
      <c r="P1085" s="32">
        <f>0.0*N1085</f>
        <v/>
      </c>
    </row>
    <row r="1086">
      <c r="A1086" t="inlineStr">
        <is>
          <t>U2-34</t>
        </is>
      </c>
      <c r="B1086" t="n">
        <v>2</v>
      </c>
      <c r="C1086" t="n">
        <v>1</v>
      </c>
      <c r="D1086" t="inlineStr">
        <is>
          <t>BAF20</t>
        </is>
      </c>
      <c r="E1086" t="inlineStr">
        <is>
          <t>PP</t>
        </is>
      </c>
      <c r="F1086" t="n">
        <v>25.4</v>
      </c>
      <c r="G1086" t="n">
        <v>100</v>
      </c>
      <c r="H1086" t="n">
        <v>8</v>
      </c>
      <c r="I1086" t="inlineStr">
        <is>
          <t>L</t>
        </is>
      </c>
      <c r="J1086" t="inlineStr">
        <is>
          <t>D</t>
        </is>
      </c>
      <c r="K1086" t="inlineStr"/>
      <c r="L1086" t="inlineStr"/>
      <c r="M1086" s="30">
        <f>0.005454*F1086^2</f>
        <v/>
      </c>
      <c r="N1086" s="31">
        <f>IF(D1086="BAF20",20/M1086,100)</f>
        <v/>
      </c>
      <c r="O1086" s="31">
        <f>M1086*N1086</f>
        <v/>
      </c>
      <c r="P1086" s="32">
        <f>634.6*N1086</f>
        <v/>
      </c>
    </row>
    <row r="1087">
      <c r="A1087" t="inlineStr">
        <is>
          <t>U2-34</t>
        </is>
      </c>
      <c r="B1087" t="n">
        <v>2</v>
      </c>
      <c r="C1087" t="n">
        <v>2</v>
      </c>
      <c r="D1087" t="inlineStr">
        <is>
          <t>BAF20</t>
        </is>
      </c>
      <c r="E1087" t="inlineStr">
        <is>
          <t>DF</t>
        </is>
      </c>
      <c r="F1087" t="n">
        <v>35.1</v>
      </c>
      <c r="G1087" t="n">
        <v>111</v>
      </c>
      <c r="H1087" t="n">
        <v>9</v>
      </c>
      <c r="I1087" t="inlineStr">
        <is>
          <t>L</t>
        </is>
      </c>
      <c r="J1087" t="inlineStr">
        <is>
          <t>D</t>
        </is>
      </c>
      <c r="K1087" t="inlineStr"/>
      <c r="L1087" t="inlineStr"/>
      <c r="M1087" s="30">
        <f>0.005454*F1087^2</f>
        <v/>
      </c>
      <c r="N1087" s="31">
        <f>IF(D1087="BAF20",20/M1087,100)</f>
        <v/>
      </c>
      <c r="O1087" s="31">
        <f>M1087*N1087</f>
        <v/>
      </c>
      <c r="P1087" s="32">
        <f>1554.5*N1087</f>
        <v/>
      </c>
    </row>
    <row r="1088">
      <c r="A1088" t="inlineStr">
        <is>
          <t>U2-34</t>
        </is>
      </c>
      <c r="B1088" t="n">
        <v>2</v>
      </c>
      <c r="C1088" t="n">
        <v>3</v>
      </c>
      <c r="D1088" t="inlineStr">
        <is>
          <t>BAF20</t>
        </is>
      </c>
      <c r="E1088" t="inlineStr">
        <is>
          <t>DF</t>
        </is>
      </c>
      <c r="F1088" t="n">
        <v>22.3</v>
      </c>
      <c r="G1088" t="n">
        <v>101</v>
      </c>
      <c r="H1088" t="n">
        <v>2</v>
      </c>
      <c r="I1088" t="inlineStr">
        <is>
          <t>L</t>
        </is>
      </c>
      <c r="J1088" t="inlineStr">
        <is>
          <t>C</t>
        </is>
      </c>
      <c r="K1088" t="inlineStr"/>
      <c r="L1088" t="inlineStr"/>
      <c r="M1088" s="30">
        <f>0.005454*F1088^2</f>
        <v/>
      </c>
      <c r="N1088" s="31">
        <f>IF(D1088="BAF20",20/M1088,100)</f>
        <v/>
      </c>
      <c r="O1088" s="31">
        <f>M1088*N1088</f>
        <v/>
      </c>
      <c r="P1088" s="32">
        <f>497.9*N1088</f>
        <v/>
      </c>
    </row>
    <row r="1089">
      <c r="A1089" t="inlineStr">
        <is>
          <t>U2-34</t>
        </is>
      </c>
      <c r="B1089" t="n">
        <v>2</v>
      </c>
      <c r="C1089" t="n">
        <v>4</v>
      </c>
      <c r="D1089" t="inlineStr">
        <is>
          <t>BAF20</t>
        </is>
      </c>
      <c r="E1089" t="inlineStr">
        <is>
          <t>PP</t>
        </is>
      </c>
      <c r="F1089" t="n">
        <v>15.1</v>
      </c>
      <c r="G1089" t="n">
        <v>71</v>
      </c>
      <c r="H1089" t="n">
        <v>1</v>
      </c>
      <c r="I1089" t="inlineStr">
        <is>
          <t>L</t>
        </is>
      </c>
      <c r="J1089" t="inlineStr">
        <is>
          <t>I</t>
        </is>
      </c>
      <c r="K1089" t="inlineStr"/>
      <c r="L1089" t="inlineStr"/>
      <c r="M1089" s="30">
        <f>0.005454*F1089^2</f>
        <v/>
      </c>
      <c r="N1089" s="31">
        <f>IF(D1089="BAF20",20/M1089,100)</f>
        <v/>
      </c>
      <c r="O1089" s="31">
        <f>M1089*N1089</f>
        <v/>
      </c>
      <c r="P1089" s="32">
        <f>140.7*N1089</f>
        <v/>
      </c>
    </row>
    <row r="1090">
      <c r="A1090" t="inlineStr">
        <is>
          <t>U2-34</t>
        </is>
      </c>
      <c r="B1090" t="n">
        <v>2</v>
      </c>
      <c r="C1090" t="n">
        <v>5</v>
      </c>
      <c r="D1090" t="inlineStr">
        <is>
          <t>BAF20</t>
        </is>
      </c>
      <c r="E1090" t="inlineStr">
        <is>
          <t>BO</t>
        </is>
      </c>
      <c r="F1090" t="n">
        <v>26.6</v>
      </c>
      <c r="G1090" t="n">
        <v>67</v>
      </c>
      <c r="H1090" t="n">
        <v>37</v>
      </c>
      <c r="I1090" t="inlineStr">
        <is>
          <t>L</t>
        </is>
      </c>
      <c r="J1090" t="inlineStr">
        <is>
          <t>D</t>
        </is>
      </c>
      <c r="K1090" t="inlineStr"/>
      <c r="L1090" t="inlineStr"/>
      <c r="M1090" s="30">
        <f>0.005454*F1090^2</f>
        <v/>
      </c>
      <c r="N1090" s="31">
        <f>IF(D1090="BAF20",20/M1090,100)</f>
        <v/>
      </c>
      <c r="O1090" s="31">
        <f>M1090*N1090</f>
        <v/>
      </c>
      <c r="P1090" s="32">
        <f>294.9*N1090</f>
        <v/>
      </c>
    </row>
    <row r="1091">
      <c r="A1091" t="inlineStr">
        <is>
          <t>U2-34</t>
        </is>
      </c>
      <c r="B1091" t="n">
        <v>2</v>
      </c>
      <c r="C1091" t="n">
        <v>6</v>
      </c>
      <c r="D1091" t="inlineStr">
        <is>
          <t>BAF20</t>
        </is>
      </c>
      <c r="E1091" t="inlineStr">
        <is>
          <t>PP</t>
        </is>
      </c>
      <c r="F1091" t="n">
        <v>14.4</v>
      </c>
      <c r="G1091" t="n">
        <v>71</v>
      </c>
      <c r="H1091" t="n">
        <v>1</v>
      </c>
      <c r="I1091" t="inlineStr">
        <is>
          <t>L</t>
        </is>
      </c>
      <c r="J1091" t="inlineStr">
        <is>
          <t>I</t>
        </is>
      </c>
      <c r="K1091" t="inlineStr"/>
      <c r="L1091" t="inlineStr"/>
      <c r="M1091" s="30">
        <f>0.005454*F1091^2</f>
        <v/>
      </c>
      <c r="N1091" s="31">
        <f>IF(D1091="BAF20",20/M1091,100)</f>
        <v/>
      </c>
      <c r="O1091" s="31">
        <f>M1091*N1091</f>
        <v/>
      </c>
      <c r="P1091" s="32">
        <f>126.1*N1091</f>
        <v/>
      </c>
    </row>
    <row r="1092">
      <c r="A1092" t="inlineStr">
        <is>
          <t>U2-34</t>
        </is>
      </c>
      <c r="B1092" t="n">
        <v>2</v>
      </c>
      <c r="C1092" t="n">
        <v>7</v>
      </c>
      <c r="D1092" t="inlineStr">
        <is>
          <t>BAF20</t>
        </is>
      </c>
      <c r="E1092" t="inlineStr">
        <is>
          <t>IC</t>
        </is>
      </c>
      <c r="F1092" t="n">
        <v>20.4</v>
      </c>
      <c r="G1092" t="n">
        <v>81</v>
      </c>
      <c r="H1092" t="n">
        <v>9</v>
      </c>
      <c r="I1092" t="inlineStr">
        <is>
          <t>L</t>
        </is>
      </c>
      <c r="J1092" t="inlineStr">
        <is>
          <t>C</t>
        </is>
      </c>
      <c r="K1092" t="inlineStr"/>
      <c r="L1092" t="inlineStr"/>
      <c r="M1092" s="30">
        <f>0.005454*F1092^2</f>
        <v/>
      </c>
      <c r="N1092" s="31">
        <f>IF(D1092="BAF20",20/M1092,100)</f>
        <v/>
      </c>
      <c r="O1092" s="31">
        <f>M1092*N1092</f>
        <v/>
      </c>
      <c r="P1092" s="32">
        <f>299.5*N1092</f>
        <v/>
      </c>
    </row>
    <row r="1093">
      <c r="A1093" t="inlineStr">
        <is>
          <t>U2-34</t>
        </is>
      </c>
      <c r="B1093" t="n">
        <v>2</v>
      </c>
      <c r="C1093" t="n">
        <v>8</v>
      </c>
      <c r="D1093" t="inlineStr">
        <is>
          <t>BAF20</t>
        </is>
      </c>
      <c r="E1093" t="inlineStr">
        <is>
          <t>BO</t>
        </is>
      </c>
      <c r="F1093" t="n">
        <v>14.7</v>
      </c>
      <c r="G1093" t="n">
        <v>54</v>
      </c>
      <c r="H1093" t="n">
        <v>49</v>
      </c>
      <c r="I1093" t="inlineStr">
        <is>
          <t>L</t>
        </is>
      </c>
      <c r="J1093" t="inlineStr">
        <is>
          <t>I</t>
        </is>
      </c>
      <c r="K1093" t="inlineStr"/>
      <c r="L1093" t="inlineStr"/>
      <c r="M1093" s="30">
        <f>0.005454*F1093^2</f>
        <v/>
      </c>
      <c r="N1093" s="31">
        <f>IF(D1093="BAF20",20/M1093,100)</f>
        <v/>
      </c>
      <c r="O1093" s="31">
        <f>M1093*N1093</f>
        <v/>
      </c>
      <c r="P1093" s="32">
        <f>46.9*N1093</f>
        <v/>
      </c>
    </row>
    <row r="1094">
      <c r="A1094" t="inlineStr">
        <is>
          <t>U2-34</t>
        </is>
      </c>
      <c r="B1094" t="n">
        <v>2</v>
      </c>
      <c r="C1094" t="n">
        <v>9</v>
      </c>
      <c r="D1094" t="inlineStr">
        <is>
          <t>BAF20</t>
        </is>
      </c>
      <c r="E1094" t="inlineStr">
        <is>
          <t>BO</t>
        </is>
      </c>
      <c r="F1094" t="n">
        <v>10.8</v>
      </c>
      <c r="G1094" t="n">
        <v>42</v>
      </c>
      <c r="H1094" t="n">
        <v>9</v>
      </c>
      <c r="I1094" t="inlineStr">
        <is>
          <t>L</t>
        </is>
      </c>
      <c r="J1094" t="inlineStr">
        <is>
          <t>S</t>
        </is>
      </c>
      <c r="K1094" t="inlineStr">
        <is>
          <t>Y</t>
        </is>
      </c>
      <c r="L1094" t="inlineStr"/>
      <c r="M1094" s="30">
        <f>0.005454*F1094^2</f>
        <v/>
      </c>
      <c r="N1094" s="31">
        <f>IF(D1094="BAF20",20/M1094,100)</f>
        <v/>
      </c>
      <c r="O1094" s="31">
        <f>M1094*N1094</f>
        <v/>
      </c>
      <c r="P1094" s="32">
        <f>32.2*N1094</f>
        <v/>
      </c>
    </row>
    <row r="1095">
      <c r="A1095" t="inlineStr">
        <is>
          <t>U2-34</t>
        </is>
      </c>
      <c r="B1095" t="n">
        <v>2</v>
      </c>
      <c r="C1095" t="n">
        <v>10</v>
      </c>
      <c r="D1095" t="inlineStr">
        <is>
          <t>BAF20</t>
        </is>
      </c>
      <c r="E1095" t="inlineStr">
        <is>
          <t>SP</t>
        </is>
      </c>
      <c r="F1095" t="n">
        <v>31.4</v>
      </c>
      <c r="G1095" t="n">
        <v>119</v>
      </c>
      <c r="H1095" t="n">
        <v>8</v>
      </c>
      <c r="I1095" t="inlineStr">
        <is>
          <t>L</t>
        </is>
      </c>
      <c r="J1095" t="inlineStr">
        <is>
          <t>D</t>
        </is>
      </c>
      <c r="K1095" t="inlineStr"/>
      <c r="L1095" t="inlineStr"/>
      <c r="M1095" s="30">
        <f>0.005454*F1095^2</f>
        <v/>
      </c>
      <c r="N1095" s="31">
        <f>IF(D1095="BAF20",20/M1095,100)</f>
        <v/>
      </c>
      <c r="O1095" s="31">
        <f>M1095*N1095</f>
        <v/>
      </c>
      <c r="P1095" s="32">
        <f>1274.2*N1095</f>
        <v/>
      </c>
    </row>
    <row r="1096">
      <c r="A1096" t="inlineStr">
        <is>
          <t>U2-35</t>
        </is>
      </c>
      <c r="B1096" t="n">
        <v>2</v>
      </c>
      <c r="C1096" t="n">
        <v>1</v>
      </c>
      <c r="D1096" t="inlineStr">
        <is>
          <t>BAF20</t>
        </is>
      </c>
      <c r="E1096" t="inlineStr">
        <is>
          <t>PP</t>
        </is>
      </c>
      <c r="F1096" t="n">
        <v>17.1</v>
      </c>
      <c r="G1096" t="n">
        <v>80</v>
      </c>
      <c r="H1096" t="n">
        <v>2</v>
      </c>
      <c r="I1096" t="inlineStr">
        <is>
          <t>L</t>
        </is>
      </c>
      <c r="J1096" t="inlineStr">
        <is>
          <t>I</t>
        </is>
      </c>
      <c r="K1096" t="inlineStr"/>
      <c r="L1096" t="inlineStr"/>
      <c r="M1096" s="30">
        <f>0.005454*F1096^2</f>
        <v/>
      </c>
      <c r="N1096" s="31">
        <f>IF(D1096="BAF20",20/M1096,100)</f>
        <v/>
      </c>
      <c r="O1096" s="31">
        <f>M1096*N1096</f>
        <v/>
      </c>
      <c r="P1096" s="32">
        <f>209.8*N1096</f>
        <v/>
      </c>
    </row>
    <row r="1097">
      <c r="A1097" t="inlineStr">
        <is>
          <t>U2-35</t>
        </is>
      </c>
      <c r="B1097" t="n">
        <v>2</v>
      </c>
      <c r="C1097" t="n">
        <v>2</v>
      </c>
      <c r="D1097" t="inlineStr">
        <is>
          <t>BAF20</t>
        </is>
      </c>
      <c r="E1097" t="inlineStr">
        <is>
          <t>PP</t>
        </is>
      </c>
      <c r="F1097" t="n">
        <v>50.9</v>
      </c>
      <c r="G1097" t="n">
        <v>141</v>
      </c>
      <c r="H1097" t="n">
        <v>2</v>
      </c>
      <c r="I1097" t="inlineStr">
        <is>
          <t>L</t>
        </is>
      </c>
      <c r="J1097" t="inlineStr">
        <is>
          <t>D</t>
        </is>
      </c>
      <c r="K1097" t="inlineStr"/>
      <c r="L1097" t="inlineStr"/>
      <c r="M1097" s="30">
        <f>0.005454*F1097^2</f>
        <v/>
      </c>
      <c r="N1097" s="31">
        <f>IF(D1097="BAF20",20/M1097,100)</f>
        <v/>
      </c>
      <c r="O1097" s="31">
        <f>M1097*N1097</f>
        <v/>
      </c>
      <c r="P1097" s="32">
        <f>4575.9*N1097</f>
        <v/>
      </c>
    </row>
    <row r="1098">
      <c r="A1098" t="inlineStr">
        <is>
          <t>U2-35</t>
        </is>
      </c>
      <c r="B1098" t="n">
        <v>2</v>
      </c>
      <c r="C1098" t="n">
        <v>3</v>
      </c>
      <c r="D1098" t="inlineStr">
        <is>
          <t>BAF20</t>
        </is>
      </c>
      <c r="E1098" t="inlineStr">
        <is>
          <t>IC</t>
        </is>
      </c>
      <c r="F1098" t="n">
        <v>12.5</v>
      </c>
      <c r="G1098" t="n">
        <v>48</v>
      </c>
      <c r="H1098" t="n">
        <v>13</v>
      </c>
      <c r="I1098" t="inlineStr">
        <is>
          <t>L</t>
        </is>
      </c>
      <c r="J1098" t="inlineStr">
        <is>
          <t>S</t>
        </is>
      </c>
      <c r="K1098" t="inlineStr">
        <is>
          <t>Y</t>
        </is>
      </c>
      <c r="L1098" t="inlineStr"/>
      <c r="M1098" s="30">
        <f>0.005454*F1098^2</f>
        <v/>
      </c>
      <c r="N1098" s="31">
        <f>IF(D1098="BAF20",20/M1098,100)</f>
        <v/>
      </c>
      <c r="O1098" s="31">
        <f>M1098*N1098</f>
        <v/>
      </c>
      <c r="P1098" s="32">
        <f>54.1*N1098</f>
        <v/>
      </c>
    </row>
    <row r="1099">
      <c r="A1099" t="inlineStr">
        <is>
          <t>U2-35</t>
        </is>
      </c>
      <c r="B1099" t="n">
        <v>2</v>
      </c>
      <c r="C1099" t="n">
        <v>4</v>
      </c>
      <c r="D1099" t="inlineStr">
        <is>
          <t>BAF20</t>
        </is>
      </c>
      <c r="E1099" t="inlineStr">
        <is>
          <t>BO</t>
        </is>
      </c>
      <c r="F1099" t="n">
        <v>21.1</v>
      </c>
      <c r="G1099" t="n">
        <v>59</v>
      </c>
      <c r="H1099" t="n">
        <v>4</v>
      </c>
      <c r="I1099" t="inlineStr">
        <is>
          <t>L</t>
        </is>
      </c>
      <c r="J1099" t="inlineStr">
        <is>
          <t>C</t>
        </is>
      </c>
      <c r="K1099" t="inlineStr"/>
      <c r="L1099" t="inlineStr"/>
      <c r="M1099" s="30">
        <f>0.005454*F1099^2</f>
        <v/>
      </c>
      <c r="N1099" s="31">
        <f>IF(D1099="BAF20",20/M1099,100)</f>
        <v/>
      </c>
      <c r="O1099" s="31">
        <f>M1099*N1099</f>
        <v/>
      </c>
      <c r="P1099" s="32">
        <f>225.7*N1099</f>
        <v/>
      </c>
    </row>
    <row r="1100">
      <c r="A1100" t="inlineStr">
        <is>
          <t>U2-35</t>
        </is>
      </c>
      <c r="B1100" t="n">
        <v>2</v>
      </c>
      <c r="C1100" t="n">
        <v>5</v>
      </c>
      <c r="D1100" t="inlineStr">
        <is>
          <t>BAF20</t>
        </is>
      </c>
      <c r="E1100" t="inlineStr">
        <is>
          <t>WF</t>
        </is>
      </c>
      <c r="F1100" t="n">
        <v>15.1</v>
      </c>
      <c r="G1100" t="n">
        <v>78</v>
      </c>
      <c r="H1100" t="n">
        <v>9</v>
      </c>
      <c r="I1100" t="inlineStr">
        <is>
          <t>L</t>
        </is>
      </c>
      <c r="J1100" t="inlineStr">
        <is>
          <t>I</t>
        </is>
      </c>
      <c r="K1100" t="inlineStr"/>
      <c r="L1100" t="inlineStr"/>
      <c r="M1100" s="30">
        <f>0.005454*F1100^2</f>
        <v/>
      </c>
      <c r="N1100" s="31">
        <f>IF(D1100="BAF20",20/M1100,100)</f>
        <v/>
      </c>
      <c r="O1100" s="31">
        <f>M1100*N1100</f>
        <v/>
      </c>
      <c r="P1100" s="32">
        <f>142.1*N1100</f>
        <v/>
      </c>
    </row>
    <row r="1101">
      <c r="A1101" t="inlineStr">
        <is>
          <t>U2-35</t>
        </is>
      </c>
      <c r="B1101" t="n">
        <v>2</v>
      </c>
      <c r="C1101" t="n">
        <v>6</v>
      </c>
      <c r="D1101" t="inlineStr">
        <is>
          <t>BAF20</t>
        </is>
      </c>
      <c r="E1101" t="inlineStr">
        <is>
          <t>BO</t>
        </is>
      </c>
      <c r="F1101" t="n">
        <v>21.6</v>
      </c>
      <c r="G1101" t="n">
        <v>67</v>
      </c>
      <c r="H1101" t="n">
        <v>21</v>
      </c>
      <c r="I1101" t="inlineStr">
        <is>
          <t>L</t>
        </is>
      </c>
      <c r="J1101" t="inlineStr">
        <is>
          <t>C</t>
        </is>
      </c>
      <c r="K1101" t="inlineStr"/>
      <c r="L1101" t="inlineStr"/>
      <c r="M1101" s="30">
        <f>0.005454*F1101^2</f>
        <v/>
      </c>
      <c r="N1101" s="31">
        <f>IF(D1101="BAF20",20/M1101,100)</f>
        <v/>
      </c>
      <c r="O1101" s="31">
        <f>M1101*N1101</f>
        <v/>
      </c>
      <c r="P1101" s="32">
        <f>223.1*N1101</f>
        <v/>
      </c>
    </row>
    <row r="1102">
      <c r="A1102" t="inlineStr">
        <is>
          <t>U2-35</t>
        </is>
      </c>
      <c r="B1102" t="n">
        <v>2</v>
      </c>
      <c r="C1102" t="n">
        <v>7</v>
      </c>
      <c r="D1102" t="inlineStr">
        <is>
          <t>BAF20</t>
        </is>
      </c>
      <c r="E1102" t="inlineStr">
        <is>
          <t>WF</t>
        </is>
      </c>
      <c r="F1102" t="n">
        <v>9.800000000000001</v>
      </c>
      <c r="G1102" t="n">
        <v>53</v>
      </c>
      <c r="H1102" t="n">
        <v>3</v>
      </c>
      <c r="I1102" t="inlineStr">
        <is>
          <t>L</t>
        </is>
      </c>
      <c r="J1102" t="inlineStr">
        <is>
          <t>S</t>
        </is>
      </c>
      <c r="K1102" t="inlineStr">
        <is>
          <t>Y</t>
        </is>
      </c>
      <c r="L1102" t="inlineStr"/>
      <c r="M1102" s="30">
        <f>0.005454*F1102^2</f>
        <v/>
      </c>
      <c r="N1102" s="31">
        <f>IF(D1102="BAF20",20/M1102,100)</f>
        <v/>
      </c>
      <c r="O1102" s="31">
        <f>M1102*N1102</f>
        <v/>
      </c>
      <c r="P1102" s="32">
        <f>0.0*N1102</f>
        <v/>
      </c>
    </row>
    <row r="1103">
      <c r="A1103" t="inlineStr">
        <is>
          <t>U2-35</t>
        </is>
      </c>
      <c r="B1103" t="n">
        <v>2</v>
      </c>
      <c r="C1103" t="n">
        <v>8</v>
      </c>
      <c r="D1103" t="inlineStr">
        <is>
          <t>FIX100</t>
        </is>
      </c>
      <c r="E1103" t="inlineStr">
        <is>
          <t>BO</t>
        </is>
      </c>
      <c r="F1103" t="n">
        <v>3.8</v>
      </c>
      <c r="G1103" t="n">
        <v>21</v>
      </c>
      <c r="H1103" t="n">
        <v>0</v>
      </c>
      <c r="I1103" t="inlineStr">
        <is>
          <t>L</t>
        </is>
      </c>
      <c r="J1103" t="inlineStr">
        <is>
          <t>S</t>
        </is>
      </c>
      <c r="K1103" t="inlineStr"/>
      <c r="L1103" t="inlineStr"/>
      <c r="M1103" s="30">
        <f>0.005454*F1103^2</f>
        <v/>
      </c>
      <c r="N1103" s="31">
        <f>IF(D1103="BAF20",20/M1103,100)</f>
        <v/>
      </c>
      <c r="O1103" s="31">
        <f>M1103*N1103</f>
        <v/>
      </c>
      <c r="P1103" s="32">
        <f>0.0*N1103</f>
        <v/>
      </c>
    </row>
    <row r="1104">
      <c r="A1104" t="inlineStr">
        <is>
          <t>U2-35</t>
        </is>
      </c>
      <c r="B1104" t="n">
        <v>2</v>
      </c>
      <c r="C1104" t="n">
        <v>9</v>
      </c>
      <c r="D1104" t="inlineStr">
        <is>
          <t>FIX100</t>
        </is>
      </c>
      <c r="E1104" t="inlineStr">
        <is>
          <t>IC</t>
        </is>
      </c>
      <c r="F1104" t="n">
        <v>2.1</v>
      </c>
      <c r="G1104" t="n">
        <v>10</v>
      </c>
      <c r="H1104" t="n">
        <v>0</v>
      </c>
      <c r="I1104" t="inlineStr">
        <is>
          <t>L</t>
        </is>
      </c>
      <c r="J1104" t="inlineStr">
        <is>
          <t>S</t>
        </is>
      </c>
      <c r="K1104" t="inlineStr"/>
      <c r="L1104" t="inlineStr"/>
      <c r="M1104" s="30">
        <f>0.005454*F1104^2</f>
        <v/>
      </c>
      <c r="N1104" s="31">
        <f>IF(D1104="BAF20",20/M1104,100)</f>
        <v/>
      </c>
      <c r="O1104" s="31">
        <f>M1104*N1104</f>
        <v/>
      </c>
      <c r="P1104" s="32">
        <f>0.0*N1104</f>
        <v/>
      </c>
    </row>
    <row r="1105">
      <c r="A1105" t="inlineStr">
        <is>
          <t>U2-36</t>
        </is>
      </c>
      <c r="B1105" t="n">
        <v>2</v>
      </c>
      <c r="C1105" t="n">
        <v>1</v>
      </c>
      <c r="D1105" t="inlineStr">
        <is>
          <t>BAF20</t>
        </is>
      </c>
      <c r="E1105" t="inlineStr">
        <is>
          <t>WF</t>
        </is>
      </c>
      <c r="F1105" t="n">
        <v>9.300000000000001</v>
      </c>
      <c r="G1105" t="n">
        <v>50</v>
      </c>
      <c r="H1105" t="n">
        <v>5</v>
      </c>
      <c r="I1105" t="inlineStr">
        <is>
          <t>L</t>
        </is>
      </c>
      <c r="J1105" t="inlineStr">
        <is>
          <t>S</t>
        </is>
      </c>
      <c r="K1105" t="inlineStr">
        <is>
          <t>Y</t>
        </is>
      </c>
      <c r="L1105" t="inlineStr"/>
      <c r="M1105" s="30">
        <f>0.005454*F1105^2</f>
        <v/>
      </c>
      <c r="N1105" s="31">
        <f>IF(D1105="BAF20",20/M1105,100)</f>
        <v/>
      </c>
      <c r="O1105" s="31">
        <f>M1105*N1105</f>
        <v/>
      </c>
      <c r="P1105" s="32">
        <f>0.0*N1105</f>
        <v/>
      </c>
    </row>
    <row r="1106">
      <c r="A1106" t="inlineStr">
        <is>
          <t>U2-36</t>
        </is>
      </c>
      <c r="B1106" t="n">
        <v>2</v>
      </c>
      <c r="C1106" t="n">
        <v>2</v>
      </c>
      <c r="D1106" t="inlineStr">
        <is>
          <t>BAF20</t>
        </is>
      </c>
      <c r="E1106" t="inlineStr">
        <is>
          <t>BO</t>
        </is>
      </c>
      <c r="F1106" t="n">
        <v>11.4</v>
      </c>
      <c r="G1106" t="n">
        <v>45</v>
      </c>
      <c r="H1106" t="n">
        <v>36</v>
      </c>
      <c r="I1106" t="inlineStr">
        <is>
          <t>L</t>
        </is>
      </c>
      <c r="J1106" t="inlineStr">
        <is>
          <t>S</t>
        </is>
      </c>
      <c r="K1106" t="inlineStr">
        <is>
          <t>Y</t>
        </is>
      </c>
      <c r="L1106" t="inlineStr"/>
      <c r="M1106" s="30">
        <f>0.005454*F1106^2</f>
        <v/>
      </c>
      <c r="N1106" s="31">
        <f>IF(D1106="BAF20",20/M1106,100)</f>
        <v/>
      </c>
      <c r="O1106" s="31">
        <f>M1106*N1106</f>
        <v/>
      </c>
      <c r="P1106" s="32">
        <f>27.4*N1106</f>
        <v/>
      </c>
    </row>
    <row r="1107">
      <c r="A1107" t="inlineStr">
        <is>
          <t>U2-36</t>
        </is>
      </c>
      <c r="B1107" t="n">
        <v>2</v>
      </c>
      <c r="C1107" t="n">
        <v>3</v>
      </c>
      <c r="D1107" t="inlineStr">
        <is>
          <t>BAF20</t>
        </is>
      </c>
      <c r="E1107" t="inlineStr">
        <is>
          <t>WF</t>
        </is>
      </c>
      <c r="F1107" t="n">
        <v>31</v>
      </c>
      <c r="G1107" t="n">
        <v>123</v>
      </c>
      <c r="H1107" t="n">
        <v>13</v>
      </c>
      <c r="I1107" t="inlineStr">
        <is>
          <t>L</t>
        </is>
      </c>
      <c r="J1107" t="inlineStr">
        <is>
          <t>D</t>
        </is>
      </c>
      <c r="K1107" t="inlineStr"/>
      <c r="L1107" t="inlineStr"/>
      <c r="M1107" s="30">
        <f>0.005454*F1107^2</f>
        <v/>
      </c>
      <c r="N1107" s="31">
        <f>IF(D1107="BAF20",20/M1107,100)</f>
        <v/>
      </c>
      <c r="O1107" s="31">
        <f>M1107*N1107</f>
        <v/>
      </c>
      <c r="P1107" s="32">
        <f>1206.3*N1107</f>
        <v/>
      </c>
    </row>
    <row r="1108">
      <c r="A1108" t="inlineStr">
        <is>
          <t>U2-36</t>
        </is>
      </c>
      <c r="B1108" t="n">
        <v>2</v>
      </c>
      <c r="C1108" t="n">
        <v>4</v>
      </c>
      <c r="D1108" t="inlineStr">
        <is>
          <t>BAF20</t>
        </is>
      </c>
      <c r="E1108" t="inlineStr">
        <is>
          <t>PP</t>
        </is>
      </c>
      <c r="F1108" t="n">
        <v>20.3</v>
      </c>
      <c r="G1108" t="n">
        <v>88</v>
      </c>
      <c r="H1108" t="n">
        <v>6</v>
      </c>
      <c r="I1108" t="inlineStr">
        <is>
          <t>L</t>
        </is>
      </c>
      <c r="J1108" t="inlineStr">
        <is>
          <t>C</t>
        </is>
      </c>
      <c r="K1108" t="inlineStr"/>
      <c r="L1108" t="inlineStr"/>
      <c r="M1108" s="30">
        <f>0.005454*F1108^2</f>
        <v/>
      </c>
      <c r="N1108" s="31">
        <f>IF(D1108="BAF20",20/M1108,100)</f>
        <v/>
      </c>
      <c r="O1108" s="31">
        <f>M1108*N1108</f>
        <v/>
      </c>
      <c r="P1108" s="32">
        <f>332.2*N1108</f>
        <v/>
      </c>
    </row>
    <row r="1109">
      <c r="A1109" t="inlineStr">
        <is>
          <t>U2-36</t>
        </is>
      </c>
      <c r="B1109" t="n">
        <v>2</v>
      </c>
      <c r="C1109" t="n">
        <v>5</v>
      </c>
      <c r="D1109" t="inlineStr">
        <is>
          <t>BAF20</t>
        </is>
      </c>
      <c r="E1109" t="inlineStr">
        <is>
          <t>DF</t>
        </is>
      </c>
      <c r="F1109" t="n">
        <v>15.4</v>
      </c>
      <c r="G1109" t="n">
        <v>79</v>
      </c>
      <c r="H1109" t="n">
        <v>13</v>
      </c>
      <c r="I1109" t="inlineStr">
        <is>
          <t>L</t>
        </is>
      </c>
      <c r="J1109" t="inlineStr">
        <is>
          <t>I</t>
        </is>
      </c>
      <c r="K1109" t="inlineStr"/>
      <c r="L1109" t="inlineStr"/>
      <c r="M1109" s="30">
        <f>0.005454*F1109^2</f>
        <v/>
      </c>
      <c r="N1109" s="31">
        <f>IF(D1109="BAF20",20/M1109,100)</f>
        <v/>
      </c>
      <c r="O1109" s="31">
        <f>M1109*N1109</f>
        <v/>
      </c>
      <c r="P1109" s="32">
        <f>144.0*N1109</f>
        <v/>
      </c>
    </row>
    <row r="1110">
      <c r="A1110" t="inlineStr">
        <is>
          <t>U2-36</t>
        </is>
      </c>
      <c r="B1110" t="n">
        <v>2</v>
      </c>
      <c r="C1110" t="n">
        <v>6</v>
      </c>
      <c r="D1110" t="inlineStr">
        <is>
          <t>BAF20</t>
        </is>
      </c>
      <c r="E1110" t="inlineStr">
        <is>
          <t>DF</t>
        </is>
      </c>
      <c r="F1110" t="n">
        <v>21.2</v>
      </c>
      <c r="G1110" t="n">
        <v>98</v>
      </c>
      <c r="H1110" t="n">
        <v>5</v>
      </c>
      <c r="I1110" t="inlineStr">
        <is>
          <t>L</t>
        </is>
      </c>
      <c r="J1110" t="inlineStr">
        <is>
          <t>C</t>
        </is>
      </c>
      <c r="K1110" t="inlineStr"/>
      <c r="L1110" t="inlineStr"/>
      <c r="M1110" s="30">
        <f>0.005454*F1110^2</f>
        <v/>
      </c>
      <c r="N1110" s="31">
        <f>IF(D1110="BAF20",20/M1110,100)</f>
        <v/>
      </c>
      <c r="O1110" s="31">
        <f>M1110*N1110</f>
        <v/>
      </c>
      <c r="P1110" s="32">
        <f>414.8*N1110</f>
        <v/>
      </c>
    </row>
    <row r="1111">
      <c r="A1111" t="inlineStr">
        <is>
          <t>U2-36</t>
        </is>
      </c>
      <c r="B1111" t="n">
        <v>2</v>
      </c>
      <c r="C1111" t="n">
        <v>7</v>
      </c>
      <c r="D1111" t="inlineStr">
        <is>
          <t>BAF20</t>
        </is>
      </c>
      <c r="E1111" t="inlineStr">
        <is>
          <t>WF</t>
        </is>
      </c>
      <c r="F1111" t="n">
        <v>11.9</v>
      </c>
      <c r="G1111" t="n">
        <v>60</v>
      </c>
      <c r="H1111" t="n">
        <v>7</v>
      </c>
      <c r="I1111" t="inlineStr">
        <is>
          <t>L</t>
        </is>
      </c>
      <c r="J1111" t="inlineStr">
        <is>
          <t>S</t>
        </is>
      </c>
      <c r="K1111" t="inlineStr">
        <is>
          <t>Y</t>
        </is>
      </c>
      <c r="L1111" t="inlineStr"/>
      <c r="M1111" s="30">
        <f>0.005454*F1111^2</f>
        <v/>
      </c>
      <c r="N1111" s="31">
        <f>IF(D1111="BAF20",20/M1111,100)</f>
        <v/>
      </c>
      <c r="O1111" s="31">
        <f>M1111*N1111</f>
        <v/>
      </c>
      <c r="P1111" s="32">
        <f>64.7*N1111</f>
        <v/>
      </c>
    </row>
    <row r="1112">
      <c r="A1112" t="inlineStr">
        <is>
          <t>U2-36</t>
        </is>
      </c>
      <c r="B1112" t="n">
        <v>2</v>
      </c>
      <c r="C1112" t="n">
        <v>8</v>
      </c>
      <c r="D1112" t="inlineStr">
        <is>
          <t>BAF20</t>
        </is>
      </c>
      <c r="E1112" t="inlineStr">
        <is>
          <t>DF</t>
        </is>
      </c>
      <c r="F1112" t="n">
        <v>11</v>
      </c>
      <c r="G1112" t="n">
        <v>57</v>
      </c>
      <c r="H1112" t="n">
        <v>2</v>
      </c>
      <c r="I1112" t="inlineStr">
        <is>
          <t>L</t>
        </is>
      </c>
      <c r="J1112" t="inlineStr">
        <is>
          <t>S</t>
        </is>
      </c>
      <c r="K1112" t="inlineStr">
        <is>
          <t>Y</t>
        </is>
      </c>
      <c r="L1112" t="inlineStr"/>
      <c r="M1112" s="30">
        <f>0.005454*F1112^2</f>
        <v/>
      </c>
      <c r="N1112" s="31">
        <f>IF(D1112="BAF20",20/M1112,100)</f>
        <v/>
      </c>
      <c r="O1112" s="31">
        <f>M1112*N1112</f>
        <v/>
      </c>
      <c r="P1112" s="32">
        <f>54.2*N1112</f>
        <v/>
      </c>
    </row>
    <row r="1113">
      <c r="A1113" t="inlineStr">
        <is>
          <t>U2-36</t>
        </is>
      </c>
      <c r="B1113" t="n">
        <v>2</v>
      </c>
      <c r="C1113" t="n">
        <v>9</v>
      </c>
      <c r="D1113" t="inlineStr">
        <is>
          <t>BAF20</t>
        </is>
      </c>
      <c r="E1113" t="inlineStr">
        <is>
          <t>PP</t>
        </is>
      </c>
      <c r="F1113" t="n">
        <v>5.9</v>
      </c>
      <c r="G1113" t="n">
        <v>33</v>
      </c>
      <c r="H1113" t="n">
        <v>100</v>
      </c>
      <c r="I1113" t="inlineStr">
        <is>
          <t>D</t>
        </is>
      </c>
      <c r="J1113" t="inlineStr">
        <is>
          <t>S</t>
        </is>
      </c>
      <c r="K1113" t="inlineStr"/>
      <c r="L1113" t="inlineStr"/>
      <c r="M1113" s="30">
        <f>0.005454*F1113^2</f>
        <v/>
      </c>
      <c r="N1113" s="31">
        <f>IF(D1113="BAF20",20/M1113,100)</f>
        <v/>
      </c>
      <c r="O1113" s="31">
        <f>M1113*N1113</f>
        <v/>
      </c>
      <c r="P1113" s="32">
        <f>0.0*N1113</f>
        <v/>
      </c>
    </row>
    <row r="1114">
      <c r="A1114" t="inlineStr">
        <is>
          <t>U2-36</t>
        </is>
      </c>
      <c r="B1114" t="n">
        <v>2</v>
      </c>
      <c r="C1114" t="n">
        <v>10</v>
      </c>
      <c r="D1114" t="inlineStr">
        <is>
          <t>BAF20</t>
        </is>
      </c>
      <c r="E1114" t="inlineStr">
        <is>
          <t>PP</t>
        </is>
      </c>
      <c r="F1114" t="n">
        <v>20.3</v>
      </c>
      <c r="G1114" t="n">
        <v>89</v>
      </c>
      <c r="H1114" t="n">
        <v>100</v>
      </c>
      <c r="I1114" t="inlineStr">
        <is>
          <t>D</t>
        </is>
      </c>
      <c r="J1114" t="inlineStr">
        <is>
          <t>C</t>
        </is>
      </c>
      <c r="K1114" t="inlineStr"/>
      <c r="L1114" t="inlineStr"/>
      <c r="M1114" s="30">
        <f>0.005454*F1114^2</f>
        <v/>
      </c>
      <c r="N1114" s="31">
        <f>IF(D1114="BAF20",20/M1114,100)</f>
        <v/>
      </c>
      <c r="O1114" s="31">
        <f>M1114*N1114</f>
        <v/>
      </c>
      <c r="P1114" s="32">
        <f>0.0*N1114</f>
        <v/>
      </c>
    </row>
    <row r="1115">
      <c r="A1115" t="inlineStr">
        <is>
          <t>U2-36</t>
        </is>
      </c>
      <c r="B1115" t="n">
        <v>2</v>
      </c>
      <c r="C1115" t="n">
        <v>11</v>
      </c>
      <c r="D1115" t="inlineStr">
        <is>
          <t>BAF20</t>
        </is>
      </c>
      <c r="E1115" t="inlineStr">
        <is>
          <t>DF</t>
        </is>
      </c>
      <c r="F1115" t="n">
        <v>30.9</v>
      </c>
      <c r="G1115" t="n">
        <v>108</v>
      </c>
      <c r="H1115" t="n">
        <v>6</v>
      </c>
      <c r="I1115" t="inlineStr">
        <is>
          <t>L</t>
        </is>
      </c>
      <c r="J1115" t="inlineStr">
        <is>
          <t>D</t>
        </is>
      </c>
      <c r="K1115" t="inlineStr"/>
      <c r="L1115" t="inlineStr"/>
      <c r="M1115" s="30">
        <f>0.005454*F1115^2</f>
        <v/>
      </c>
      <c r="N1115" s="31">
        <f>IF(D1115="BAF20",20/M1115,100)</f>
        <v/>
      </c>
      <c r="O1115" s="31">
        <f>M1115*N1115</f>
        <v/>
      </c>
      <c r="P1115" s="32">
        <f>1135.3*N1115</f>
        <v/>
      </c>
    </row>
    <row r="1116">
      <c r="A1116" t="inlineStr">
        <is>
          <t>U2-36</t>
        </is>
      </c>
      <c r="B1116" t="n">
        <v>2</v>
      </c>
      <c r="C1116" t="n">
        <v>12</v>
      </c>
      <c r="D1116" t="inlineStr">
        <is>
          <t>BAF20</t>
        </is>
      </c>
      <c r="E1116" t="inlineStr">
        <is>
          <t>PP</t>
        </is>
      </c>
      <c r="F1116" t="n">
        <v>31.1</v>
      </c>
      <c r="G1116" t="n">
        <v>120</v>
      </c>
      <c r="H1116" t="n">
        <v>0</v>
      </c>
      <c r="I1116" t="inlineStr">
        <is>
          <t>L</t>
        </is>
      </c>
      <c r="J1116" t="inlineStr">
        <is>
          <t>D</t>
        </is>
      </c>
      <c r="K1116" t="inlineStr"/>
      <c r="L1116" t="inlineStr"/>
      <c r="M1116" s="30">
        <f>0.005454*F1116^2</f>
        <v/>
      </c>
      <c r="N1116" s="31">
        <f>IF(D1116="BAF20",20/M1116,100)</f>
        <v/>
      </c>
      <c r="O1116" s="31">
        <f>M1116*N1116</f>
        <v/>
      </c>
      <c r="P1116" s="32">
        <f>1363.7*N1116</f>
        <v/>
      </c>
    </row>
    <row r="1117">
      <c r="A1117" t="inlineStr">
        <is>
          <t>U2-36</t>
        </is>
      </c>
      <c r="B1117" t="n">
        <v>2</v>
      </c>
      <c r="C1117" t="n">
        <v>13</v>
      </c>
      <c r="D1117" t="inlineStr">
        <is>
          <t>BAF20</t>
        </is>
      </c>
      <c r="E1117" t="inlineStr">
        <is>
          <t>SP</t>
        </is>
      </c>
      <c r="F1117" t="n">
        <v>15.5</v>
      </c>
      <c r="G1117" t="n">
        <v>81</v>
      </c>
      <c r="H1117" t="n">
        <v>3</v>
      </c>
      <c r="I1117" t="inlineStr">
        <is>
          <t>L</t>
        </is>
      </c>
      <c r="J1117" t="inlineStr">
        <is>
          <t>I</t>
        </is>
      </c>
      <c r="K1117" t="inlineStr"/>
      <c r="L1117" t="inlineStr"/>
      <c r="M1117" s="30">
        <f>0.005454*F1117^2</f>
        <v/>
      </c>
      <c r="N1117" s="31">
        <f>IF(D1117="BAF20",20/M1117,100)</f>
        <v/>
      </c>
      <c r="O1117" s="31">
        <f>M1117*N1117</f>
        <v/>
      </c>
      <c r="P1117" s="32">
        <f>167.1*N1117</f>
        <v/>
      </c>
    </row>
    <row r="1118">
      <c r="A1118" t="inlineStr">
        <is>
          <t>U2-36</t>
        </is>
      </c>
      <c r="B1118" t="n">
        <v>2</v>
      </c>
      <c r="C1118" t="n">
        <v>14</v>
      </c>
      <c r="D1118" t="inlineStr">
        <is>
          <t>BAF20</t>
        </is>
      </c>
      <c r="E1118" t="inlineStr">
        <is>
          <t>IC</t>
        </is>
      </c>
      <c r="F1118" t="n">
        <v>24.8</v>
      </c>
      <c r="G1118" t="n">
        <v>79</v>
      </c>
      <c r="H1118" t="n">
        <v>14</v>
      </c>
      <c r="I1118" t="inlineStr">
        <is>
          <t>L</t>
        </is>
      </c>
      <c r="J1118" t="inlineStr">
        <is>
          <t>C</t>
        </is>
      </c>
      <c r="K1118" t="inlineStr"/>
      <c r="L1118" t="inlineStr"/>
      <c r="M1118" s="30">
        <f>0.005454*F1118^2</f>
        <v/>
      </c>
      <c r="N1118" s="31">
        <f>IF(D1118="BAF20",20/M1118,100)</f>
        <v/>
      </c>
      <c r="O1118" s="31">
        <f>M1118*N1118</f>
        <v/>
      </c>
      <c r="P1118" s="32">
        <f>442.1*N1118</f>
        <v/>
      </c>
    </row>
    <row r="1119">
      <c r="A1119" t="inlineStr">
        <is>
          <t>U2-36</t>
        </is>
      </c>
      <c r="B1119" t="n">
        <v>2</v>
      </c>
      <c r="C1119" t="n">
        <v>15</v>
      </c>
      <c r="D1119" t="inlineStr">
        <is>
          <t>BAF20</t>
        </is>
      </c>
      <c r="E1119" t="inlineStr">
        <is>
          <t>BO</t>
        </is>
      </c>
      <c r="F1119" t="n">
        <v>5</v>
      </c>
      <c r="G1119" t="n">
        <v>22</v>
      </c>
      <c r="H1119" t="n">
        <v>37</v>
      </c>
      <c r="I1119" t="inlineStr">
        <is>
          <t>L</t>
        </is>
      </c>
      <c r="J1119" t="inlineStr">
        <is>
          <t>S</t>
        </is>
      </c>
      <c r="K1119" t="inlineStr">
        <is>
          <t>Y</t>
        </is>
      </c>
      <c r="L1119" t="inlineStr"/>
      <c r="M1119" s="30">
        <f>0.005454*F1119^2</f>
        <v/>
      </c>
      <c r="N1119" s="31">
        <f>IF(D1119="BAF20",20/M1119,100)</f>
        <v/>
      </c>
      <c r="O1119" s="31">
        <f>M1119*N1119</f>
        <v/>
      </c>
      <c r="P1119" s="32">
        <f>0.0*N1119</f>
        <v/>
      </c>
    </row>
    <row r="1120">
      <c r="A1120" t="inlineStr">
        <is>
          <t>U2-36</t>
        </is>
      </c>
      <c r="B1120" t="n">
        <v>2</v>
      </c>
      <c r="C1120" t="n">
        <v>16</v>
      </c>
      <c r="D1120" t="inlineStr">
        <is>
          <t>FIX100</t>
        </is>
      </c>
      <c r="E1120" t="inlineStr">
        <is>
          <t>PP</t>
        </is>
      </c>
      <c r="F1120" t="n">
        <v>4.3</v>
      </c>
      <c r="G1120" t="n">
        <v>22</v>
      </c>
      <c r="H1120" t="n">
        <v>0</v>
      </c>
      <c r="I1120" t="inlineStr">
        <is>
          <t>L</t>
        </is>
      </c>
      <c r="J1120" t="inlineStr">
        <is>
          <t>S</t>
        </is>
      </c>
      <c r="K1120" t="inlineStr"/>
      <c r="L1120" t="inlineStr"/>
      <c r="M1120" s="30">
        <f>0.005454*F1120^2</f>
        <v/>
      </c>
      <c r="N1120" s="31">
        <f>IF(D1120="BAF20",20/M1120,100)</f>
        <v/>
      </c>
      <c r="O1120" s="31">
        <f>M1120*N1120</f>
        <v/>
      </c>
      <c r="P1120" s="32">
        <f>0.0*N1120</f>
        <v/>
      </c>
    </row>
    <row r="1121">
      <c r="A1121" t="inlineStr">
        <is>
          <t>U2-36</t>
        </is>
      </c>
      <c r="B1121" t="n">
        <v>2</v>
      </c>
      <c r="C1121" t="n">
        <v>17</v>
      </c>
      <c r="D1121" t="inlineStr">
        <is>
          <t>FIX100</t>
        </is>
      </c>
      <c r="E1121" t="inlineStr">
        <is>
          <t>DF</t>
        </is>
      </c>
      <c r="F1121" t="n">
        <v>1.9</v>
      </c>
      <c r="G1121" t="n">
        <v>13</v>
      </c>
      <c r="H1121" t="n">
        <v>0</v>
      </c>
      <c r="I1121" t="inlineStr">
        <is>
          <t>L</t>
        </is>
      </c>
      <c r="J1121" t="inlineStr">
        <is>
          <t>S</t>
        </is>
      </c>
      <c r="K1121" t="inlineStr"/>
      <c r="L1121" t="inlineStr"/>
      <c r="M1121" s="30">
        <f>0.005454*F1121^2</f>
        <v/>
      </c>
      <c r="N1121" s="31">
        <f>IF(D1121="BAF20",20/M1121,100)</f>
        <v/>
      </c>
      <c r="O1121" s="31">
        <f>M1121*N1121</f>
        <v/>
      </c>
      <c r="P1121" s="32">
        <f>0.0*N1121</f>
        <v/>
      </c>
    </row>
    <row r="1122">
      <c r="A1122" t="inlineStr">
        <is>
          <t>U2-37</t>
        </is>
      </c>
      <c r="B1122" t="n">
        <v>2</v>
      </c>
      <c r="C1122" t="n">
        <v>1</v>
      </c>
      <c r="D1122" t="inlineStr">
        <is>
          <t>BAF20</t>
        </is>
      </c>
      <c r="E1122" t="inlineStr">
        <is>
          <t>BO</t>
        </is>
      </c>
      <c r="F1122" t="n">
        <v>19.2</v>
      </c>
      <c r="G1122" t="n">
        <v>54</v>
      </c>
      <c r="H1122" t="n">
        <v>12</v>
      </c>
      <c r="I1122" t="inlineStr">
        <is>
          <t>L</t>
        </is>
      </c>
      <c r="J1122" t="inlineStr">
        <is>
          <t>I</t>
        </is>
      </c>
      <c r="K1122" t="inlineStr"/>
      <c r="L1122" t="inlineStr"/>
      <c r="M1122" s="30">
        <f>0.005454*F1122^2</f>
        <v/>
      </c>
      <c r="N1122" s="31">
        <f>IF(D1122="BAF20",20/M1122,100)</f>
        <v/>
      </c>
      <c r="O1122" s="31">
        <f>M1122*N1122</f>
        <v/>
      </c>
      <c r="P1122" s="32">
        <f>151.2*N1122</f>
        <v/>
      </c>
    </row>
    <row r="1123">
      <c r="A1123" t="inlineStr">
        <is>
          <t>U2-37</t>
        </is>
      </c>
      <c r="B1123" t="n">
        <v>2</v>
      </c>
      <c r="C1123" t="n">
        <v>2</v>
      </c>
      <c r="D1123" t="inlineStr">
        <is>
          <t>BAF20</t>
        </is>
      </c>
      <c r="E1123" t="inlineStr">
        <is>
          <t>WF</t>
        </is>
      </c>
      <c r="F1123" t="n">
        <v>12.4</v>
      </c>
      <c r="G1123" t="n">
        <v>64</v>
      </c>
      <c r="H1123" t="n">
        <v>9</v>
      </c>
      <c r="I1123" t="inlineStr">
        <is>
          <t>L</t>
        </is>
      </c>
      <c r="J1123" t="inlineStr">
        <is>
          <t>S</t>
        </is>
      </c>
      <c r="K1123" t="inlineStr">
        <is>
          <t>Y</t>
        </is>
      </c>
      <c r="L1123" t="inlineStr"/>
      <c r="M1123" s="30">
        <f>0.005454*F1123^2</f>
        <v/>
      </c>
      <c r="N1123" s="31">
        <f>IF(D1123="BAF20",20/M1123,100)</f>
        <v/>
      </c>
      <c r="O1123" s="31">
        <f>M1123*N1123</f>
        <v/>
      </c>
      <c r="P1123" s="32">
        <f>74.1*N1123</f>
        <v/>
      </c>
    </row>
    <row r="1124">
      <c r="A1124" t="inlineStr">
        <is>
          <t>U2-37</t>
        </is>
      </c>
      <c r="B1124" t="n">
        <v>2</v>
      </c>
      <c r="C1124" t="n">
        <v>3</v>
      </c>
      <c r="D1124" t="inlineStr">
        <is>
          <t>BAF20</t>
        </is>
      </c>
      <c r="E1124" t="inlineStr">
        <is>
          <t>SP</t>
        </is>
      </c>
      <c r="F1124" t="n">
        <v>32.9</v>
      </c>
      <c r="G1124" t="n">
        <v>139</v>
      </c>
      <c r="H1124" t="n">
        <v>6</v>
      </c>
      <c r="I1124" t="inlineStr">
        <is>
          <t>L</t>
        </is>
      </c>
      <c r="J1124" t="inlineStr">
        <is>
          <t>D</t>
        </is>
      </c>
      <c r="K1124" t="inlineStr"/>
      <c r="L1124" t="inlineStr"/>
      <c r="M1124" s="30">
        <f>0.005454*F1124^2</f>
        <v/>
      </c>
      <c r="N1124" s="31">
        <f>IF(D1124="BAF20",20/M1124,100)</f>
        <v/>
      </c>
      <c r="O1124" s="31">
        <f>M1124*N1124</f>
        <v/>
      </c>
      <c r="P1124" s="32">
        <f>1708.9*N1124</f>
        <v/>
      </c>
    </row>
    <row r="1125">
      <c r="A1125" t="inlineStr">
        <is>
          <t>U2-37</t>
        </is>
      </c>
      <c r="B1125" t="n">
        <v>2</v>
      </c>
      <c r="C1125" t="n">
        <v>4</v>
      </c>
      <c r="D1125" t="inlineStr">
        <is>
          <t>BAF20</t>
        </is>
      </c>
      <c r="E1125" t="inlineStr">
        <is>
          <t>IC</t>
        </is>
      </c>
      <c r="F1125" t="n">
        <v>21.7</v>
      </c>
      <c r="G1125" t="n">
        <v>78</v>
      </c>
      <c r="H1125" t="n">
        <v>8</v>
      </c>
      <c r="I1125" t="inlineStr">
        <is>
          <t>L</t>
        </is>
      </c>
      <c r="J1125" t="inlineStr">
        <is>
          <t>C</t>
        </is>
      </c>
      <c r="K1125" t="inlineStr"/>
      <c r="L1125" t="inlineStr"/>
      <c r="M1125" s="30">
        <f>0.005454*F1125^2</f>
        <v/>
      </c>
      <c r="N1125" s="31">
        <f>IF(D1125="BAF20",20/M1125,100)</f>
        <v/>
      </c>
      <c r="O1125" s="31">
        <f>M1125*N1125</f>
        <v/>
      </c>
      <c r="P1125" s="32">
        <f>338.1*N1125</f>
        <v/>
      </c>
    </row>
    <row r="1126">
      <c r="A1126" t="inlineStr">
        <is>
          <t>U2-37</t>
        </is>
      </c>
      <c r="B1126" t="n">
        <v>2</v>
      </c>
      <c r="C1126" t="n">
        <v>5</v>
      </c>
      <c r="D1126" t="inlineStr">
        <is>
          <t>BAF20</t>
        </is>
      </c>
      <c r="E1126" t="inlineStr">
        <is>
          <t>WF</t>
        </is>
      </c>
      <c r="F1126" t="n">
        <v>22.1</v>
      </c>
      <c r="G1126" t="n">
        <v>105</v>
      </c>
      <c r="H1126" t="n">
        <v>15</v>
      </c>
      <c r="I1126" t="inlineStr">
        <is>
          <t>L</t>
        </is>
      </c>
      <c r="J1126" t="inlineStr">
        <is>
          <t>C</t>
        </is>
      </c>
      <c r="K1126" t="inlineStr"/>
      <c r="L1126" t="inlineStr"/>
      <c r="M1126" s="30">
        <f>0.005454*F1126^2</f>
        <v/>
      </c>
      <c r="N1126" s="31">
        <f>IF(D1126="BAF20",20/M1126,100)</f>
        <v/>
      </c>
      <c r="O1126" s="31">
        <f>M1126*N1126</f>
        <v/>
      </c>
      <c r="P1126" s="32">
        <f>439.4*N1126</f>
        <v/>
      </c>
    </row>
    <row r="1127">
      <c r="A1127" t="inlineStr">
        <is>
          <t>U2-37</t>
        </is>
      </c>
      <c r="B1127" t="n">
        <v>2</v>
      </c>
      <c r="C1127" t="n">
        <v>6</v>
      </c>
      <c r="D1127" t="inlineStr">
        <is>
          <t>BAF20</t>
        </is>
      </c>
      <c r="E1127" t="inlineStr">
        <is>
          <t>IC</t>
        </is>
      </c>
      <c r="F1127" t="n">
        <v>5</v>
      </c>
      <c r="G1127" t="n">
        <v>22</v>
      </c>
      <c r="H1127" t="n">
        <v>9</v>
      </c>
      <c r="I1127" t="inlineStr">
        <is>
          <t>L</t>
        </is>
      </c>
      <c r="J1127" t="inlineStr">
        <is>
          <t>S</t>
        </is>
      </c>
      <c r="K1127" t="inlineStr">
        <is>
          <t>Y</t>
        </is>
      </c>
      <c r="L1127" t="inlineStr"/>
      <c r="M1127" s="30">
        <f>0.005454*F1127^2</f>
        <v/>
      </c>
      <c r="N1127" s="31">
        <f>IF(D1127="BAF20",20/M1127,100)</f>
        <v/>
      </c>
      <c r="O1127" s="31">
        <f>M1127*N1127</f>
        <v/>
      </c>
      <c r="P1127" s="32">
        <f>0.0*N1127</f>
        <v/>
      </c>
    </row>
    <row r="1128">
      <c r="A1128" t="inlineStr">
        <is>
          <t>U2-37</t>
        </is>
      </c>
      <c r="B1128" t="n">
        <v>2</v>
      </c>
      <c r="C1128" t="n">
        <v>7</v>
      </c>
      <c r="D1128" t="inlineStr">
        <is>
          <t>BAF20</t>
        </is>
      </c>
      <c r="E1128" t="inlineStr">
        <is>
          <t>DF</t>
        </is>
      </c>
      <c r="F1128" t="n">
        <v>29</v>
      </c>
      <c r="G1128" t="n">
        <v>104</v>
      </c>
      <c r="H1128" t="n">
        <v>5</v>
      </c>
      <c r="I1128" t="inlineStr">
        <is>
          <t>L</t>
        </is>
      </c>
      <c r="J1128" t="inlineStr">
        <is>
          <t>D</t>
        </is>
      </c>
      <c r="K1128" t="inlineStr"/>
      <c r="L1128" t="inlineStr"/>
      <c r="M1128" s="30">
        <f>0.005454*F1128^2</f>
        <v/>
      </c>
      <c r="N1128" s="31">
        <f>IF(D1128="BAF20",20/M1128,100)</f>
        <v/>
      </c>
      <c r="O1128" s="31">
        <f>M1128*N1128</f>
        <v/>
      </c>
      <c r="P1128" s="32">
        <f>943.9*N1128</f>
        <v/>
      </c>
    </row>
    <row r="1129">
      <c r="A1129" t="inlineStr">
        <is>
          <t>U2-37</t>
        </is>
      </c>
      <c r="B1129" t="n">
        <v>2</v>
      </c>
      <c r="C1129" t="n">
        <v>8</v>
      </c>
      <c r="D1129" t="inlineStr">
        <is>
          <t>BAF20</t>
        </is>
      </c>
      <c r="E1129" t="inlineStr">
        <is>
          <t>PP</t>
        </is>
      </c>
      <c r="F1129" t="n">
        <v>24.4</v>
      </c>
      <c r="G1129" t="n">
        <v>102</v>
      </c>
      <c r="H1129" t="n">
        <v>4</v>
      </c>
      <c r="I1129" t="inlineStr">
        <is>
          <t>L</t>
        </is>
      </c>
      <c r="J1129" t="inlineStr">
        <is>
          <t>C</t>
        </is>
      </c>
      <c r="K1129" t="inlineStr"/>
      <c r="L1129" t="inlineStr"/>
      <c r="M1129" s="30">
        <f>0.005454*F1129^2</f>
        <v/>
      </c>
      <c r="N1129" s="31">
        <f>IF(D1129="BAF20",20/M1129,100)</f>
        <v/>
      </c>
      <c r="O1129" s="31">
        <f>M1129*N1129</f>
        <v/>
      </c>
      <c r="P1129" s="32">
        <f>612.5*N1129</f>
        <v/>
      </c>
    </row>
    <row r="1130">
      <c r="A1130" t="inlineStr">
        <is>
          <t>U2-37</t>
        </is>
      </c>
      <c r="B1130" t="n">
        <v>2</v>
      </c>
      <c r="C1130" t="n">
        <v>9</v>
      </c>
      <c r="D1130" t="inlineStr">
        <is>
          <t>BAF20</t>
        </is>
      </c>
      <c r="E1130" t="inlineStr">
        <is>
          <t>SP</t>
        </is>
      </c>
      <c r="F1130" t="n">
        <v>15.4</v>
      </c>
      <c r="G1130" t="n">
        <v>70</v>
      </c>
      <c r="H1130" t="n">
        <v>2</v>
      </c>
      <c r="I1130" t="inlineStr">
        <is>
          <t>L</t>
        </is>
      </c>
      <c r="J1130" t="inlineStr">
        <is>
          <t>I</t>
        </is>
      </c>
      <c r="K1130" t="inlineStr"/>
      <c r="L1130" t="inlineStr"/>
      <c r="M1130" s="30">
        <f>0.005454*F1130^2</f>
        <v/>
      </c>
      <c r="N1130" s="31">
        <f>IF(D1130="BAF20",20/M1130,100)</f>
        <v/>
      </c>
      <c r="O1130" s="31">
        <f>M1130*N1130</f>
        <v/>
      </c>
      <c r="P1130" s="32">
        <f>143.8*N1130</f>
        <v/>
      </c>
    </row>
    <row r="1131">
      <c r="A1131" t="inlineStr">
        <is>
          <t>U2-37</t>
        </is>
      </c>
      <c r="B1131" t="n">
        <v>2</v>
      </c>
      <c r="C1131" t="n">
        <v>10</v>
      </c>
      <c r="D1131" t="inlineStr">
        <is>
          <t>BAF20</t>
        </is>
      </c>
      <c r="E1131" t="inlineStr">
        <is>
          <t>DF</t>
        </is>
      </c>
      <c r="F1131" t="n">
        <v>14.6</v>
      </c>
      <c r="G1131" t="n">
        <v>78</v>
      </c>
      <c r="H1131" t="n">
        <v>3</v>
      </c>
      <c r="I1131" t="inlineStr">
        <is>
          <t>L</t>
        </is>
      </c>
      <c r="J1131" t="inlineStr">
        <is>
          <t>I</t>
        </is>
      </c>
      <c r="K1131" t="inlineStr"/>
      <c r="L1131" t="inlineStr"/>
      <c r="M1131" s="30">
        <f>0.005454*F1131^2</f>
        <v/>
      </c>
      <c r="N1131" s="31">
        <f>IF(D1131="BAF20",20/M1131,100)</f>
        <v/>
      </c>
      <c r="O1131" s="31">
        <f>M1131*N1131</f>
        <v/>
      </c>
      <c r="P1131" s="32">
        <f>140.1*N1131</f>
        <v/>
      </c>
    </row>
    <row r="1132">
      <c r="A1132" t="inlineStr">
        <is>
          <t>U2-37</t>
        </is>
      </c>
      <c r="B1132" t="n">
        <v>2</v>
      </c>
      <c r="C1132" t="n">
        <v>11</v>
      </c>
      <c r="D1132" t="inlineStr">
        <is>
          <t>BAF20</t>
        </is>
      </c>
      <c r="E1132" t="inlineStr">
        <is>
          <t>BO</t>
        </is>
      </c>
      <c r="F1132" t="n">
        <v>8.800000000000001</v>
      </c>
      <c r="G1132" t="n">
        <v>39</v>
      </c>
      <c r="H1132" t="n">
        <v>100</v>
      </c>
      <c r="I1132" t="inlineStr">
        <is>
          <t>D</t>
        </is>
      </c>
      <c r="J1132" t="inlineStr">
        <is>
          <t>S</t>
        </is>
      </c>
      <c r="K1132" t="inlineStr"/>
      <c r="L1132" t="inlineStr"/>
      <c r="M1132" s="30">
        <f>0.005454*F1132^2</f>
        <v/>
      </c>
      <c r="N1132" s="31">
        <f>IF(D1132="BAF20",20/M1132,100)</f>
        <v/>
      </c>
      <c r="O1132" s="31">
        <f>M1132*N1132</f>
        <v/>
      </c>
      <c r="P1132" s="32">
        <f>0.0*N1132</f>
        <v/>
      </c>
    </row>
    <row r="1133">
      <c r="A1133" t="inlineStr">
        <is>
          <t>U2-37</t>
        </is>
      </c>
      <c r="B1133" t="n">
        <v>2</v>
      </c>
      <c r="C1133" t="n">
        <v>12</v>
      </c>
      <c r="D1133" t="inlineStr">
        <is>
          <t>BAF20</t>
        </is>
      </c>
      <c r="E1133" t="inlineStr">
        <is>
          <t>IC</t>
        </is>
      </c>
      <c r="F1133" t="n">
        <v>27.1</v>
      </c>
      <c r="G1133" t="n">
        <v>97</v>
      </c>
      <c r="H1133" t="n">
        <v>1</v>
      </c>
      <c r="I1133" t="inlineStr">
        <is>
          <t>L</t>
        </is>
      </c>
      <c r="J1133" t="inlineStr">
        <is>
          <t>D</t>
        </is>
      </c>
      <c r="K1133" t="inlineStr"/>
      <c r="L1133" t="inlineStr"/>
      <c r="M1133" s="30">
        <f>0.005454*F1133^2</f>
        <v/>
      </c>
      <c r="N1133" s="31">
        <f>IF(D1133="BAF20",20/M1133,100)</f>
        <v/>
      </c>
      <c r="O1133" s="31">
        <f>M1133*N1133</f>
        <v/>
      </c>
      <c r="P1133" s="32">
        <f>776.3*N1133</f>
        <v/>
      </c>
    </row>
    <row r="1134">
      <c r="A1134" t="inlineStr">
        <is>
          <t>U2-37</t>
        </is>
      </c>
      <c r="B1134" t="n">
        <v>2</v>
      </c>
      <c r="C1134" t="n">
        <v>13</v>
      </c>
      <c r="D1134" t="inlineStr">
        <is>
          <t>BAF20</t>
        </is>
      </c>
      <c r="E1134" t="inlineStr">
        <is>
          <t>PP</t>
        </is>
      </c>
      <c r="F1134" t="n">
        <v>27.5</v>
      </c>
      <c r="G1134" t="n">
        <v>103</v>
      </c>
      <c r="H1134" t="n">
        <v>7</v>
      </c>
      <c r="I1134" t="inlineStr">
        <is>
          <t>L</t>
        </is>
      </c>
      <c r="J1134" t="inlineStr">
        <is>
          <t>D</t>
        </is>
      </c>
      <c r="K1134" t="inlineStr"/>
      <c r="L1134" t="inlineStr"/>
      <c r="M1134" s="30">
        <f>0.005454*F1134^2</f>
        <v/>
      </c>
      <c r="N1134" s="31">
        <f>IF(D1134="BAF20",20/M1134,100)</f>
        <v/>
      </c>
      <c r="O1134" s="31">
        <f>M1134*N1134</f>
        <v/>
      </c>
      <c r="P1134" s="32">
        <f>802.7*N1134</f>
        <v/>
      </c>
    </row>
    <row r="1135">
      <c r="A1135" t="inlineStr">
        <is>
          <t>U2-37</t>
        </is>
      </c>
      <c r="B1135" t="n">
        <v>2</v>
      </c>
      <c r="C1135" t="n">
        <v>14</v>
      </c>
      <c r="D1135" t="inlineStr">
        <is>
          <t>BAF20</t>
        </is>
      </c>
      <c r="E1135" t="inlineStr">
        <is>
          <t>PP</t>
        </is>
      </c>
      <c r="F1135" t="n">
        <v>20.6</v>
      </c>
      <c r="G1135" t="n">
        <v>94</v>
      </c>
      <c r="H1135" t="n">
        <v>1</v>
      </c>
      <c r="I1135" t="inlineStr">
        <is>
          <t>L</t>
        </is>
      </c>
      <c r="J1135" t="inlineStr">
        <is>
          <t>C</t>
        </is>
      </c>
      <c r="K1135" t="inlineStr"/>
      <c r="L1135" t="inlineStr"/>
      <c r="M1135" s="30">
        <f>0.005454*F1135^2</f>
        <v/>
      </c>
      <c r="N1135" s="31">
        <f>IF(D1135="BAF20",20/M1135,100)</f>
        <v/>
      </c>
      <c r="O1135" s="31">
        <f>M1135*N1135</f>
        <v/>
      </c>
      <c r="P1135" s="32">
        <f>387.0*N1135</f>
        <v/>
      </c>
    </row>
    <row r="1136">
      <c r="A1136" t="inlineStr">
        <is>
          <t>U2-37</t>
        </is>
      </c>
      <c r="B1136" t="n">
        <v>2</v>
      </c>
      <c r="C1136" t="n">
        <v>15</v>
      </c>
      <c r="D1136" t="inlineStr">
        <is>
          <t>BAF20</t>
        </is>
      </c>
      <c r="E1136" t="inlineStr">
        <is>
          <t>IC</t>
        </is>
      </c>
      <c r="F1136" t="n">
        <v>21.3</v>
      </c>
      <c r="G1136" t="n">
        <v>75</v>
      </c>
      <c r="H1136" t="n">
        <v>0</v>
      </c>
      <c r="I1136" t="inlineStr">
        <is>
          <t>L</t>
        </is>
      </c>
      <c r="J1136" t="inlineStr">
        <is>
          <t>C</t>
        </is>
      </c>
      <c r="K1136" t="inlineStr"/>
      <c r="L1136" t="inlineStr"/>
      <c r="M1136" s="30">
        <f>0.005454*F1136^2</f>
        <v/>
      </c>
      <c r="N1136" s="31">
        <f>IF(D1136="BAF20",20/M1136,100)</f>
        <v/>
      </c>
      <c r="O1136" s="31">
        <f>M1136*N1136</f>
        <v/>
      </c>
      <c r="P1136" s="32">
        <f>337.9*N1136</f>
        <v/>
      </c>
    </row>
    <row r="1137">
      <c r="A1137" t="inlineStr">
        <is>
          <t>U2-37</t>
        </is>
      </c>
      <c r="B1137" t="n">
        <v>2</v>
      </c>
      <c r="C1137" t="n">
        <v>16</v>
      </c>
      <c r="D1137" t="inlineStr">
        <is>
          <t>BAF20</t>
        </is>
      </c>
      <c r="E1137" t="inlineStr">
        <is>
          <t>BO</t>
        </is>
      </c>
      <c r="F1137" t="n">
        <v>15.5</v>
      </c>
      <c r="G1137" t="n">
        <v>51</v>
      </c>
      <c r="H1137" t="n">
        <v>13</v>
      </c>
      <c r="I1137" t="inlineStr">
        <is>
          <t>L</t>
        </is>
      </c>
      <c r="J1137" t="inlineStr">
        <is>
          <t>I</t>
        </is>
      </c>
      <c r="K1137" t="inlineStr"/>
      <c r="L1137" t="inlineStr"/>
      <c r="M1137" s="30">
        <f>0.005454*F1137^2</f>
        <v/>
      </c>
      <c r="N1137" s="31">
        <f>IF(D1137="BAF20",20/M1137,100)</f>
        <v/>
      </c>
      <c r="O1137" s="31">
        <f>M1137*N1137</f>
        <v/>
      </c>
      <c r="P1137" s="32">
        <f>85.4*N1137</f>
        <v/>
      </c>
    </row>
    <row r="1138">
      <c r="A1138" t="inlineStr">
        <is>
          <t>U2-37</t>
        </is>
      </c>
      <c r="B1138" t="n">
        <v>2</v>
      </c>
      <c r="C1138" t="n">
        <v>17</v>
      </c>
      <c r="D1138" t="inlineStr">
        <is>
          <t>FIX100</t>
        </is>
      </c>
      <c r="E1138" t="inlineStr">
        <is>
          <t>DF</t>
        </is>
      </c>
      <c r="F1138" t="n">
        <v>4.3</v>
      </c>
      <c r="G1138" t="n">
        <v>28</v>
      </c>
      <c r="H1138" t="n">
        <v>0</v>
      </c>
      <c r="I1138" t="inlineStr">
        <is>
          <t>L</t>
        </is>
      </c>
      <c r="J1138" t="inlineStr">
        <is>
          <t>S</t>
        </is>
      </c>
      <c r="K1138" t="inlineStr"/>
      <c r="L1138" t="inlineStr"/>
      <c r="M1138" s="30">
        <f>0.005454*F1138^2</f>
        <v/>
      </c>
      <c r="N1138" s="31">
        <f>IF(D1138="BAF20",20/M1138,100)</f>
        <v/>
      </c>
      <c r="O1138" s="31">
        <f>M1138*N1138</f>
        <v/>
      </c>
      <c r="P1138" s="32">
        <f>0.0*N1138</f>
        <v/>
      </c>
    </row>
    <row r="1139">
      <c r="A1139" t="inlineStr">
        <is>
          <t>U2-37</t>
        </is>
      </c>
      <c r="B1139" t="n">
        <v>2</v>
      </c>
      <c r="C1139" t="n">
        <v>18</v>
      </c>
      <c r="D1139" t="inlineStr">
        <is>
          <t>FIX100</t>
        </is>
      </c>
      <c r="E1139" t="inlineStr">
        <is>
          <t>IC</t>
        </is>
      </c>
      <c r="F1139" t="n">
        <v>4.3</v>
      </c>
      <c r="G1139" t="n">
        <v>17</v>
      </c>
      <c r="H1139" t="n">
        <v>0</v>
      </c>
      <c r="I1139" t="inlineStr">
        <is>
          <t>L</t>
        </is>
      </c>
      <c r="J1139" t="inlineStr">
        <is>
          <t>S</t>
        </is>
      </c>
      <c r="K1139" t="inlineStr"/>
      <c r="L1139" t="inlineStr"/>
      <c r="M1139" s="30">
        <f>0.005454*F1139^2</f>
        <v/>
      </c>
      <c r="N1139" s="31">
        <f>IF(D1139="BAF20",20/M1139,100)</f>
        <v/>
      </c>
      <c r="O1139" s="31">
        <f>M1139*N1139</f>
        <v/>
      </c>
      <c r="P1139" s="32">
        <f>0.0*N1139</f>
        <v/>
      </c>
    </row>
    <row r="1140">
      <c r="A1140" t="inlineStr">
        <is>
          <t>U2-38</t>
        </is>
      </c>
      <c r="B1140" t="n">
        <v>2</v>
      </c>
      <c r="C1140" t="n">
        <v>1</v>
      </c>
      <c r="D1140" t="inlineStr">
        <is>
          <t>BAF20</t>
        </is>
      </c>
      <c r="E1140" t="inlineStr">
        <is>
          <t>BO</t>
        </is>
      </c>
      <c r="F1140" t="n">
        <v>14</v>
      </c>
      <c r="G1140" t="n">
        <v>49</v>
      </c>
      <c r="H1140" t="n">
        <v>28</v>
      </c>
      <c r="I1140" t="inlineStr">
        <is>
          <t>L</t>
        </is>
      </c>
      <c r="J1140" t="inlineStr">
        <is>
          <t>I</t>
        </is>
      </c>
      <c r="K1140" t="inlineStr"/>
      <c r="L1140" t="inlineStr"/>
      <c r="M1140" s="30">
        <f>0.005454*F1140^2</f>
        <v/>
      </c>
      <c r="N1140" s="31">
        <f>IF(D1140="BAF20",20/M1140,100)</f>
        <v/>
      </c>
      <c r="O1140" s="31">
        <f>M1140*N1140</f>
        <v/>
      </c>
      <c r="P1140" s="32">
        <f>53.7*N1140</f>
        <v/>
      </c>
    </row>
    <row r="1141">
      <c r="A1141" t="inlineStr">
        <is>
          <t>U2-38</t>
        </is>
      </c>
      <c r="B1141" t="n">
        <v>2</v>
      </c>
      <c r="C1141" t="n">
        <v>2</v>
      </c>
      <c r="D1141" t="inlineStr">
        <is>
          <t>BAF20</t>
        </is>
      </c>
      <c r="E1141" t="inlineStr">
        <is>
          <t>IC</t>
        </is>
      </c>
      <c r="F1141" t="n">
        <v>8.699999999999999</v>
      </c>
      <c r="G1141" t="n">
        <v>41</v>
      </c>
      <c r="H1141" t="n">
        <v>9</v>
      </c>
      <c r="I1141" t="inlineStr">
        <is>
          <t>L</t>
        </is>
      </c>
      <c r="J1141" t="inlineStr">
        <is>
          <t>S</t>
        </is>
      </c>
      <c r="K1141" t="inlineStr">
        <is>
          <t>Y</t>
        </is>
      </c>
      <c r="L1141" t="inlineStr"/>
      <c r="M1141" s="30">
        <f>0.005454*F1141^2</f>
        <v/>
      </c>
      <c r="N1141" s="31">
        <f>IF(D1141="BAF20",20/M1141,100)</f>
        <v/>
      </c>
      <c r="O1141" s="31">
        <f>M1141*N1141</f>
        <v/>
      </c>
      <c r="P1141" s="32">
        <f>0.0*N1141</f>
        <v/>
      </c>
    </row>
    <row r="1142">
      <c r="A1142" t="inlineStr">
        <is>
          <t>U2-38</t>
        </is>
      </c>
      <c r="B1142" t="n">
        <v>2</v>
      </c>
      <c r="C1142" t="n">
        <v>3</v>
      </c>
      <c r="D1142" t="inlineStr">
        <is>
          <t>BAF20</t>
        </is>
      </c>
      <c r="E1142" t="inlineStr">
        <is>
          <t>DF</t>
        </is>
      </c>
      <c r="F1142" t="n">
        <v>21.3</v>
      </c>
      <c r="G1142" t="n">
        <v>97</v>
      </c>
      <c r="H1142" t="n">
        <v>8</v>
      </c>
      <c r="I1142" t="inlineStr">
        <is>
          <t>L</t>
        </is>
      </c>
      <c r="J1142" t="inlineStr">
        <is>
          <t>C</t>
        </is>
      </c>
      <c r="K1142" t="inlineStr"/>
      <c r="L1142" t="inlineStr"/>
      <c r="M1142" s="30">
        <f>0.005454*F1142^2</f>
        <v/>
      </c>
      <c r="N1142" s="31">
        <f>IF(D1142="BAF20",20/M1142,100)</f>
        <v/>
      </c>
      <c r="O1142" s="31">
        <f>M1142*N1142</f>
        <v/>
      </c>
      <c r="P1142" s="32">
        <f>402.1*N1142</f>
        <v/>
      </c>
    </row>
    <row r="1143">
      <c r="A1143" t="inlineStr">
        <is>
          <t>U2-38</t>
        </is>
      </c>
      <c r="B1143" t="n">
        <v>2</v>
      </c>
      <c r="C1143" t="n">
        <v>4</v>
      </c>
      <c r="D1143" t="inlineStr">
        <is>
          <t>BAF20</t>
        </is>
      </c>
      <c r="E1143" t="inlineStr">
        <is>
          <t>IC</t>
        </is>
      </c>
      <c r="F1143" t="n">
        <v>7.8</v>
      </c>
      <c r="G1143" t="n">
        <v>33</v>
      </c>
      <c r="H1143" t="n">
        <v>8</v>
      </c>
      <c r="I1143" t="inlineStr">
        <is>
          <t>L</t>
        </is>
      </c>
      <c r="J1143" t="inlineStr">
        <is>
          <t>S</t>
        </is>
      </c>
      <c r="K1143" t="inlineStr">
        <is>
          <t>Y</t>
        </is>
      </c>
      <c r="L1143" t="inlineStr"/>
      <c r="M1143" s="30">
        <f>0.005454*F1143^2</f>
        <v/>
      </c>
      <c r="N1143" s="31">
        <f>IF(D1143="BAF20",20/M1143,100)</f>
        <v/>
      </c>
      <c r="O1143" s="31">
        <f>M1143*N1143</f>
        <v/>
      </c>
      <c r="P1143" s="32">
        <f>0.0*N1143</f>
        <v/>
      </c>
    </row>
    <row r="1144">
      <c r="A1144" t="inlineStr">
        <is>
          <t>U2-38</t>
        </is>
      </c>
      <c r="B1144" t="n">
        <v>2</v>
      </c>
      <c r="C1144" t="n">
        <v>5</v>
      </c>
      <c r="D1144" t="inlineStr">
        <is>
          <t>BAF20</t>
        </is>
      </c>
      <c r="E1144" t="inlineStr">
        <is>
          <t>WF</t>
        </is>
      </c>
      <c r="F1144" t="n">
        <v>40.6</v>
      </c>
      <c r="G1144" t="n">
        <v>129</v>
      </c>
      <c r="H1144" t="n">
        <v>8</v>
      </c>
      <c r="I1144" t="inlineStr">
        <is>
          <t>L</t>
        </is>
      </c>
      <c r="J1144" t="inlineStr">
        <is>
          <t>D</t>
        </is>
      </c>
      <c r="K1144" t="inlineStr"/>
      <c r="L1144" t="inlineStr"/>
      <c r="M1144" s="30">
        <f>0.005454*F1144^2</f>
        <v/>
      </c>
      <c r="N1144" s="31">
        <f>IF(D1144="BAF20",20/M1144,100)</f>
        <v/>
      </c>
      <c r="O1144" s="31">
        <f>M1144*N1144</f>
        <v/>
      </c>
      <c r="P1144" s="32">
        <f>2500.5*N1144</f>
        <v/>
      </c>
    </row>
    <row r="1145">
      <c r="A1145" t="inlineStr">
        <is>
          <t>U2-38</t>
        </is>
      </c>
      <c r="B1145" t="n">
        <v>2</v>
      </c>
      <c r="C1145" t="n">
        <v>6</v>
      </c>
      <c r="D1145" t="inlineStr">
        <is>
          <t>BAF20</t>
        </is>
      </c>
      <c r="E1145" t="inlineStr">
        <is>
          <t>DF</t>
        </is>
      </c>
      <c r="F1145" t="n">
        <v>27.1</v>
      </c>
      <c r="G1145" t="n">
        <v>123</v>
      </c>
      <c r="H1145" t="n">
        <v>2</v>
      </c>
      <c r="I1145" t="inlineStr">
        <is>
          <t>L</t>
        </is>
      </c>
      <c r="J1145" t="inlineStr">
        <is>
          <t>D</t>
        </is>
      </c>
      <c r="K1145" t="inlineStr"/>
      <c r="L1145" t="inlineStr"/>
      <c r="M1145" s="30">
        <f>0.005454*F1145^2</f>
        <v/>
      </c>
      <c r="N1145" s="31">
        <f>IF(D1145="BAF20",20/M1145,100)</f>
        <v/>
      </c>
      <c r="O1145" s="31">
        <f>M1145*N1145</f>
        <v/>
      </c>
      <c r="P1145" s="32">
        <f>974.4*N1145</f>
        <v/>
      </c>
    </row>
    <row r="1146">
      <c r="A1146" t="inlineStr">
        <is>
          <t>U2-38</t>
        </is>
      </c>
      <c r="B1146" t="n">
        <v>2</v>
      </c>
      <c r="C1146" t="n">
        <v>7</v>
      </c>
      <c r="D1146" t="inlineStr">
        <is>
          <t>BAF20</t>
        </is>
      </c>
      <c r="E1146" t="inlineStr">
        <is>
          <t>DF</t>
        </is>
      </c>
      <c r="F1146" t="n">
        <v>13.2</v>
      </c>
      <c r="G1146" t="n">
        <v>67</v>
      </c>
      <c r="H1146" t="n">
        <v>8</v>
      </c>
      <c r="I1146" t="inlineStr">
        <is>
          <t>L</t>
        </is>
      </c>
      <c r="J1146" t="inlineStr">
        <is>
          <t>S</t>
        </is>
      </c>
      <c r="K1146" t="inlineStr"/>
      <c r="L1146" t="inlineStr"/>
      <c r="M1146" s="30">
        <f>0.005454*F1146^2</f>
        <v/>
      </c>
      <c r="N1146" s="31">
        <f>IF(D1146="BAF20",20/M1146,100)</f>
        <v/>
      </c>
      <c r="O1146" s="31">
        <f>M1146*N1146</f>
        <v/>
      </c>
      <c r="P1146" s="32">
        <f>90.5*N1146</f>
        <v/>
      </c>
    </row>
    <row r="1147">
      <c r="A1147" t="inlineStr">
        <is>
          <t>U2-38</t>
        </is>
      </c>
      <c r="B1147" t="n">
        <v>2</v>
      </c>
      <c r="C1147" t="n">
        <v>8</v>
      </c>
      <c r="D1147" t="inlineStr">
        <is>
          <t>BAF20</t>
        </is>
      </c>
      <c r="E1147" t="inlineStr">
        <is>
          <t>DF</t>
        </is>
      </c>
      <c r="F1147" t="n">
        <v>16.2</v>
      </c>
      <c r="G1147" t="n">
        <v>84</v>
      </c>
      <c r="H1147" t="n">
        <v>0</v>
      </c>
      <c r="I1147" t="inlineStr">
        <is>
          <t>L</t>
        </is>
      </c>
      <c r="J1147" t="inlineStr">
        <is>
          <t>I</t>
        </is>
      </c>
      <c r="K1147" t="inlineStr"/>
      <c r="L1147" t="inlineStr"/>
      <c r="M1147" s="30">
        <f>0.005454*F1147^2</f>
        <v/>
      </c>
      <c r="N1147" s="31">
        <f>IF(D1147="BAF20",20/M1147,100)</f>
        <v/>
      </c>
      <c r="O1147" s="31">
        <f>M1147*N1147</f>
        <v/>
      </c>
      <c r="P1147" s="32">
        <f>198.1*N1147</f>
        <v/>
      </c>
    </row>
    <row r="1148">
      <c r="A1148" t="inlineStr">
        <is>
          <t>U2-38</t>
        </is>
      </c>
      <c r="B1148" t="n">
        <v>2</v>
      </c>
      <c r="C1148" t="n">
        <v>9</v>
      </c>
      <c r="D1148" t="inlineStr">
        <is>
          <t>BAF20</t>
        </is>
      </c>
      <c r="E1148" t="inlineStr">
        <is>
          <t>WF</t>
        </is>
      </c>
      <c r="F1148" t="n">
        <v>10.9</v>
      </c>
      <c r="G1148" t="n">
        <v>52</v>
      </c>
      <c r="H1148" t="n">
        <v>13</v>
      </c>
      <c r="I1148" t="inlineStr">
        <is>
          <t>L</t>
        </is>
      </c>
      <c r="J1148" t="inlineStr">
        <is>
          <t>S</t>
        </is>
      </c>
      <c r="K1148" t="inlineStr">
        <is>
          <t>Y</t>
        </is>
      </c>
      <c r="L1148" t="inlineStr"/>
      <c r="M1148" s="30">
        <f>0.005454*F1148^2</f>
        <v/>
      </c>
      <c r="N1148" s="31">
        <f>IF(D1148="BAF20",20/M1148,100)</f>
        <v/>
      </c>
      <c r="O1148" s="31">
        <f>M1148*N1148</f>
        <v/>
      </c>
      <c r="P1148" s="32">
        <f>43.0*N1148</f>
        <v/>
      </c>
    </row>
    <row r="1149">
      <c r="A1149" t="inlineStr">
        <is>
          <t>U2-38</t>
        </is>
      </c>
      <c r="B1149" t="n">
        <v>2</v>
      </c>
      <c r="C1149" t="n">
        <v>10</v>
      </c>
      <c r="D1149" t="inlineStr">
        <is>
          <t>BAF20</t>
        </is>
      </c>
      <c r="E1149" t="inlineStr">
        <is>
          <t>PP</t>
        </is>
      </c>
      <c r="F1149" t="n">
        <v>10.5</v>
      </c>
      <c r="G1149" t="n">
        <v>52</v>
      </c>
      <c r="H1149" t="n">
        <v>100</v>
      </c>
      <c r="I1149" t="inlineStr">
        <is>
          <t>D</t>
        </is>
      </c>
      <c r="J1149" t="inlineStr">
        <is>
          <t>S</t>
        </is>
      </c>
      <c r="K1149" t="inlineStr"/>
      <c r="L1149" t="inlineStr"/>
      <c r="M1149" s="30">
        <f>0.005454*F1149^2</f>
        <v/>
      </c>
      <c r="N1149" s="31">
        <f>IF(D1149="BAF20",20/M1149,100)</f>
        <v/>
      </c>
      <c r="O1149" s="31">
        <f>M1149*N1149</f>
        <v/>
      </c>
      <c r="P1149" s="32">
        <f>0.0*N1149</f>
        <v/>
      </c>
    </row>
    <row r="1150">
      <c r="A1150" t="inlineStr">
        <is>
          <t>U2-38</t>
        </is>
      </c>
      <c r="B1150" t="n">
        <v>2</v>
      </c>
      <c r="C1150" t="n">
        <v>11</v>
      </c>
      <c r="D1150" t="inlineStr">
        <is>
          <t>BAF20</t>
        </is>
      </c>
      <c r="E1150" t="inlineStr">
        <is>
          <t>WF</t>
        </is>
      </c>
      <c r="F1150" t="n">
        <v>11</v>
      </c>
      <c r="G1150" t="n">
        <v>48</v>
      </c>
      <c r="H1150" t="n">
        <v>8</v>
      </c>
      <c r="I1150" t="inlineStr">
        <is>
          <t>L</t>
        </is>
      </c>
      <c r="J1150" t="inlineStr">
        <is>
          <t>S</t>
        </is>
      </c>
      <c r="K1150" t="inlineStr">
        <is>
          <t>Y</t>
        </is>
      </c>
      <c r="L1150" t="inlineStr"/>
      <c r="M1150" s="30">
        <f>0.005454*F1150^2</f>
        <v/>
      </c>
      <c r="N1150" s="31">
        <f>IF(D1150="BAF20",20/M1150,100)</f>
        <v/>
      </c>
      <c r="O1150" s="31">
        <f>M1150*N1150</f>
        <v/>
      </c>
      <c r="P1150" s="32">
        <f>42.9*N1150</f>
        <v/>
      </c>
    </row>
    <row r="1151">
      <c r="A1151" t="inlineStr">
        <is>
          <t>U2-38</t>
        </is>
      </c>
      <c r="B1151" t="n">
        <v>2</v>
      </c>
      <c r="C1151" t="n">
        <v>12</v>
      </c>
      <c r="D1151" t="inlineStr">
        <is>
          <t>BAF20</t>
        </is>
      </c>
      <c r="E1151" t="inlineStr">
        <is>
          <t>DF</t>
        </is>
      </c>
      <c r="F1151" t="n">
        <v>37.9</v>
      </c>
      <c r="G1151" t="n">
        <v>128</v>
      </c>
      <c r="H1151" t="n">
        <v>5</v>
      </c>
      <c r="I1151" t="inlineStr">
        <is>
          <t>L</t>
        </is>
      </c>
      <c r="J1151" t="inlineStr">
        <is>
          <t>D</t>
        </is>
      </c>
      <c r="K1151" t="inlineStr"/>
      <c r="L1151" t="inlineStr"/>
      <c r="M1151" s="30">
        <f>0.005454*F1151^2</f>
        <v/>
      </c>
      <c r="N1151" s="31">
        <f>IF(D1151="BAF20",20/M1151,100)</f>
        <v/>
      </c>
      <c r="O1151" s="31">
        <f>M1151*N1151</f>
        <v/>
      </c>
      <c r="P1151" s="32">
        <f>2232.6*N1151</f>
        <v/>
      </c>
    </row>
    <row r="1152">
      <c r="A1152" t="inlineStr">
        <is>
          <t>U2-38</t>
        </is>
      </c>
      <c r="B1152" t="n">
        <v>2</v>
      </c>
      <c r="C1152" t="n">
        <v>13</v>
      </c>
      <c r="D1152" t="inlineStr">
        <is>
          <t>BAF20</t>
        </is>
      </c>
      <c r="E1152" t="inlineStr">
        <is>
          <t>PP</t>
        </is>
      </c>
      <c r="F1152" t="n">
        <v>8</v>
      </c>
      <c r="G1152" t="n">
        <v>46</v>
      </c>
      <c r="H1152" t="n">
        <v>4</v>
      </c>
      <c r="I1152" t="inlineStr">
        <is>
          <t>L</t>
        </is>
      </c>
      <c r="J1152" t="inlineStr">
        <is>
          <t>S</t>
        </is>
      </c>
      <c r="K1152" t="inlineStr">
        <is>
          <t>Y</t>
        </is>
      </c>
      <c r="L1152" t="inlineStr"/>
      <c r="M1152" s="30">
        <f>0.005454*F1152^2</f>
        <v/>
      </c>
      <c r="N1152" s="31">
        <f>IF(D1152="BAF20",20/M1152,100)</f>
        <v/>
      </c>
      <c r="O1152" s="31">
        <f>M1152*N1152</f>
        <v/>
      </c>
      <c r="P1152" s="32">
        <f>0.0*N1152</f>
        <v/>
      </c>
    </row>
    <row r="1153">
      <c r="A1153" t="inlineStr">
        <is>
          <t>U2-38</t>
        </is>
      </c>
      <c r="B1153" t="n">
        <v>2</v>
      </c>
      <c r="C1153" t="n">
        <v>14</v>
      </c>
      <c r="D1153" t="inlineStr">
        <is>
          <t>BAF20</t>
        </is>
      </c>
      <c r="E1153" t="inlineStr">
        <is>
          <t>DF</t>
        </is>
      </c>
      <c r="F1153" t="n">
        <v>7.1</v>
      </c>
      <c r="G1153" t="n">
        <v>43</v>
      </c>
      <c r="H1153" t="n">
        <v>4</v>
      </c>
      <c r="I1153" t="inlineStr">
        <is>
          <t>L</t>
        </is>
      </c>
      <c r="J1153" t="inlineStr">
        <is>
          <t>S</t>
        </is>
      </c>
      <c r="K1153" t="inlineStr">
        <is>
          <t>Y</t>
        </is>
      </c>
      <c r="L1153" t="inlineStr"/>
      <c r="M1153" s="30">
        <f>0.005454*F1153^2</f>
        <v/>
      </c>
      <c r="N1153" s="31">
        <f>IF(D1153="BAF20",20/M1153,100)</f>
        <v/>
      </c>
      <c r="O1153" s="31">
        <f>M1153*N1153</f>
        <v/>
      </c>
      <c r="P1153" s="32">
        <f>0.0*N1153</f>
        <v/>
      </c>
    </row>
    <row r="1154">
      <c r="A1154" t="inlineStr">
        <is>
          <t>U2-38</t>
        </is>
      </c>
      <c r="B1154" t="n">
        <v>2</v>
      </c>
      <c r="C1154" t="n">
        <v>15</v>
      </c>
      <c r="D1154" t="inlineStr">
        <is>
          <t>BAF20</t>
        </is>
      </c>
      <c r="E1154" t="inlineStr">
        <is>
          <t>PP</t>
        </is>
      </c>
      <c r="F1154" t="n">
        <v>10.9</v>
      </c>
      <c r="G1154" t="n">
        <v>57</v>
      </c>
      <c r="H1154" t="n">
        <v>0</v>
      </c>
      <c r="I1154" t="inlineStr">
        <is>
          <t>L</t>
        </is>
      </c>
      <c r="J1154" t="inlineStr">
        <is>
          <t>S</t>
        </is>
      </c>
      <c r="K1154" t="inlineStr">
        <is>
          <t>Y</t>
        </is>
      </c>
      <c r="L1154" t="inlineStr"/>
      <c r="M1154" s="30">
        <f>0.005454*F1154^2</f>
        <v/>
      </c>
      <c r="N1154" s="31">
        <f>IF(D1154="BAF20",20/M1154,100)</f>
        <v/>
      </c>
      <c r="O1154" s="31">
        <f>M1154*N1154</f>
        <v/>
      </c>
      <c r="P1154" s="32">
        <f>54.2*N1154</f>
        <v/>
      </c>
    </row>
    <row r="1155">
      <c r="A1155" t="inlineStr">
        <is>
          <t>U2-38</t>
        </is>
      </c>
      <c r="B1155" t="n">
        <v>2</v>
      </c>
      <c r="C1155" t="n">
        <v>16</v>
      </c>
      <c r="D1155" t="inlineStr">
        <is>
          <t>FIX100</t>
        </is>
      </c>
      <c r="E1155" t="inlineStr">
        <is>
          <t>SP</t>
        </is>
      </c>
      <c r="F1155" t="n">
        <v>1.3</v>
      </c>
      <c r="G1155" t="n">
        <v>10</v>
      </c>
      <c r="H1155" t="n">
        <v>0</v>
      </c>
      <c r="I1155" t="inlineStr">
        <is>
          <t>L</t>
        </is>
      </c>
      <c r="J1155" t="inlineStr">
        <is>
          <t>S</t>
        </is>
      </c>
      <c r="K1155" t="inlineStr"/>
      <c r="L1155" t="inlineStr"/>
      <c r="M1155" s="30">
        <f>0.005454*F1155^2</f>
        <v/>
      </c>
      <c r="N1155" s="31">
        <f>IF(D1155="BAF20",20/M1155,100)</f>
        <v/>
      </c>
      <c r="O1155" s="31">
        <f>M1155*N1155</f>
        <v/>
      </c>
      <c r="P1155" s="32">
        <f>0.0*N1155</f>
        <v/>
      </c>
    </row>
    <row r="1156">
      <c r="A1156" t="inlineStr">
        <is>
          <t>U2-38</t>
        </is>
      </c>
      <c r="B1156" t="n">
        <v>2</v>
      </c>
      <c r="C1156" t="n">
        <v>17</v>
      </c>
      <c r="D1156" t="inlineStr">
        <is>
          <t>FIX100</t>
        </is>
      </c>
      <c r="E1156" t="inlineStr">
        <is>
          <t>DF</t>
        </is>
      </c>
      <c r="F1156" t="n">
        <v>1.1</v>
      </c>
      <c r="G1156" t="n">
        <v>10</v>
      </c>
      <c r="H1156" t="n">
        <v>0</v>
      </c>
      <c r="I1156" t="inlineStr">
        <is>
          <t>L</t>
        </is>
      </c>
      <c r="J1156" t="inlineStr">
        <is>
          <t>S</t>
        </is>
      </c>
      <c r="K1156" t="inlineStr"/>
      <c r="L1156" t="inlineStr"/>
      <c r="M1156" s="30">
        <f>0.005454*F1156^2</f>
        <v/>
      </c>
      <c r="N1156" s="31">
        <f>IF(D1156="BAF20",20/M1156,100)</f>
        <v/>
      </c>
      <c r="O1156" s="31">
        <f>M1156*N1156</f>
        <v/>
      </c>
      <c r="P1156" s="32">
        <f>0.0*N1156</f>
        <v/>
      </c>
    </row>
    <row r="1157">
      <c r="A1157" t="inlineStr">
        <is>
          <t>U2-39</t>
        </is>
      </c>
      <c r="B1157" t="n">
        <v>2</v>
      </c>
      <c r="C1157" t="n">
        <v>1</v>
      </c>
      <c r="D1157" t="inlineStr">
        <is>
          <t>BAF20</t>
        </is>
      </c>
      <c r="E1157" t="inlineStr">
        <is>
          <t>PP</t>
        </is>
      </c>
      <c r="F1157" t="n">
        <v>40.2</v>
      </c>
      <c r="G1157" t="n">
        <v>143</v>
      </c>
      <c r="H1157" t="n">
        <v>3</v>
      </c>
      <c r="I1157" t="inlineStr">
        <is>
          <t>L</t>
        </is>
      </c>
      <c r="J1157" t="inlineStr">
        <is>
          <t>D</t>
        </is>
      </c>
      <c r="K1157" t="inlineStr"/>
      <c r="L1157" t="inlineStr"/>
      <c r="M1157" s="30">
        <f>0.005454*F1157^2</f>
        <v/>
      </c>
      <c r="N1157" s="31">
        <f>IF(D1157="BAF20",20/M1157,100)</f>
        <v/>
      </c>
      <c r="O1157" s="31">
        <f>M1157*N1157</f>
        <v/>
      </c>
      <c r="P1157" s="32">
        <f>2865.2*N1157</f>
        <v/>
      </c>
    </row>
    <row r="1158">
      <c r="A1158" t="inlineStr">
        <is>
          <t>U2-39</t>
        </is>
      </c>
      <c r="B1158" t="n">
        <v>2</v>
      </c>
      <c r="C1158" t="n">
        <v>2</v>
      </c>
      <c r="D1158" t="inlineStr">
        <is>
          <t>BAF20</t>
        </is>
      </c>
      <c r="E1158" t="inlineStr">
        <is>
          <t>WF</t>
        </is>
      </c>
      <c r="F1158" t="n">
        <v>11.3</v>
      </c>
      <c r="G1158" t="n">
        <v>54</v>
      </c>
      <c r="H1158" t="n">
        <v>11</v>
      </c>
      <c r="I1158" t="inlineStr">
        <is>
          <t>L</t>
        </is>
      </c>
      <c r="J1158" t="inlineStr">
        <is>
          <t>S</t>
        </is>
      </c>
      <c r="K1158" t="inlineStr">
        <is>
          <t>Y</t>
        </is>
      </c>
      <c r="L1158" t="inlineStr"/>
      <c r="M1158" s="30">
        <f>0.005454*F1158^2</f>
        <v/>
      </c>
      <c r="N1158" s="31">
        <f>IF(D1158="BAF20",20/M1158,100)</f>
        <v/>
      </c>
      <c r="O1158" s="31">
        <f>M1158*N1158</f>
        <v/>
      </c>
      <c r="P1158" s="32">
        <f>49.6*N1158</f>
        <v/>
      </c>
    </row>
    <row r="1159">
      <c r="A1159" t="inlineStr">
        <is>
          <t>U2-39</t>
        </is>
      </c>
      <c r="B1159" t="n">
        <v>2</v>
      </c>
      <c r="C1159" t="n">
        <v>3</v>
      </c>
      <c r="D1159" t="inlineStr">
        <is>
          <t>BAF20</t>
        </is>
      </c>
      <c r="E1159" t="inlineStr">
        <is>
          <t>IC</t>
        </is>
      </c>
      <c r="F1159" t="n">
        <v>17.2</v>
      </c>
      <c r="G1159" t="n">
        <v>64</v>
      </c>
      <c r="H1159" t="n">
        <v>15</v>
      </c>
      <c r="I1159" t="inlineStr">
        <is>
          <t>L</t>
        </is>
      </c>
      <c r="J1159" t="inlineStr">
        <is>
          <t>I</t>
        </is>
      </c>
      <c r="K1159" t="inlineStr"/>
      <c r="L1159" t="inlineStr"/>
      <c r="M1159" s="30">
        <f>0.005454*F1159^2</f>
        <v/>
      </c>
      <c r="N1159" s="31">
        <f>IF(D1159="BAF20",20/M1159,100)</f>
        <v/>
      </c>
      <c r="O1159" s="31">
        <f>M1159*N1159</f>
        <v/>
      </c>
      <c r="P1159" s="32">
        <f>147.6*N1159</f>
        <v/>
      </c>
    </row>
    <row r="1160">
      <c r="A1160" t="inlineStr">
        <is>
          <t>U2-39</t>
        </is>
      </c>
      <c r="B1160" t="n">
        <v>2</v>
      </c>
      <c r="C1160" t="n">
        <v>4</v>
      </c>
      <c r="D1160" t="inlineStr">
        <is>
          <t>BAF20</t>
        </is>
      </c>
      <c r="E1160" t="inlineStr">
        <is>
          <t>BO</t>
        </is>
      </c>
      <c r="F1160" t="n">
        <v>11</v>
      </c>
      <c r="G1160" t="n">
        <v>44</v>
      </c>
      <c r="H1160" t="n">
        <v>19</v>
      </c>
      <c r="I1160" t="inlineStr">
        <is>
          <t>L</t>
        </is>
      </c>
      <c r="J1160" t="inlineStr">
        <is>
          <t>S</t>
        </is>
      </c>
      <c r="K1160" t="inlineStr">
        <is>
          <t>Y</t>
        </is>
      </c>
      <c r="L1160" t="inlineStr"/>
      <c r="M1160" s="30">
        <f>0.005454*F1160^2</f>
        <v/>
      </c>
      <c r="N1160" s="31">
        <f>IF(D1160="BAF20",20/M1160,100)</f>
        <v/>
      </c>
      <c r="O1160" s="31">
        <f>M1160*N1160</f>
        <v/>
      </c>
      <c r="P1160" s="32">
        <f>31.3*N1160</f>
        <v/>
      </c>
    </row>
    <row r="1161">
      <c r="A1161" t="inlineStr">
        <is>
          <t>U2-39</t>
        </is>
      </c>
      <c r="B1161" t="n">
        <v>2</v>
      </c>
      <c r="C1161" t="n">
        <v>5</v>
      </c>
      <c r="D1161" t="inlineStr">
        <is>
          <t>BAF20</t>
        </is>
      </c>
      <c r="E1161" t="inlineStr">
        <is>
          <t>WF</t>
        </is>
      </c>
      <c r="F1161" t="n">
        <v>10.4</v>
      </c>
      <c r="G1161" t="n">
        <v>59</v>
      </c>
      <c r="H1161" t="n">
        <v>3</v>
      </c>
      <c r="I1161" t="inlineStr">
        <is>
          <t>L</t>
        </is>
      </c>
      <c r="J1161" t="inlineStr">
        <is>
          <t>S</t>
        </is>
      </c>
      <c r="K1161" t="inlineStr">
        <is>
          <t>Y</t>
        </is>
      </c>
      <c r="L1161" t="inlineStr"/>
      <c r="M1161" s="30">
        <f>0.005454*F1161^2</f>
        <v/>
      </c>
      <c r="N1161" s="31">
        <f>IF(D1161="BAF20",20/M1161,100)</f>
        <v/>
      </c>
      <c r="O1161" s="31">
        <f>M1161*N1161</f>
        <v/>
      </c>
      <c r="P1161" s="32">
        <f>49.0*N1161</f>
        <v/>
      </c>
    </row>
    <row r="1162">
      <c r="A1162" t="inlineStr">
        <is>
          <t>U2-39</t>
        </is>
      </c>
      <c r="B1162" t="n">
        <v>2</v>
      </c>
      <c r="C1162" t="n">
        <v>6</v>
      </c>
      <c r="D1162" t="inlineStr">
        <is>
          <t>BAF20</t>
        </is>
      </c>
      <c r="E1162" t="inlineStr">
        <is>
          <t>PP</t>
        </is>
      </c>
      <c r="F1162" t="n">
        <v>7.2</v>
      </c>
      <c r="G1162" t="n">
        <v>41</v>
      </c>
      <c r="H1162" t="n">
        <v>2</v>
      </c>
      <c r="I1162" t="inlineStr">
        <is>
          <t>L</t>
        </is>
      </c>
      <c r="J1162" t="inlineStr">
        <is>
          <t>S</t>
        </is>
      </c>
      <c r="K1162" t="inlineStr">
        <is>
          <t>Y</t>
        </is>
      </c>
      <c r="L1162" t="inlineStr"/>
      <c r="M1162" s="30">
        <f>0.005454*F1162^2</f>
        <v/>
      </c>
      <c r="N1162" s="31">
        <f>IF(D1162="BAF20",20/M1162,100)</f>
        <v/>
      </c>
      <c r="O1162" s="31">
        <f>M1162*N1162</f>
        <v/>
      </c>
      <c r="P1162" s="32">
        <f>0.0*N1162</f>
        <v/>
      </c>
    </row>
    <row r="1163">
      <c r="A1163" t="inlineStr">
        <is>
          <t>U2-39</t>
        </is>
      </c>
      <c r="B1163" t="n">
        <v>2</v>
      </c>
      <c r="C1163" t="n">
        <v>7</v>
      </c>
      <c r="D1163" t="inlineStr">
        <is>
          <t>BAF20</t>
        </is>
      </c>
      <c r="E1163" t="inlineStr">
        <is>
          <t>DF</t>
        </is>
      </c>
      <c r="F1163" t="n">
        <v>35.2</v>
      </c>
      <c r="G1163" t="n">
        <v>120</v>
      </c>
      <c r="H1163" t="n">
        <v>6</v>
      </c>
      <c r="I1163" t="inlineStr">
        <is>
          <t>L</t>
        </is>
      </c>
      <c r="J1163" t="inlineStr">
        <is>
          <t>D</t>
        </is>
      </c>
      <c r="K1163" t="inlineStr"/>
      <c r="L1163" t="inlineStr"/>
      <c r="M1163" s="30">
        <f>0.005454*F1163^2</f>
        <v/>
      </c>
      <c r="N1163" s="31">
        <f>IF(D1163="BAF20",20/M1163,100)</f>
        <v/>
      </c>
      <c r="O1163" s="31">
        <f>M1163*N1163</f>
        <v/>
      </c>
      <c r="P1163" s="32">
        <f>1748.4*N1163</f>
        <v/>
      </c>
    </row>
    <row r="1164">
      <c r="A1164" t="inlineStr">
        <is>
          <t>U2-39</t>
        </is>
      </c>
      <c r="B1164" t="n">
        <v>2</v>
      </c>
      <c r="C1164" t="n">
        <v>8</v>
      </c>
      <c r="D1164" t="inlineStr">
        <is>
          <t>BAF20</t>
        </is>
      </c>
      <c r="E1164" t="inlineStr">
        <is>
          <t>IC</t>
        </is>
      </c>
      <c r="F1164" t="n">
        <v>15</v>
      </c>
      <c r="G1164" t="n">
        <v>61</v>
      </c>
      <c r="H1164" t="n">
        <v>10</v>
      </c>
      <c r="I1164" t="inlineStr">
        <is>
          <t>L</t>
        </is>
      </c>
      <c r="J1164" t="inlineStr">
        <is>
          <t>I</t>
        </is>
      </c>
      <c r="K1164" t="inlineStr"/>
      <c r="L1164" t="inlineStr"/>
      <c r="M1164" s="30">
        <f>0.005454*F1164^2</f>
        <v/>
      </c>
      <c r="N1164" s="31">
        <f>IF(D1164="BAF20",20/M1164,100)</f>
        <v/>
      </c>
      <c r="O1164" s="31">
        <f>M1164*N1164</f>
        <v/>
      </c>
      <c r="P1164" s="32">
        <f>108.2*N1164</f>
        <v/>
      </c>
    </row>
    <row r="1165">
      <c r="A1165" t="inlineStr">
        <is>
          <t>U2-39</t>
        </is>
      </c>
      <c r="B1165" t="n">
        <v>2</v>
      </c>
      <c r="C1165" t="n">
        <v>9</v>
      </c>
      <c r="D1165" t="inlineStr">
        <is>
          <t>BAF20</t>
        </is>
      </c>
      <c r="E1165" t="inlineStr">
        <is>
          <t>PP</t>
        </is>
      </c>
      <c r="F1165" t="n">
        <v>12.9</v>
      </c>
      <c r="G1165" t="n">
        <v>63</v>
      </c>
      <c r="H1165" t="n">
        <v>7</v>
      </c>
      <c r="I1165" t="inlineStr">
        <is>
          <t>L</t>
        </is>
      </c>
      <c r="J1165" t="inlineStr">
        <is>
          <t>S</t>
        </is>
      </c>
      <c r="K1165" t="inlineStr"/>
      <c r="L1165" t="inlineStr"/>
      <c r="M1165" s="30">
        <f>0.005454*F1165^2</f>
        <v/>
      </c>
      <c r="N1165" s="31">
        <f>IF(D1165="BAF20",20/M1165,100)</f>
        <v/>
      </c>
      <c r="O1165" s="31">
        <f>M1165*N1165</f>
        <v/>
      </c>
      <c r="P1165" s="32">
        <f>81.6*N1165</f>
        <v/>
      </c>
    </row>
    <row r="1166">
      <c r="A1166" t="inlineStr">
        <is>
          <t>U2-39</t>
        </is>
      </c>
      <c r="B1166" t="n">
        <v>2</v>
      </c>
      <c r="C1166" t="n">
        <v>10</v>
      </c>
      <c r="D1166" t="inlineStr">
        <is>
          <t>BAF20</t>
        </is>
      </c>
      <c r="E1166" t="inlineStr">
        <is>
          <t>WF</t>
        </is>
      </c>
      <c r="F1166" t="n">
        <v>15</v>
      </c>
      <c r="G1166" t="n">
        <v>73</v>
      </c>
      <c r="H1166" t="n">
        <v>4</v>
      </c>
      <c r="I1166" t="inlineStr">
        <is>
          <t>L</t>
        </is>
      </c>
      <c r="J1166" t="inlineStr">
        <is>
          <t>I</t>
        </is>
      </c>
      <c r="K1166" t="inlineStr"/>
      <c r="L1166" t="inlineStr"/>
      <c r="M1166" s="30">
        <f>0.005454*F1166^2</f>
        <v/>
      </c>
      <c r="N1166" s="31">
        <f>IF(D1166="BAF20",20/M1166,100)</f>
        <v/>
      </c>
      <c r="O1166" s="31">
        <f>M1166*N1166</f>
        <v/>
      </c>
      <c r="P1166" s="32">
        <f>138.2*N1166</f>
        <v/>
      </c>
    </row>
    <row r="1167">
      <c r="A1167" t="inlineStr">
        <is>
          <t>U2-39</t>
        </is>
      </c>
      <c r="B1167" t="n">
        <v>2</v>
      </c>
      <c r="C1167" t="n">
        <v>11</v>
      </c>
      <c r="D1167" t="inlineStr">
        <is>
          <t>BAF20</t>
        </is>
      </c>
      <c r="E1167" t="inlineStr">
        <is>
          <t>IC</t>
        </is>
      </c>
      <c r="F1167" t="n">
        <v>7.9</v>
      </c>
      <c r="G1167" t="n">
        <v>36</v>
      </c>
      <c r="H1167" t="n">
        <v>6</v>
      </c>
      <c r="I1167" t="inlineStr">
        <is>
          <t>L</t>
        </is>
      </c>
      <c r="J1167" t="inlineStr">
        <is>
          <t>S</t>
        </is>
      </c>
      <c r="K1167" t="inlineStr">
        <is>
          <t>Y</t>
        </is>
      </c>
      <c r="L1167" t="inlineStr"/>
      <c r="M1167" s="30">
        <f>0.005454*F1167^2</f>
        <v/>
      </c>
      <c r="N1167" s="31">
        <f>IF(D1167="BAF20",20/M1167,100)</f>
        <v/>
      </c>
      <c r="O1167" s="31">
        <f>M1167*N1167</f>
        <v/>
      </c>
      <c r="P1167" s="32">
        <f>0.0*N1167</f>
        <v/>
      </c>
    </row>
    <row r="1168">
      <c r="A1168" t="inlineStr">
        <is>
          <t>U2-39</t>
        </is>
      </c>
      <c r="B1168" t="n">
        <v>2</v>
      </c>
      <c r="C1168" t="n">
        <v>12</v>
      </c>
      <c r="D1168" t="inlineStr">
        <is>
          <t>BAF20</t>
        </is>
      </c>
      <c r="E1168" t="inlineStr">
        <is>
          <t>WF</t>
        </is>
      </c>
      <c r="F1168" t="n">
        <v>12.8</v>
      </c>
      <c r="G1168" t="n">
        <v>61</v>
      </c>
      <c r="H1168" t="n">
        <v>6</v>
      </c>
      <c r="I1168" t="inlineStr">
        <is>
          <t>L</t>
        </is>
      </c>
      <c r="J1168" t="inlineStr">
        <is>
          <t>S</t>
        </is>
      </c>
      <c r="K1168" t="inlineStr"/>
      <c r="L1168" t="inlineStr"/>
      <c r="M1168" s="30">
        <f>0.005454*F1168^2</f>
        <v/>
      </c>
      <c r="N1168" s="31">
        <f>IF(D1168="BAF20",20/M1168,100)</f>
        <v/>
      </c>
      <c r="O1168" s="31">
        <f>M1168*N1168</f>
        <v/>
      </c>
      <c r="P1168" s="32">
        <f>78.5*N1168</f>
        <v/>
      </c>
    </row>
    <row r="1169">
      <c r="A1169" t="inlineStr">
        <is>
          <t>U2-39</t>
        </is>
      </c>
      <c r="B1169" t="n">
        <v>2</v>
      </c>
      <c r="C1169" t="n">
        <v>13</v>
      </c>
      <c r="D1169" t="inlineStr">
        <is>
          <t>BAF20</t>
        </is>
      </c>
      <c r="E1169" t="inlineStr">
        <is>
          <t>WF</t>
        </is>
      </c>
      <c r="F1169" t="n">
        <v>8.4</v>
      </c>
      <c r="G1169" t="n">
        <v>49</v>
      </c>
      <c r="H1169" t="n">
        <v>9</v>
      </c>
      <c r="I1169" t="inlineStr">
        <is>
          <t>L</t>
        </is>
      </c>
      <c r="J1169" t="inlineStr">
        <is>
          <t>S</t>
        </is>
      </c>
      <c r="K1169" t="inlineStr">
        <is>
          <t>Y</t>
        </is>
      </c>
      <c r="L1169" t="inlineStr"/>
      <c r="M1169" s="30">
        <f>0.005454*F1169^2</f>
        <v/>
      </c>
      <c r="N1169" s="31">
        <f>IF(D1169="BAF20",20/M1169,100)</f>
        <v/>
      </c>
      <c r="O1169" s="31">
        <f>M1169*N1169</f>
        <v/>
      </c>
      <c r="P1169" s="32">
        <f>0.0*N1169</f>
        <v/>
      </c>
    </row>
    <row r="1170">
      <c r="A1170" t="inlineStr">
        <is>
          <t>U2-39</t>
        </is>
      </c>
      <c r="B1170" t="n">
        <v>2</v>
      </c>
      <c r="C1170" t="n">
        <v>14</v>
      </c>
      <c r="D1170" t="inlineStr">
        <is>
          <t>BAF20</t>
        </is>
      </c>
      <c r="E1170" t="inlineStr">
        <is>
          <t>PP</t>
        </is>
      </c>
      <c r="F1170" t="n">
        <v>15.5</v>
      </c>
      <c r="G1170" t="n">
        <v>73</v>
      </c>
      <c r="H1170" t="n">
        <v>4</v>
      </c>
      <c r="I1170" t="inlineStr">
        <is>
          <t>L</t>
        </is>
      </c>
      <c r="J1170" t="inlineStr">
        <is>
          <t>I</t>
        </is>
      </c>
      <c r="K1170" t="inlineStr"/>
      <c r="L1170" t="inlineStr"/>
      <c r="M1170" s="30">
        <f>0.005454*F1170^2</f>
        <v/>
      </c>
      <c r="N1170" s="31">
        <f>IF(D1170="BAF20",20/M1170,100)</f>
        <v/>
      </c>
      <c r="O1170" s="31">
        <f>M1170*N1170</f>
        <v/>
      </c>
      <c r="P1170" s="32">
        <f>149.1*N1170</f>
        <v/>
      </c>
    </row>
    <row r="1171">
      <c r="A1171" t="inlineStr">
        <is>
          <t>U2-39</t>
        </is>
      </c>
      <c r="B1171" t="n">
        <v>2</v>
      </c>
      <c r="C1171" t="n">
        <v>15</v>
      </c>
      <c r="D1171" t="inlineStr">
        <is>
          <t>BAF20</t>
        </is>
      </c>
      <c r="E1171" t="inlineStr">
        <is>
          <t>DF</t>
        </is>
      </c>
      <c r="F1171" t="n">
        <v>41.8</v>
      </c>
      <c r="G1171" t="n">
        <v>154</v>
      </c>
      <c r="H1171" t="n">
        <v>7</v>
      </c>
      <c r="I1171" t="inlineStr">
        <is>
          <t>L</t>
        </is>
      </c>
      <c r="J1171" t="inlineStr">
        <is>
          <t>D</t>
        </is>
      </c>
      <c r="K1171" t="inlineStr"/>
      <c r="L1171" t="inlineStr"/>
      <c r="M1171" s="30">
        <f>0.005454*F1171^2</f>
        <v/>
      </c>
      <c r="N1171" s="31">
        <f>IF(D1171="BAF20",20/M1171,100)</f>
        <v/>
      </c>
      <c r="O1171" s="31">
        <f>M1171*N1171</f>
        <v/>
      </c>
      <c r="P1171" s="32">
        <f>3198.6*N1171</f>
        <v/>
      </c>
    </row>
    <row r="1172">
      <c r="A1172" t="inlineStr">
        <is>
          <t>U2-39</t>
        </is>
      </c>
      <c r="B1172" t="n">
        <v>2</v>
      </c>
      <c r="C1172" t="n">
        <v>16</v>
      </c>
      <c r="D1172" t="inlineStr">
        <is>
          <t>BAF20</t>
        </is>
      </c>
      <c r="E1172" t="inlineStr">
        <is>
          <t>DF</t>
        </is>
      </c>
      <c r="F1172" t="n">
        <v>16.4</v>
      </c>
      <c r="G1172" t="n">
        <v>83</v>
      </c>
      <c r="H1172" t="n">
        <v>3</v>
      </c>
      <c r="I1172" t="inlineStr">
        <is>
          <t>L</t>
        </is>
      </c>
      <c r="J1172" t="inlineStr">
        <is>
          <t>I</t>
        </is>
      </c>
      <c r="K1172" t="inlineStr"/>
      <c r="L1172" t="inlineStr"/>
      <c r="M1172" s="30">
        <f>0.005454*F1172^2</f>
        <v/>
      </c>
      <c r="N1172" s="31">
        <f>IF(D1172="BAF20",20/M1172,100)</f>
        <v/>
      </c>
      <c r="O1172" s="31">
        <f>M1172*N1172</f>
        <v/>
      </c>
      <c r="P1172" s="32">
        <f>195.4*N1172</f>
        <v/>
      </c>
    </row>
    <row r="1173">
      <c r="A1173" t="inlineStr">
        <is>
          <t>U2-39</t>
        </is>
      </c>
      <c r="B1173" t="n">
        <v>2</v>
      </c>
      <c r="C1173" t="n">
        <v>17</v>
      </c>
      <c r="D1173" t="inlineStr">
        <is>
          <t>BAF20</t>
        </is>
      </c>
      <c r="E1173" t="inlineStr">
        <is>
          <t>BO</t>
        </is>
      </c>
      <c r="F1173" t="n">
        <v>10.4</v>
      </c>
      <c r="G1173" t="n">
        <v>42</v>
      </c>
      <c r="H1173" t="n">
        <v>14</v>
      </c>
      <c r="I1173" t="inlineStr">
        <is>
          <t>L</t>
        </is>
      </c>
      <c r="J1173" t="inlineStr">
        <is>
          <t>S</t>
        </is>
      </c>
      <c r="K1173" t="inlineStr">
        <is>
          <t>Y</t>
        </is>
      </c>
      <c r="L1173" t="inlineStr"/>
      <c r="M1173" s="30">
        <f>0.005454*F1173^2</f>
        <v/>
      </c>
      <c r="N1173" s="31">
        <f>IF(D1173="BAF20",20/M1173,100)</f>
        <v/>
      </c>
      <c r="O1173" s="31">
        <f>M1173*N1173</f>
        <v/>
      </c>
      <c r="P1173" s="32">
        <f>28.0*N1173</f>
        <v/>
      </c>
    </row>
    <row r="1174">
      <c r="A1174" t="inlineStr">
        <is>
          <t>U2-39</t>
        </is>
      </c>
      <c r="B1174" t="n">
        <v>2</v>
      </c>
      <c r="C1174" t="n">
        <v>18</v>
      </c>
      <c r="D1174" t="inlineStr">
        <is>
          <t>FIX100</t>
        </is>
      </c>
      <c r="E1174" t="inlineStr">
        <is>
          <t>BO</t>
        </is>
      </c>
      <c r="F1174" t="n">
        <v>4.3</v>
      </c>
      <c r="G1174" t="n">
        <v>25</v>
      </c>
      <c r="H1174" t="n">
        <v>0</v>
      </c>
      <c r="I1174" t="inlineStr">
        <is>
          <t>L</t>
        </is>
      </c>
      <c r="J1174" t="inlineStr">
        <is>
          <t>S</t>
        </is>
      </c>
      <c r="K1174" t="inlineStr"/>
      <c r="L1174" t="inlineStr"/>
      <c r="M1174" s="30">
        <f>0.005454*F1174^2</f>
        <v/>
      </c>
      <c r="N1174" s="31">
        <f>IF(D1174="BAF20",20/M1174,100)</f>
        <v/>
      </c>
      <c r="O1174" s="31">
        <f>M1174*N1174</f>
        <v/>
      </c>
      <c r="P1174" s="32">
        <f>0.0*N1174</f>
        <v/>
      </c>
    </row>
    <row r="1175">
      <c r="A1175" t="inlineStr">
        <is>
          <t>U2-40</t>
        </is>
      </c>
      <c r="B1175" t="n">
        <v>2</v>
      </c>
      <c r="C1175" t="n">
        <v>1</v>
      </c>
      <c r="D1175" t="inlineStr">
        <is>
          <t>BAF20</t>
        </is>
      </c>
      <c r="E1175" t="inlineStr">
        <is>
          <t>IC</t>
        </is>
      </c>
      <c r="F1175" t="n">
        <v>22.5</v>
      </c>
      <c r="G1175" t="n">
        <v>69</v>
      </c>
      <c r="H1175" t="n">
        <v>8</v>
      </c>
      <c r="I1175" t="inlineStr">
        <is>
          <t>L</t>
        </is>
      </c>
      <c r="J1175" t="inlineStr">
        <is>
          <t>C</t>
        </is>
      </c>
      <c r="K1175" t="inlineStr"/>
      <c r="L1175" t="inlineStr"/>
      <c r="M1175" s="30">
        <f>0.005454*F1175^2</f>
        <v/>
      </c>
      <c r="N1175" s="31">
        <f>IF(D1175="BAF20",20/M1175,100)</f>
        <v/>
      </c>
      <c r="O1175" s="31">
        <f>M1175*N1175</f>
        <v/>
      </c>
      <c r="P1175" s="32">
        <f>326.3*N1175</f>
        <v/>
      </c>
    </row>
    <row r="1176">
      <c r="A1176" t="inlineStr">
        <is>
          <t>U2-40</t>
        </is>
      </c>
      <c r="B1176" t="n">
        <v>2</v>
      </c>
      <c r="C1176" t="n">
        <v>2</v>
      </c>
      <c r="D1176" t="inlineStr">
        <is>
          <t>BAF20</t>
        </is>
      </c>
      <c r="E1176" t="inlineStr">
        <is>
          <t>WF</t>
        </is>
      </c>
      <c r="F1176" t="n">
        <v>26.9</v>
      </c>
      <c r="G1176" t="n">
        <v>110</v>
      </c>
      <c r="H1176" t="n">
        <v>14</v>
      </c>
      <c r="I1176" t="inlineStr">
        <is>
          <t>L</t>
        </is>
      </c>
      <c r="J1176" t="inlineStr">
        <is>
          <t>D</t>
        </is>
      </c>
      <c r="K1176" t="inlineStr"/>
      <c r="L1176" t="inlineStr"/>
      <c r="M1176" s="30">
        <f>0.005454*F1176^2</f>
        <v/>
      </c>
      <c r="N1176" s="31">
        <f>IF(D1176="BAF20",20/M1176,100)</f>
        <v/>
      </c>
      <c r="O1176" s="31">
        <f>M1176*N1176</f>
        <v/>
      </c>
      <c r="P1176" s="32">
        <f>750.9*N1176</f>
        <v/>
      </c>
    </row>
    <row r="1177">
      <c r="A1177" t="inlineStr">
        <is>
          <t>U2-40</t>
        </is>
      </c>
      <c r="B1177" t="n">
        <v>2</v>
      </c>
      <c r="C1177" t="n">
        <v>3</v>
      </c>
      <c r="D1177" t="inlineStr">
        <is>
          <t>BAF20</t>
        </is>
      </c>
      <c r="E1177" t="inlineStr">
        <is>
          <t>PP</t>
        </is>
      </c>
      <c r="F1177" t="n">
        <v>30.8</v>
      </c>
      <c r="G1177" t="n">
        <v>120</v>
      </c>
      <c r="H1177" t="n">
        <v>4</v>
      </c>
      <c r="I1177" t="inlineStr">
        <is>
          <t>L</t>
        </is>
      </c>
      <c r="J1177" t="inlineStr">
        <is>
          <t>D</t>
        </is>
      </c>
      <c r="K1177" t="inlineStr"/>
      <c r="L1177" t="inlineStr"/>
      <c r="M1177" s="30">
        <f>0.005454*F1177^2</f>
        <v/>
      </c>
      <c r="N1177" s="31">
        <f>IF(D1177="BAF20",20/M1177,100)</f>
        <v/>
      </c>
      <c r="O1177" s="31">
        <f>M1177*N1177</f>
        <v/>
      </c>
      <c r="P1177" s="32">
        <f>1277.9*N1177</f>
        <v/>
      </c>
    </row>
    <row r="1178">
      <c r="A1178" t="inlineStr">
        <is>
          <t>U2-40</t>
        </is>
      </c>
      <c r="B1178" t="n">
        <v>2</v>
      </c>
      <c r="C1178" t="n">
        <v>4</v>
      </c>
      <c r="D1178" t="inlineStr">
        <is>
          <t>BAF20</t>
        </is>
      </c>
      <c r="E1178" t="inlineStr">
        <is>
          <t>SP</t>
        </is>
      </c>
      <c r="F1178" t="n">
        <v>18.1</v>
      </c>
      <c r="G1178" t="n">
        <v>95</v>
      </c>
      <c r="H1178" t="n">
        <v>100</v>
      </c>
      <c r="I1178" t="inlineStr">
        <is>
          <t>D</t>
        </is>
      </c>
      <c r="J1178" t="inlineStr">
        <is>
          <t>I</t>
        </is>
      </c>
      <c r="K1178" t="inlineStr"/>
      <c r="L1178" t="inlineStr"/>
      <c r="M1178" s="30">
        <f>0.005454*F1178^2</f>
        <v/>
      </c>
      <c r="N1178" s="31">
        <f>IF(D1178="BAF20",20/M1178,100)</f>
        <v/>
      </c>
      <c r="O1178" s="31">
        <f>M1178*N1178</f>
        <v/>
      </c>
      <c r="P1178" s="32">
        <f>0.0*N1178</f>
        <v/>
      </c>
    </row>
    <row r="1179">
      <c r="A1179" t="inlineStr">
        <is>
          <t>U2-40</t>
        </is>
      </c>
      <c r="B1179" t="n">
        <v>2</v>
      </c>
      <c r="C1179" t="n">
        <v>5</v>
      </c>
      <c r="D1179" t="inlineStr">
        <is>
          <t>BAF20</t>
        </is>
      </c>
      <c r="E1179" t="inlineStr">
        <is>
          <t>IC</t>
        </is>
      </c>
      <c r="F1179" t="n">
        <v>17</v>
      </c>
      <c r="G1179" t="n">
        <v>64</v>
      </c>
      <c r="H1179" t="n">
        <v>4</v>
      </c>
      <c r="I1179" t="inlineStr">
        <is>
          <t>L</t>
        </is>
      </c>
      <c r="J1179" t="inlineStr">
        <is>
          <t>I</t>
        </is>
      </c>
      <c r="K1179" t="inlineStr"/>
      <c r="L1179" t="inlineStr"/>
      <c r="M1179" s="30">
        <f>0.005454*F1179^2</f>
        <v/>
      </c>
      <c r="N1179" s="31">
        <f>IF(D1179="BAF20",20/M1179,100)</f>
        <v/>
      </c>
      <c r="O1179" s="31">
        <f>M1179*N1179</f>
        <v/>
      </c>
      <c r="P1179" s="32">
        <f>162.2*N1179</f>
        <v/>
      </c>
    </row>
    <row r="1180">
      <c r="A1180" t="inlineStr">
        <is>
          <t>U2-40</t>
        </is>
      </c>
      <c r="B1180" t="n">
        <v>2</v>
      </c>
      <c r="C1180" t="n">
        <v>6</v>
      </c>
      <c r="D1180" t="inlineStr">
        <is>
          <t>BAF20</t>
        </is>
      </c>
      <c r="E1180" t="inlineStr">
        <is>
          <t>DF</t>
        </is>
      </c>
      <c r="F1180" t="n">
        <v>24.7</v>
      </c>
      <c r="G1180" t="n">
        <v>110</v>
      </c>
      <c r="H1180" t="n">
        <v>2</v>
      </c>
      <c r="I1180" t="inlineStr">
        <is>
          <t>L</t>
        </is>
      </c>
      <c r="J1180" t="inlineStr">
        <is>
          <t>C</t>
        </is>
      </c>
      <c r="K1180" t="inlineStr"/>
      <c r="L1180" t="inlineStr"/>
      <c r="M1180" s="30">
        <f>0.005454*F1180^2</f>
        <v/>
      </c>
      <c r="N1180" s="31">
        <f>IF(D1180="BAF20",20/M1180,100)</f>
        <v/>
      </c>
      <c r="O1180" s="31">
        <f>M1180*N1180</f>
        <v/>
      </c>
      <c r="P1180" s="32">
        <f>694.6*N1180</f>
        <v/>
      </c>
    </row>
    <row r="1181">
      <c r="A1181" t="inlineStr">
        <is>
          <t>U2-40</t>
        </is>
      </c>
      <c r="B1181" t="n">
        <v>2</v>
      </c>
      <c r="C1181" t="n">
        <v>7</v>
      </c>
      <c r="D1181" t="inlineStr">
        <is>
          <t>BAF20</t>
        </is>
      </c>
      <c r="E1181" t="inlineStr">
        <is>
          <t>IC</t>
        </is>
      </c>
      <c r="F1181" t="n">
        <v>19.9</v>
      </c>
      <c r="G1181" t="n">
        <v>80</v>
      </c>
      <c r="H1181" t="n">
        <v>3</v>
      </c>
      <c r="I1181" t="inlineStr">
        <is>
          <t>L</t>
        </is>
      </c>
      <c r="J1181" t="inlineStr">
        <is>
          <t>C</t>
        </is>
      </c>
      <c r="K1181" t="inlineStr"/>
      <c r="L1181" t="inlineStr"/>
      <c r="M1181" s="30">
        <f>0.005454*F1181^2</f>
        <v/>
      </c>
      <c r="N1181" s="31">
        <f>IF(D1181="BAF20",20/M1181,100)</f>
        <v/>
      </c>
      <c r="O1181" s="31">
        <f>M1181*N1181</f>
        <v/>
      </c>
      <c r="P1181" s="32">
        <f>297.2*N1181</f>
        <v/>
      </c>
    </row>
    <row r="1182">
      <c r="A1182" t="inlineStr">
        <is>
          <t>U2-40</t>
        </is>
      </c>
      <c r="B1182" t="n">
        <v>2</v>
      </c>
      <c r="C1182" t="n">
        <v>8</v>
      </c>
      <c r="D1182" t="inlineStr">
        <is>
          <t>BAF20</t>
        </is>
      </c>
      <c r="E1182" t="inlineStr">
        <is>
          <t>BO</t>
        </is>
      </c>
      <c r="F1182" t="n">
        <v>32.1</v>
      </c>
      <c r="G1182" t="n">
        <v>64</v>
      </c>
      <c r="H1182" t="n">
        <v>43</v>
      </c>
      <c r="I1182" t="inlineStr">
        <is>
          <t>L</t>
        </is>
      </c>
      <c r="J1182" t="inlineStr">
        <is>
          <t>D</t>
        </is>
      </c>
      <c r="K1182" t="inlineStr"/>
      <c r="L1182" t="inlineStr"/>
      <c r="M1182" s="30">
        <f>0.005454*F1182^2</f>
        <v/>
      </c>
      <c r="N1182" s="31">
        <f>IF(D1182="BAF20",20/M1182,100)</f>
        <v/>
      </c>
      <c r="O1182" s="31">
        <f>M1182*N1182</f>
        <v/>
      </c>
      <c r="P1182" s="32">
        <f>405.9*N1182</f>
        <v/>
      </c>
    </row>
    <row r="1183">
      <c r="A1183" t="inlineStr">
        <is>
          <t>U2-40</t>
        </is>
      </c>
      <c r="B1183" t="n">
        <v>2</v>
      </c>
      <c r="C1183" t="n">
        <v>9</v>
      </c>
      <c r="D1183" t="inlineStr">
        <is>
          <t>FIX100</t>
        </is>
      </c>
      <c r="E1183" t="inlineStr">
        <is>
          <t>PP</t>
        </is>
      </c>
      <c r="F1183" t="n">
        <v>3.6</v>
      </c>
      <c r="G1183" t="n">
        <v>24</v>
      </c>
      <c r="H1183" t="n">
        <v>0</v>
      </c>
      <c r="I1183" t="inlineStr">
        <is>
          <t>L</t>
        </is>
      </c>
      <c r="J1183" t="inlineStr">
        <is>
          <t>S</t>
        </is>
      </c>
      <c r="K1183" t="inlineStr"/>
      <c r="L1183" t="inlineStr"/>
      <c r="M1183" s="30">
        <f>0.005454*F1183^2</f>
        <v/>
      </c>
      <c r="N1183" s="31">
        <f>IF(D1183="BAF20",20/M1183,100)</f>
        <v/>
      </c>
      <c r="O1183" s="31">
        <f>M1183*N1183</f>
        <v/>
      </c>
      <c r="P1183" s="32">
        <f>0.0*N1183</f>
        <v/>
      </c>
    </row>
    <row r="1184">
      <c r="A1184" t="inlineStr">
        <is>
          <t>U2-40</t>
        </is>
      </c>
      <c r="B1184" t="n">
        <v>2</v>
      </c>
      <c r="C1184" t="n">
        <v>10</v>
      </c>
      <c r="D1184" t="inlineStr">
        <is>
          <t>FIX100</t>
        </is>
      </c>
      <c r="E1184" t="inlineStr">
        <is>
          <t>IC</t>
        </is>
      </c>
      <c r="F1184" t="n">
        <v>4.6</v>
      </c>
      <c r="G1184" t="n">
        <v>20</v>
      </c>
      <c r="H1184" t="n">
        <v>0</v>
      </c>
      <c r="I1184" t="inlineStr">
        <is>
          <t>L</t>
        </is>
      </c>
      <c r="J1184" t="inlineStr">
        <is>
          <t>S</t>
        </is>
      </c>
      <c r="K1184" t="inlineStr"/>
      <c r="L1184" t="inlineStr"/>
      <c r="M1184" s="30">
        <f>0.005454*F1184^2</f>
        <v/>
      </c>
      <c r="N1184" s="31">
        <f>IF(D1184="BAF20",20/M1184,100)</f>
        <v/>
      </c>
      <c r="O1184" s="31">
        <f>M1184*N1184</f>
        <v/>
      </c>
      <c r="P1184" s="32">
        <f>0.0*N1184</f>
        <v/>
      </c>
    </row>
    <row r="1185">
      <c r="A1185" t="inlineStr">
        <is>
          <t>U2-40</t>
        </is>
      </c>
      <c r="B1185" t="n">
        <v>2</v>
      </c>
      <c r="C1185" t="n">
        <v>11</v>
      </c>
      <c r="D1185" t="inlineStr">
        <is>
          <t>FIX100</t>
        </is>
      </c>
      <c r="E1185" t="inlineStr">
        <is>
          <t>WF</t>
        </is>
      </c>
      <c r="F1185" t="n">
        <v>3.5</v>
      </c>
      <c r="G1185" t="n">
        <v>20</v>
      </c>
      <c r="H1185" t="n">
        <v>0</v>
      </c>
      <c r="I1185" t="inlineStr">
        <is>
          <t>L</t>
        </is>
      </c>
      <c r="J1185" t="inlineStr">
        <is>
          <t>S</t>
        </is>
      </c>
      <c r="K1185" t="inlineStr"/>
      <c r="L1185" t="inlineStr"/>
      <c r="M1185" s="30">
        <f>0.005454*F1185^2</f>
        <v/>
      </c>
      <c r="N1185" s="31">
        <f>IF(D1185="BAF20",20/M1185,100)</f>
        <v/>
      </c>
      <c r="O1185" s="31">
        <f>M1185*N1185</f>
        <v/>
      </c>
      <c r="P1185" s="32">
        <f>0.0*N1185</f>
        <v/>
      </c>
    </row>
    <row r="1186">
      <c r="A1186" t="inlineStr">
        <is>
          <t>U2-41</t>
        </is>
      </c>
      <c r="B1186" t="n">
        <v>2</v>
      </c>
      <c r="C1186" t="n">
        <v>1</v>
      </c>
      <c r="D1186" t="inlineStr">
        <is>
          <t>BAF20</t>
        </is>
      </c>
      <c r="E1186" t="inlineStr">
        <is>
          <t>IC</t>
        </is>
      </c>
      <c r="F1186" t="n">
        <v>13.3</v>
      </c>
      <c r="G1186" t="n">
        <v>55</v>
      </c>
      <c r="H1186" t="n">
        <v>8</v>
      </c>
      <c r="I1186" t="inlineStr">
        <is>
          <t>L</t>
        </is>
      </c>
      <c r="J1186" t="inlineStr">
        <is>
          <t>S</t>
        </is>
      </c>
      <c r="K1186" t="inlineStr"/>
      <c r="L1186" t="inlineStr"/>
      <c r="M1186" s="30">
        <f>0.005454*F1186^2</f>
        <v/>
      </c>
      <c r="N1186" s="31">
        <f>IF(D1186="BAF20",20/M1186,100)</f>
        <v/>
      </c>
      <c r="O1186" s="31">
        <f>M1186*N1186</f>
        <v/>
      </c>
      <c r="P1186" s="32">
        <f>75.6*N1186</f>
        <v/>
      </c>
    </row>
    <row r="1187">
      <c r="A1187" t="inlineStr">
        <is>
          <t>U2-41</t>
        </is>
      </c>
      <c r="B1187" t="n">
        <v>2</v>
      </c>
      <c r="C1187" t="n">
        <v>2</v>
      </c>
      <c r="D1187" t="inlineStr">
        <is>
          <t>BAF20</t>
        </is>
      </c>
      <c r="E1187" t="inlineStr">
        <is>
          <t>IC</t>
        </is>
      </c>
      <c r="F1187" t="n">
        <v>14.1</v>
      </c>
      <c r="G1187" t="n">
        <v>58</v>
      </c>
      <c r="H1187" t="n">
        <v>17</v>
      </c>
      <c r="I1187" t="inlineStr">
        <is>
          <t>L</t>
        </is>
      </c>
      <c r="J1187" t="inlineStr">
        <is>
          <t>I</t>
        </is>
      </c>
      <c r="K1187" t="inlineStr"/>
      <c r="L1187" t="inlineStr"/>
      <c r="M1187" s="30">
        <f>0.005454*F1187^2</f>
        <v/>
      </c>
      <c r="N1187" s="31">
        <f>IF(D1187="BAF20",20/M1187,100)</f>
        <v/>
      </c>
      <c r="O1187" s="31">
        <f>M1187*N1187</f>
        <v/>
      </c>
      <c r="P1187" s="32">
        <f>82.3*N1187</f>
        <v/>
      </c>
    </row>
    <row r="1188">
      <c r="A1188" t="inlineStr">
        <is>
          <t>U2-41</t>
        </is>
      </c>
      <c r="B1188" t="n">
        <v>2</v>
      </c>
      <c r="C1188" t="n">
        <v>3</v>
      </c>
      <c r="D1188" t="inlineStr">
        <is>
          <t>BAF20</t>
        </is>
      </c>
      <c r="E1188" t="inlineStr">
        <is>
          <t>IC</t>
        </is>
      </c>
      <c r="F1188" t="n">
        <v>23.8</v>
      </c>
      <c r="G1188" t="n">
        <v>95</v>
      </c>
      <c r="H1188" t="n">
        <v>19</v>
      </c>
      <c r="I1188" t="inlineStr">
        <is>
          <t>L</t>
        </is>
      </c>
      <c r="J1188" t="inlineStr">
        <is>
          <t>C</t>
        </is>
      </c>
      <c r="K1188" t="inlineStr"/>
      <c r="L1188" t="inlineStr"/>
      <c r="M1188" s="30">
        <f>0.005454*F1188^2</f>
        <v/>
      </c>
      <c r="N1188" s="31">
        <f>IF(D1188="BAF20",20/M1188,100)</f>
        <v/>
      </c>
      <c r="O1188" s="31">
        <f>M1188*N1188</f>
        <v/>
      </c>
      <c r="P1188" s="32">
        <f>453.1*N1188</f>
        <v/>
      </c>
    </row>
    <row r="1189">
      <c r="A1189" t="inlineStr">
        <is>
          <t>U2-41</t>
        </is>
      </c>
      <c r="B1189" t="n">
        <v>2</v>
      </c>
      <c r="C1189" t="n">
        <v>4</v>
      </c>
      <c r="D1189" t="inlineStr">
        <is>
          <t>BAF20</t>
        </is>
      </c>
      <c r="E1189" t="inlineStr">
        <is>
          <t>DF</t>
        </is>
      </c>
      <c r="F1189" t="n">
        <v>25.9</v>
      </c>
      <c r="G1189" t="n">
        <v>110</v>
      </c>
      <c r="H1189" t="n">
        <v>10</v>
      </c>
      <c r="I1189" t="inlineStr">
        <is>
          <t>L</t>
        </is>
      </c>
      <c r="J1189" t="inlineStr">
        <is>
          <t>D</t>
        </is>
      </c>
      <c r="K1189" t="inlineStr"/>
      <c r="L1189" t="inlineStr"/>
      <c r="M1189" s="30">
        <f>0.005454*F1189^2</f>
        <v/>
      </c>
      <c r="N1189" s="31">
        <f>IF(D1189="BAF20",20/M1189,100)</f>
        <v/>
      </c>
      <c r="O1189" s="31">
        <f>M1189*N1189</f>
        <v/>
      </c>
      <c r="P1189" s="32">
        <f>716.2*N1189</f>
        <v/>
      </c>
    </row>
    <row r="1190">
      <c r="A1190" t="inlineStr">
        <is>
          <t>U2-41</t>
        </is>
      </c>
      <c r="B1190" t="n">
        <v>2</v>
      </c>
      <c r="C1190" t="n">
        <v>5</v>
      </c>
      <c r="D1190" t="inlineStr">
        <is>
          <t>BAF20</t>
        </is>
      </c>
      <c r="E1190" t="inlineStr">
        <is>
          <t>IC</t>
        </is>
      </c>
      <c r="F1190" t="n">
        <v>24.2</v>
      </c>
      <c r="G1190" t="n">
        <v>78</v>
      </c>
      <c r="H1190" t="n">
        <v>2</v>
      </c>
      <c r="I1190" t="inlineStr">
        <is>
          <t>L</t>
        </is>
      </c>
      <c r="J1190" t="inlineStr">
        <is>
          <t>C</t>
        </is>
      </c>
      <c r="K1190" t="inlineStr"/>
      <c r="L1190" t="inlineStr"/>
      <c r="M1190" s="30">
        <f>0.005454*F1190^2</f>
        <v/>
      </c>
      <c r="N1190" s="31">
        <f>IF(D1190="BAF20",20/M1190,100)</f>
        <v/>
      </c>
      <c r="O1190" s="31">
        <f>M1190*N1190</f>
        <v/>
      </c>
      <c r="P1190" s="32">
        <f>468.7*N1190</f>
        <v/>
      </c>
    </row>
    <row r="1191">
      <c r="A1191" t="inlineStr">
        <is>
          <t>U2-41</t>
        </is>
      </c>
      <c r="B1191" t="n">
        <v>2</v>
      </c>
      <c r="C1191" t="n">
        <v>6</v>
      </c>
      <c r="D1191" t="inlineStr">
        <is>
          <t>BAF20</t>
        </is>
      </c>
      <c r="E1191" t="inlineStr">
        <is>
          <t>DF</t>
        </is>
      </c>
      <c r="F1191" t="n">
        <v>28.2</v>
      </c>
      <c r="G1191" t="n">
        <v>111</v>
      </c>
      <c r="H1191" t="n">
        <v>11</v>
      </c>
      <c r="I1191" t="inlineStr">
        <is>
          <t>L</t>
        </is>
      </c>
      <c r="J1191" t="inlineStr">
        <is>
          <t>D</t>
        </is>
      </c>
      <c r="K1191" t="inlineStr"/>
      <c r="L1191" t="inlineStr"/>
      <c r="M1191" s="30">
        <f>0.005454*F1191^2</f>
        <v/>
      </c>
      <c r="N1191" s="31">
        <f>IF(D1191="BAF20",20/M1191,100)</f>
        <v/>
      </c>
      <c r="O1191" s="31">
        <f>M1191*N1191</f>
        <v/>
      </c>
      <c r="P1191" s="32">
        <f>880.8*N1191</f>
        <v/>
      </c>
    </row>
    <row r="1192">
      <c r="A1192" t="inlineStr">
        <is>
          <t>U2-41</t>
        </is>
      </c>
      <c r="B1192" t="n">
        <v>2</v>
      </c>
      <c r="C1192" t="n">
        <v>7</v>
      </c>
      <c r="D1192" t="inlineStr">
        <is>
          <t>BAF20</t>
        </is>
      </c>
      <c r="E1192" t="inlineStr">
        <is>
          <t>BO</t>
        </is>
      </c>
      <c r="F1192" t="n">
        <v>5</v>
      </c>
      <c r="G1192" t="n">
        <v>24</v>
      </c>
      <c r="H1192" t="n">
        <v>6</v>
      </c>
      <c r="I1192" t="inlineStr">
        <is>
          <t>L</t>
        </is>
      </c>
      <c r="J1192" t="inlineStr">
        <is>
          <t>S</t>
        </is>
      </c>
      <c r="K1192" t="inlineStr">
        <is>
          <t>Y</t>
        </is>
      </c>
      <c r="L1192" t="inlineStr"/>
      <c r="M1192" s="30">
        <f>0.005454*F1192^2</f>
        <v/>
      </c>
      <c r="N1192" s="31">
        <f>IF(D1192="BAF20",20/M1192,100)</f>
        <v/>
      </c>
      <c r="O1192" s="31">
        <f>M1192*N1192</f>
        <v/>
      </c>
      <c r="P1192" s="32">
        <f>0.0*N1192</f>
        <v/>
      </c>
    </row>
    <row r="1193">
      <c r="A1193" t="inlineStr">
        <is>
          <t>U2-41</t>
        </is>
      </c>
      <c r="B1193" t="n">
        <v>2</v>
      </c>
      <c r="C1193" t="n">
        <v>8</v>
      </c>
      <c r="D1193" t="inlineStr">
        <is>
          <t>BAF20</t>
        </is>
      </c>
      <c r="E1193" t="inlineStr">
        <is>
          <t>PP</t>
        </is>
      </c>
      <c r="F1193" t="n">
        <v>29.6</v>
      </c>
      <c r="G1193" t="n">
        <v>108</v>
      </c>
      <c r="H1193" t="n">
        <v>1</v>
      </c>
      <c r="I1193" t="inlineStr">
        <is>
          <t>L</t>
        </is>
      </c>
      <c r="J1193" t="inlineStr">
        <is>
          <t>D</t>
        </is>
      </c>
      <c r="K1193" t="inlineStr"/>
      <c r="L1193" t="inlineStr"/>
      <c r="M1193" s="30">
        <f>0.005454*F1193^2</f>
        <v/>
      </c>
      <c r="N1193" s="31">
        <f>IF(D1193="BAF20",20/M1193,100)</f>
        <v/>
      </c>
      <c r="O1193" s="31">
        <f>M1193*N1193</f>
        <v/>
      </c>
      <c r="P1193" s="32">
        <f>1074.6*N1193</f>
        <v/>
      </c>
    </row>
    <row r="1194">
      <c r="A1194" t="inlineStr">
        <is>
          <t>U2-41</t>
        </is>
      </c>
      <c r="B1194" t="n">
        <v>2</v>
      </c>
      <c r="C1194" t="n">
        <v>9</v>
      </c>
      <c r="D1194" t="inlineStr">
        <is>
          <t>BAF20</t>
        </is>
      </c>
      <c r="E1194" t="inlineStr">
        <is>
          <t>DF</t>
        </is>
      </c>
      <c r="F1194" t="n">
        <v>10.5</v>
      </c>
      <c r="G1194" t="n">
        <v>52</v>
      </c>
      <c r="H1194" t="n">
        <v>7</v>
      </c>
      <c r="I1194" t="inlineStr">
        <is>
          <t>L</t>
        </is>
      </c>
      <c r="J1194" t="inlineStr">
        <is>
          <t>S</t>
        </is>
      </c>
      <c r="K1194" t="inlineStr">
        <is>
          <t>Y</t>
        </is>
      </c>
      <c r="L1194" t="inlineStr"/>
      <c r="M1194" s="30">
        <f>0.005454*F1194^2</f>
        <v/>
      </c>
      <c r="N1194" s="31">
        <f>IF(D1194="BAF20",20/M1194,100)</f>
        <v/>
      </c>
      <c r="O1194" s="31">
        <f>M1194*N1194</f>
        <v/>
      </c>
      <c r="P1194" s="32">
        <f>42.3*N1194</f>
        <v/>
      </c>
    </row>
    <row r="1195">
      <c r="A1195" t="inlineStr">
        <is>
          <t>U2-41</t>
        </is>
      </c>
      <c r="B1195" t="n">
        <v>2</v>
      </c>
      <c r="C1195" t="n">
        <v>10</v>
      </c>
      <c r="D1195" t="inlineStr">
        <is>
          <t>BAF20</t>
        </is>
      </c>
      <c r="E1195" t="inlineStr">
        <is>
          <t>DF</t>
        </is>
      </c>
      <c r="F1195" t="n">
        <v>15.1</v>
      </c>
      <c r="G1195" t="n">
        <v>79</v>
      </c>
      <c r="H1195" t="n">
        <v>3</v>
      </c>
      <c r="I1195" t="inlineStr">
        <is>
          <t>L</t>
        </is>
      </c>
      <c r="J1195" t="inlineStr">
        <is>
          <t>I</t>
        </is>
      </c>
      <c r="K1195" t="inlineStr"/>
      <c r="L1195" t="inlineStr"/>
      <c r="M1195" s="30">
        <f>0.005454*F1195^2</f>
        <v/>
      </c>
      <c r="N1195" s="31">
        <f>IF(D1195="BAF20",20/M1195,100)</f>
        <v/>
      </c>
      <c r="O1195" s="31">
        <f>M1195*N1195</f>
        <v/>
      </c>
      <c r="P1195" s="32">
        <f>153.4*N1195</f>
        <v/>
      </c>
    </row>
    <row r="1196">
      <c r="A1196" t="inlineStr">
        <is>
          <t>U2-41</t>
        </is>
      </c>
      <c r="B1196" t="n">
        <v>2</v>
      </c>
      <c r="C1196" t="n">
        <v>11</v>
      </c>
      <c r="D1196" t="inlineStr">
        <is>
          <t>BAF20</t>
        </is>
      </c>
      <c r="E1196" t="inlineStr">
        <is>
          <t>WF</t>
        </is>
      </c>
      <c r="F1196" t="n">
        <v>12.2</v>
      </c>
      <c r="G1196" t="n">
        <v>65</v>
      </c>
      <c r="H1196" t="n">
        <v>13</v>
      </c>
      <c r="I1196" t="inlineStr">
        <is>
          <t>L</t>
        </is>
      </c>
      <c r="J1196" t="inlineStr">
        <is>
          <t>S</t>
        </is>
      </c>
      <c r="K1196" t="inlineStr">
        <is>
          <t>Y</t>
        </is>
      </c>
      <c r="L1196" t="inlineStr"/>
      <c r="M1196" s="30">
        <f>0.005454*F1196^2</f>
        <v/>
      </c>
      <c r="N1196" s="31">
        <f>IF(D1196="BAF20",20/M1196,100)</f>
        <v/>
      </c>
      <c r="O1196" s="31">
        <f>M1196*N1196</f>
        <v/>
      </c>
      <c r="P1196" s="32">
        <f>69.4*N1196</f>
        <v/>
      </c>
    </row>
    <row r="1197">
      <c r="A1197" t="inlineStr">
        <is>
          <t>U2-41</t>
        </is>
      </c>
      <c r="B1197" t="n">
        <v>2</v>
      </c>
      <c r="C1197" t="n">
        <v>12</v>
      </c>
      <c r="D1197" t="inlineStr">
        <is>
          <t>BAF20</t>
        </is>
      </c>
      <c r="E1197" t="inlineStr">
        <is>
          <t>DF</t>
        </is>
      </c>
      <c r="F1197" t="n">
        <v>21.1</v>
      </c>
      <c r="G1197" t="n">
        <v>94</v>
      </c>
      <c r="H1197" t="n">
        <v>1</v>
      </c>
      <c r="I1197" t="inlineStr">
        <is>
          <t>L</t>
        </is>
      </c>
      <c r="J1197" t="inlineStr">
        <is>
          <t>C</t>
        </is>
      </c>
      <c r="K1197" t="inlineStr"/>
      <c r="L1197" t="inlineStr"/>
      <c r="M1197" s="30">
        <f>0.005454*F1197^2</f>
        <v/>
      </c>
      <c r="N1197" s="31">
        <f>IF(D1197="BAF20",20/M1197,100)</f>
        <v/>
      </c>
      <c r="O1197" s="31">
        <f>M1197*N1197</f>
        <v/>
      </c>
      <c r="P1197" s="32">
        <f>409.9*N1197</f>
        <v/>
      </c>
    </row>
    <row r="1198">
      <c r="A1198" t="inlineStr">
        <is>
          <t>U2-41</t>
        </is>
      </c>
      <c r="B1198" t="n">
        <v>2</v>
      </c>
      <c r="C1198" t="n">
        <v>13</v>
      </c>
      <c r="D1198" t="inlineStr">
        <is>
          <t>BAF20</t>
        </is>
      </c>
      <c r="E1198" t="inlineStr">
        <is>
          <t>PP</t>
        </is>
      </c>
      <c r="F1198" t="n">
        <v>11.7</v>
      </c>
      <c r="G1198" t="n">
        <v>56</v>
      </c>
      <c r="H1198" t="n">
        <v>2</v>
      </c>
      <c r="I1198" t="inlineStr">
        <is>
          <t>L</t>
        </is>
      </c>
      <c r="J1198" t="inlineStr">
        <is>
          <t>S</t>
        </is>
      </c>
      <c r="K1198" t="inlineStr">
        <is>
          <t>Y</t>
        </is>
      </c>
      <c r="L1198" t="inlineStr"/>
      <c r="M1198" s="30">
        <f>0.005454*F1198^2</f>
        <v/>
      </c>
      <c r="N1198" s="31">
        <f>IF(D1198="BAF20",20/M1198,100)</f>
        <v/>
      </c>
      <c r="O1198" s="31">
        <f>M1198*N1198</f>
        <v/>
      </c>
      <c r="P1198" s="32">
        <f>61.2*N1198</f>
        <v/>
      </c>
    </row>
    <row r="1199">
      <c r="A1199" t="inlineStr">
        <is>
          <t>U2-41</t>
        </is>
      </c>
      <c r="B1199" t="n">
        <v>2</v>
      </c>
      <c r="C1199" t="n">
        <v>14</v>
      </c>
      <c r="D1199" t="inlineStr">
        <is>
          <t>BAF20</t>
        </is>
      </c>
      <c r="E1199" t="inlineStr">
        <is>
          <t>BO</t>
        </is>
      </c>
      <c r="F1199" t="n">
        <v>9.800000000000001</v>
      </c>
      <c r="G1199" t="n">
        <v>40</v>
      </c>
      <c r="H1199" t="n">
        <v>16</v>
      </c>
      <c r="I1199" t="inlineStr">
        <is>
          <t>L</t>
        </is>
      </c>
      <c r="J1199" t="inlineStr">
        <is>
          <t>S</t>
        </is>
      </c>
      <c r="K1199" t="inlineStr">
        <is>
          <t>Y</t>
        </is>
      </c>
      <c r="L1199" t="inlineStr"/>
      <c r="M1199" s="30">
        <f>0.005454*F1199^2</f>
        <v/>
      </c>
      <c r="N1199" s="31">
        <f>IF(D1199="BAF20",20/M1199,100)</f>
        <v/>
      </c>
      <c r="O1199" s="31">
        <f>M1199*N1199</f>
        <v/>
      </c>
      <c r="P1199" s="32">
        <f>0.0*N1199</f>
        <v/>
      </c>
    </row>
    <row r="1200">
      <c r="A1200" t="inlineStr">
        <is>
          <t>U2-41</t>
        </is>
      </c>
      <c r="B1200" t="n">
        <v>2</v>
      </c>
      <c r="C1200" t="n">
        <v>15</v>
      </c>
      <c r="D1200" t="inlineStr">
        <is>
          <t>BAF20</t>
        </is>
      </c>
      <c r="E1200" t="inlineStr">
        <is>
          <t>IC</t>
        </is>
      </c>
      <c r="F1200" t="n">
        <v>10.8</v>
      </c>
      <c r="G1200" t="n">
        <v>42</v>
      </c>
      <c r="H1200" t="n">
        <v>5</v>
      </c>
      <c r="I1200" t="inlineStr">
        <is>
          <t>L</t>
        </is>
      </c>
      <c r="J1200" t="inlineStr">
        <is>
          <t>S</t>
        </is>
      </c>
      <c r="K1200" t="inlineStr">
        <is>
          <t>Y</t>
        </is>
      </c>
      <c r="L1200" t="inlineStr"/>
      <c r="M1200" s="30">
        <f>0.005454*F1200^2</f>
        <v/>
      </c>
      <c r="N1200" s="31">
        <f>IF(D1200="BAF20",20/M1200,100)</f>
        <v/>
      </c>
      <c r="O1200" s="31">
        <f>M1200*N1200</f>
        <v/>
      </c>
      <c r="P1200" s="32">
        <f>37.2*N1200</f>
        <v/>
      </c>
    </row>
    <row r="1201">
      <c r="A1201" t="inlineStr">
        <is>
          <t>U2-41</t>
        </is>
      </c>
      <c r="B1201" t="n">
        <v>2</v>
      </c>
      <c r="C1201" t="n">
        <v>16</v>
      </c>
      <c r="D1201" t="inlineStr">
        <is>
          <t>BAF20</t>
        </is>
      </c>
      <c r="E1201" t="inlineStr">
        <is>
          <t>IC</t>
        </is>
      </c>
      <c r="F1201" t="n">
        <v>6.1</v>
      </c>
      <c r="G1201" t="n">
        <v>26</v>
      </c>
      <c r="H1201" t="n">
        <v>6</v>
      </c>
      <c r="I1201" t="inlineStr">
        <is>
          <t>L</t>
        </is>
      </c>
      <c r="J1201" t="inlineStr">
        <is>
          <t>S</t>
        </is>
      </c>
      <c r="K1201" t="inlineStr">
        <is>
          <t>Y</t>
        </is>
      </c>
      <c r="L1201" t="inlineStr"/>
      <c r="M1201" s="30">
        <f>0.005454*F1201^2</f>
        <v/>
      </c>
      <c r="N1201" s="31">
        <f>IF(D1201="BAF20",20/M1201,100)</f>
        <v/>
      </c>
      <c r="O1201" s="31">
        <f>M1201*N1201</f>
        <v/>
      </c>
      <c r="P1201" s="32">
        <f>0.0*N1201</f>
        <v/>
      </c>
    </row>
    <row r="1202">
      <c r="A1202" t="inlineStr">
        <is>
          <t>U2-41</t>
        </is>
      </c>
      <c r="B1202" t="n">
        <v>2</v>
      </c>
      <c r="C1202" t="n">
        <v>17</v>
      </c>
      <c r="D1202" t="inlineStr">
        <is>
          <t>BAF20</t>
        </is>
      </c>
      <c r="E1202" t="inlineStr">
        <is>
          <t>IC</t>
        </is>
      </c>
      <c r="F1202" t="n">
        <v>30.7</v>
      </c>
      <c r="G1202" t="n">
        <v>97</v>
      </c>
      <c r="H1202" t="n">
        <v>12</v>
      </c>
      <c r="I1202" t="inlineStr">
        <is>
          <t>L</t>
        </is>
      </c>
      <c r="J1202" t="inlineStr">
        <is>
          <t>D</t>
        </is>
      </c>
      <c r="K1202" t="inlineStr"/>
      <c r="L1202" t="inlineStr"/>
      <c r="M1202" s="30">
        <f>0.005454*F1202^2</f>
        <v/>
      </c>
      <c r="N1202" s="31">
        <f>IF(D1202="BAF20",20/M1202,100)</f>
        <v/>
      </c>
      <c r="O1202" s="31">
        <f>M1202*N1202</f>
        <v/>
      </c>
      <c r="P1202" s="32">
        <f>939.3*N1202</f>
        <v/>
      </c>
    </row>
    <row r="1203">
      <c r="A1203" t="inlineStr">
        <is>
          <t>U2-41</t>
        </is>
      </c>
      <c r="B1203" t="n">
        <v>2</v>
      </c>
      <c r="C1203" t="n">
        <v>18</v>
      </c>
      <c r="D1203" t="inlineStr">
        <is>
          <t>BAF20</t>
        </is>
      </c>
      <c r="E1203" t="inlineStr">
        <is>
          <t>WF</t>
        </is>
      </c>
      <c r="F1203" t="n">
        <v>17</v>
      </c>
      <c r="G1203" t="n">
        <v>79</v>
      </c>
      <c r="H1203" t="n">
        <v>8</v>
      </c>
      <c r="I1203" t="inlineStr">
        <is>
          <t>L</t>
        </is>
      </c>
      <c r="J1203" t="inlineStr">
        <is>
          <t>I</t>
        </is>
      </c>
      <c r="K1203" t="inlineStr"/>
      <c r="L1203" t="inlineStr"/>
      <c r="M1203" s="30">
        <f>0.005454*F1203^2</f>
        <v/>
      </c>
      <c r="N1203" s="31">
        <f>IF(D1203="BAF20",20/M1203,100)</f>
        <v/>
      </c>
      <c r="O1203" s="31">
        <f>M1203*N1203</f>
        <v/>
      </c>
      <c r="P1203" s="32">
        <f>191.8*N1203</f>
        <v/>
      </c>
    </row>
    <row r="1204">
      <c r="A1204" t="inlineStr">
        <is>
          <t>U2-41</t>
        </is>
      </c>
      <c r="B1204" t="n">
        <v>2</v>
      </c>
      <c r="C1204" t="n">
        <v>19</v>
      </c>
      <c r="D1204" t="inlineStr">
        <is>
          <t>BAF20</t>
        </is>
      </c>
      <c r="E1204" t="inlineStr">
        <is>
          <t>IC</t>
        </is>
      </c>
      <c r="F1204" t="n">
        <v>22.3</v>
      </c>
      <c r="G1204" t="n">
        <v>85</v>
      </c>
      <c r="H1204" t="n">
        <v>100</v>
      </c>
      <c r="I1204" t="inlineStr">
        <is>
          <t>D</t>
        </is>
      </c>
      <c r="J1204" t="inlineStr">
        <is>
          <t>C</t>
        </is>
      </c>
      <c r="K1204" t="inlineStr"/>
      <c r="L1204" t="inlineStr"/>
      <c r="M1204" s="30">
        <f>0.005454*F1204^2</f>
        <v/>
      </c>
      <c r="N1204" s="31">
        <f>IF(D1204="BAF20",20/M1204,100)</f>
        <v/>
      </c>
      <c r="O1204" s="31">
        <f>M1204*N1204</f>
        <v/>
      </c>
      <c r="P1204" s="32">
        <f>0.0*N1204</f>
        <v/>
      </c>
    </row>
    <row r="1205">
      <c r="A1205" t="inlineStr">
        <is>
          <t>U2-41</t>
        </is>
      </c>
      <c r="B1205" t="n">
        <v>2</v>
      </c>
      <c r="C1205" t="n">
        <v>20</v>
      </c>
      <c r="D1205" t="inlineStr">
        <is>
          <t>BAF20</t>
        </is>
      </c>
      <c r="E1205" t="inlineStr">
        <is>
          <t>PP</t>
        </is>
      </c>
      <c r="F1205" t="n">
        <v>24.3</v>
      </c>
      <c r="G1205" t="n">
        <v>94</v>
      </c>
      <c r="H1205" t="n">
        <v>2</v>
      </c>
      <c r="I1205" t="inlineStr">
        <is>
          <t>L</t>
        </is>
      </c>
      <c r="J1205" t="inlineStr">
        <is>
          <t>C</t>
        </is>
      </c>
      <c r="K1205" t="inlineStr"/>
      <c r="L1205" t="inlineStr"/>
      <c r="M1205" s="30">
        <f>0.005454*F1205^2</f>
        <v/>
      </c>
      <c r="N1205" s="31">
        <f>IF(D1205="BAF20",20/M1205,100)</f>
        <v/>
      </c>
      <c r="O1205" s="31">
        <f>M1205*N1205</f>
        <v/>
      </c>
      <c r="P1205" s="32">
        <f>570.5*N1205</f>
        <v/>
      </c>
    </row>
    <row r="1206">
      <c r="A1206" t="inlineStr">
        <is>
          <t>U2-41</t>
        </is>
      </c>
      <c r="B1206" t="n">
        <v>2</v>
      </c>
      <c r="C1206" t="n">
        <v>21</v>
      </c>
      <c r="D1206" t="inlineStr">
        <is>
          <t>BAF20</t>
        </is>
      </c>
      <c r="E1206" t="inlineStr">
        <is>
          <t>PP</t>
        </is>
      </c>
      <c r="F1206" t="n">
        <v>26.6</v>
      </c>
      <c r="G1206" t="n">
        <v>101</v>
      </c>
      <c r="H1206" t="n">
        <v>1</v>
      </c>
      <c r="I1206" t="inlineStr">
        <is>
          <t>L</t>
        </is>
      </c>
      <c r="J1206" t="inlineStr">
        <is>
          <t>D</t>
        </is>
      </c>
      <c r="K1206" t="inlineStr"/>
      <c r="L1206" t="inlineStr"/>
      <c r="M1206" s="30">
        <f>0.005454*F1206^2</f>
        <v/>
      </c>
      <c r="N1206" s="31">
        <f>IF(D1206="BAF20",20/M1206,100)</f>
        <v/>
      </c>
      <c r="O1206" s="31">
        <f>M1206*N1206</f>
        <v/>
      </c>
      <c r="P1206" s="32">
        <f>772.2*N1206</f>
        <v/>
      </c>
    </row>
    <row r="1207">
      <c r="A1207" t="inlineStr">
        <is>
          <t>U2-41</t>
        </is>
      </c>
      <c r="B1207" t="n">
        <v>2</v>
      </c>
      <c r="C1207" t="n">
        <v>22</v>
      </c>
      <c r="D1207" t="inlineStr">
        <is>
          <t>BAF20</t>
        </is>
      </c>
      <c r="E1207" t="inlineStr">
        <is>
          <t>IC</t>
        </is>
      </c>
      <c r="F1207" t="n">
        <v>21.2</v>
      </c>
      <c r="G1207" t="n">
        <v>76</v>
      </c>
      <c r="H1207" t="n">
        <v>100</v>
      </c>
      <c r="I1207" t="inlineStr">
        <is>
          <t>D</t>
        </is>
      </c>
      <c r="J1207" t="inlineStr">
        <is>
          <t>C</t>
        </is>
      </c>
      <c r="K1207" t="inlineStr"/>
      <c r="L1207" t="inlineStr"/>
      <c r="M1207" s="30">
        <f>0.005454*F1207^2</f>
        <v/>
      </c>
      <c r="N1207" s="31">
        <f>IF(D1207="BAF20",20/M1207,100)</f>
        <v/>
      </c>
      <c r="O1207" s="31">
        <f>M1207*N1207</f>
        <v/>
      </c>
      <c r="P1207" s="32">
        <f>0.0*N1207</f>
        <v/>
      </c>
    </row>
    <row r="1208">
      <c r="A1208" t="inlineStr">
        <is>
          <t>U2-41</t>
        </is>
      </c>
      <c r="B1208" t="n">
        <v>2</v>
      </c>
      <c r="C1208" t="n">
        <v>23</v>
      </c>
      <c r="D1208" t="inlineStr">
        <is>
          <t>FIX100</t>
        </is>
      </c>
      <c r="E1208" t="inlineStr">
        <is>
          <t>IC</t>
        </is>
      </c>
      <c r="F1208" t="n">
        <v>4.1</v>
      </c>
      <c r="G1208" t="n">
        <v>19</v>
      </c>
      <c r="H1208" t="n">
        <v>0</v>
      </c>
      <c r="I1208" t="inlineStr">
        <is>
          <t>L</t>
        </is>
      </c>
      <c r="J1208" t="inlineStr">
        <is>
          <t>S</t>
        </is>
      </c>
      <c r="K1208" t="inlineStr"/>
      <c r="L1208" t="inlineStr"/>
      <c r="M1208" s="30">
        <f>0.005454*F1208^2</f>
        <v/>
      </c>
      <c r="N1208" s="31">
        <f>IF(D1208="BAF20",20/M1208,100)</f>
        <v/>
      </c>
      <c r="O1208" s="31">
        <f>M1208*N1208</f>
        <v/>
      </c>
      <c r="P1208" s="32">
        <f>0.0*N1208</f>
        <v/>
      </c>
    </row>
    <row r="1209">
      <c r="A1209" t="inlineStr">
        <is>
          <t>U2-42</t>
        </is>
      </c>
      <c r="B1209" t="n">
        <v>2</v>
      </c>
      <c r="C1209" t="n">
        <v>1</v>
      </c>
      <c r="D1209" t="inlineStr">
        <is>
          <t>BAF20</t>
        </is>
      </c>
      <c r="E1209" t="inlineStr">
        <is>
          <t>DF</t>
        </is>
      </c>
      <c r="F1209" t="n">
        <v>10</v>
      </c>
      <c r="G1209" t="n">
        <v>55</v>
      </c>
      <c r="H1209" t="n">
        <v>7</v>
      </c>
      <c r="I1209" t="inlineStr">
        <is>
          <t>L</t>
        </is>
      </c>
      <c r="J1209" t="inlineStr">
        <is>
          <t>S</t>
        </is>
      </c>
      <c r="K1209" t="inlineStr">
        <is>
          <t>Y</t>
        </is>
      </c>
      <c r="L1209" t="inlineStr"/>
      <c r="M1209" s="30">
        <f>0.005454*F1209^2</f>
        <v/>
      </c>
      <c r="N1209" s="31">
        <f>IF(D1209="BAF20",20/M1209,100)</f>
        <v/>
      </c>
      <c r="O1209" s="31">
        <f>M1209*N1209</f>
        <v/>
      </c>
      <c r="P1209" s="32">
        <f>40.1*N1209</f>
        <v/>
      </c>
    </row>
    <row r="1210">
      <c r="A1210" t="inlineStr">
        <is>
          <t>U2-42</t>
        </is>
      </c>
      <c r="B1210" t="n">
        <v>2</v>
      </c>
      <c r="C1210" t="n">
        <v>2</v>
      </c>
      <c r="D1210" t="inlineStr">
        <is>
          <t>BAF20</t>
        </is>
      </c>
      <c r="E1210" t="inlineStr">
        <is>
          <t>DF</t>
        </is>
      </c>
      <c r="F1210" t="n">
        <v>34.1</v>
      </c>
      <c r="G1210" t="n">
        <v>116</v>
      </c>
      <c r="H1210" t="n">
        <v>4</v>
      </c>
      <c r="I1210" t="inlineStr">
        <is>
          <t>L</t>
        </is>
      </c>
      <c r="J1210" t="inlineStr">
        <is>
          <t>D</t>
        </is>
      </c>
      <c r="K1210" t="inlineStr"/>
      <c r="L1210" t="inlineStr"/>
      <c r="M1210" s="30">
        <f>0.005454*F1210^2</f>
        <v/>
      </c>
      <c r="N1210" s="31">
        <f>IF(D1210="BAF20",20/M1210,100)</f>
        <v/>
      </c>
      <c r="O1210" s="31">
        <f>M1210*N1210</f>
        <v/>
      </c>
      <c r="P1210" s="32">
        <f>1593.5*N1210</f>
        <v/>
      </c>
    </row>
    <row r="1211">
      <c r="A1211" t="inlineStr">
        <is>
          <t>U2-42</t>
        </is>
      </c>
      <c r="B1211" t="n">
        <v>2</v>
      </c>
      <c r="C1211" t="n">
        <v>3</v>
      </c>
      <c r="D1211" t="inlineStr">
        <is>
          <t>BAF20</t>
        </is>
      </c>
      <c r="E1211" t="inlineStr">
        <is>
          <t>WF</t>
        </is>
      </c>
      <c r="F1211" t="n">
        <v>17.7</v>
      </c>
      <c r="G1211" t="n">
        <v>82</v>
      </c>
      <c r="H1211" t="n">
        <v>2</v>
      </c>
      <c r="I1211" t="inlineStr">
        <is>
          <t>L</t>
        </is>
      </c>
      <c r="J1211" t="inlineStr">
        <is>
          <t>I</t>
        </is>
      </c>
      <c r="K1211" t="inlineStr"/>
      <c r="L1211" t="inlineStr"/>
      <c r="M1211" s="30">
        <f>0.005454*F1211^2</f>
        <v/>
      </c>
      <c r="N1211" s="31">
        <f>IF(D1211="BAF20",20/M1211,100)</f>
        <v/>
      </c>
      <c r="O1211" s="31">
        <f>M1211*N1211</f>
        <v/>
      </c>
      <c r="P1211" s="32">
        <f>233.2*N1211</f>
        <v/>
      </c>
    </row>
    <row r="1212">
      <c r="A1212" t="inlineStr">
        <is>
          <t>U2-42</t>
        </is>
      </c>
      <c r="B1212" t="n">
        <v>2</v>
      </c>
      <c r="C1212" t="n">
        <v>4</v>
      </c>
      <c r="D1212" t="inlineStr">
        <is>
          <t>BAF20</t>
        </is>
      </c>
      <c r="E1212" t="inlineStr">
        <is>
          <t>WF</t>
        </is>
      </c>
      <c r="F1212" t="n">
        <v>28.2</v>
      </c>
      <c r="G1212" t="n">
        <v>119</v>
      </c>
      <c r="H1212" t="n">
        <v>11</v>
      </c>
      <c r="I1212" t="inlineStr">
        <is>
          <t>L</t>
        </is>
      </c>
      <c r="J1212" t="inlineStr">
        <is>
          <t>D</t>
        </is>
      </c>
      <c r="K1212" t="inlineStr"/>
      <c r="L1212" t="inlineStr"/>
      <c r="M1212" s="30">
        <f>0.005454*F1212^2</f>
        <v/>
      </c>
      <c r="N1212" s="31">
        <f>IF(D1212="BAF20",20/M1212,100)</f>
        <v/>
      </c>
      <c r="O1212" s="31">
        <f>M1212*N1212</f>
        <v/>
      </c>
      <c r="P1212" s="32">
        <f>944.2*N1212</f>
        <v/>
      </c>
    </row>
    <row r="1213">
      <c r="A1213" t="inlineStr">
        <is>
          <t>U2-42</t>
        </is>
      </c>
      <c r="B1213" t="n">
        <v>2</v>
      </c>
      <c r="C1213" t="n">
        <v>5</v>
      </c>
      <c r="D1213" t="inlineStr">
        <is>
          <t>BAF20</t>
        </is>
      </c>
      <c r="E1213" t="inlineStr">
        <is>
          <t>WF</t>
        </is>
      </c>
      <c r="F1213" t="n">
        <v>5.1</v>
      </c>
      <c r="G1213" t="n">
        <v>22</v>
      </c>
      <c r="H1213" t="n">
        <v>2</v>
      </c>
      <c r="I1213" t="inlineStr">
        <is>
          <t>L</t>
        </is>
      </c>
      <c r="J1213" t="inlineStr">
        <is>
          <t>S</t>
        </is>
      </c>
      <c r="K1213" t="inlineStr">
        <is>
          <t>Y</t>
        </is>
      </c>
      <c r="L1213" t="inlineStr"/>
      <c r="M1213" s="30">
        <f>0.005454*F1213^2</f>
        <v/>
      </c>
      <c r="N1213" s="31">
        <f>IF(D1213="BAF20",20/M1213,100)</f>
        <v/>
      </c>
      <c r="O1213" s="31">
        <f>M1213*N1213</f>
        <v/>
      </c>
      <c r="P1213" s="32">
        <f>0.0*N1213</f>
        <v/>
      </c>
    </row>
    <row r="1214">
      <c r="A1214" t="inlineStr">
        <is>
          <t>U2-42</t>
        </is>
      </c>
      <c r="B1214" t="n">
        <v>2</v>
      </c>
      <c r="C1214" t="n">
        <v>6</v>
      </c>
      <c r="D1214" t="inlineStr">
        <is>
          <t>BAF20</t>
        </is>
      </c>
      <c r="E1214" t="inlineStr">
        <is>
          <t>DF</t>
        </is>
      </c>
      <c r="F1214" t="n">
        <v>9.300000000000001</v>
      </c>
      <c r="G1214" t="n">
        <v>56</v>
      </c>
      <c r="H1214" t="n">
        <v>9</v>
      </c>
      <c r="I1214" t="inlineStr">
        <is>
          <t>L</t>
        </is>
      </c>
      <c r="J1214" t="inlineStr">
        <is>
          <t>S</t>
        </is>
      </c>
      <c r="K1214" t="inlineStr">
        <is>
          <t>Y</t>
        </is>
      </c>
      <c r="L1214" t="inlineStr"/>
      <c r="M1214" s="30">
        <f>0.005454*F1214^2</f>
        <v/>
      </c>
      <c r="N1214" s="31">
        <f>IF(D1214="BAF20",20/M1214,100)</f>
        <v/>
      </c>
      <c r="O1214" s="31">
        <f>M1214*N1214</f>
        <v/>
      </c>
      <c r="P1214" s="32">
        <f>0.0*N1214</f>
        <v/>
      </c>
    </row>
    <row r="1215">
      <c r="A1215" t="inlineStr">
        <is>
          <t>U2-42</t>
        </is>
      </c>
      <c r="B1215" t="n">
        <v>2</v>
      </c>
      <c r="C1215" t="n">
        <v>7</v>
      </c>
      <c r="D1215" t="inlineStr">
        <is>
          <t>BAF20</t>
        </is>
      </c>
      <c r="E1215" t="inlineStr">
        <is>
          <t>DF</t>
        </is>
      </c>
      <c r="F1215" t="n">
        <v>16.4</v>
      </c>
      <c r="G1215" t="n">
        <v>83</v>
      </c>
      <c r="H1215" t="n">
        <v>4</v>
      </c>
      <c r="I1215" t="inlineStr">
        <is>
          <t>L</t>
        </is>
      </c>
      <c r="J1215" t="inlineStr">
        <is>
          <t>I</t>
        </is>
      </c>
      <c r="K1215" t="inlineStr"/>
      <c r="L1215" t="inlineStr"/>
      <c r="M1215" s="30">
        <f>0.005454*F1215^2</f>
        <v/>
      </c>
      <c r="N1215" s="31">
        <f>IF(D1215="BAF20",20/M1215,100)</f>
        <v/>
      </c>
      <c r="O1215" s="31">
        <f>M1215*N1215</f>
        <v/>
      </c>
      <c r="P1215" s="32">
        <f>193.3*N1215</f>
        <v/>
      </c>
    </row>
    <row r="1216">
      <c r="A1216" t="inlineStr">
        <is>
          <t>U2-42</t>
        </is>
      </c>
      <c r="B1216" t="n">
        <v>2</v>
      </c>
      <c r="C1216" t="n">
        <v>8</v>
      </c>
      <c r="D1216" t="inlineStr">
        <is>
          <t>BAF20</t>
        </is>
      </c>
      <c r="E1216" t="inlineStr">
        <is>
          <t>PP</t>
        </is>
      </c>
      <c r="F1216" t="n">
        <v>17.6</v>
      </c>
      <c r="G1216" t="n">
        <v>77</v>
      </c>
      <c r="H1216" t="n">
        <v>1</v>
      </c>
      <c r="I1216" t="inlineStr">
        <is>
          <t>L</t>
        </is>
      </c>
      <c r="J1216" t="inlineStr">
        <is>
          <t>I</t>
        </is>
      </c>
      <c r="K1216" t="inlineStr"/>
      <c r="L1216" t="inlineStr"/>
      <c r="M1216" s="30">
        <f>0.005454*F1216^2</f>
        <v/>
      </c>
      <c r="N1216" s="31">
        <f>IF(D1216="BAF20",20/M1216,100)</f>
        <v/>
      </c>
      <c r="O1216" s="31">
        <f>M1216*N1216</f>
        <v/>
      </c>
      <c r="P1216" s="32">
        <f>218.3*N1216</f>
        <v/>
      </c>
    </row>
    <row r="1217">
      <c r="A1217" t="inlineStr">
        <is>
          <t>U2-42</t>
        </is>
      </c>
      <c r="B1217" t="n">
        <v>2</v>
      </c>
      <c r="C1217" t="n">
        <v>9</v>
      </c>
      <c r="D1217" t="inlineStr">
        <is>
          <t>BAF20</t>
        </is>
      </c>
      <c r="E1217" t="inlineStr">
        <is>
          <t>DF</t>
        </is>
      </c>
      <c r="F1217" t="n">
        <v>6.5</v>
      </c>
      <c r="G1217" t="n">
        <v>36</v>
      </c>
      <c r="H1217" t="n">
        <v>4</v>
      </c>
      <c r="I1217" t="inlineStr">
        <is>
          <t>L</t>
        </is>
      </c>
      <c r="J1217" t="inlineStr">
        <is>
          <t>S</t>
        </is>
      </c>
      <c r="K1217" t="inlineStr">
        <is>
          <t>Y</t>
        </is>
      </c>
      <c r="L1217" t="inlineStr"/>
      <c r="M1217" s="30">
        <f>0.005454*F1217^2</f>
        <v/>
      </c>
      <c r="N1217" s="31">
        <f>IF(D1217="BAF20",20/M1217,100)</f>
        <v/>
      </c>
      <c r="O1217" s="31">
        <f>M1217*N1217</f>
        <v/>
      </c>
      <c r="P1217" s="32">
        <f>0.0*N1217</f>
        <v/>
      </c>
    </row>
    <row r="1218">
      <c r="A1218" t="inlineStr">
        <is>
          <t>U2-42</t>
        </is>
      </c>
      <c r="B1218" t="n">
        <v>2</v>
      </c>
      <c r="C1218" t="n">
        <v>10</v>
      </c>
      <c r="D1218" t="inlineStr">
        <is>
          <t>BAF20</t>
        </is>
      </c>
      <c r="E1218" t="inlineStr">
        <is>
          <t>DF</t>
        </is>
      </c>
      <c r="F1218" t="n">
        <v>10.2</v>
      </c>
      <c r="G1218" t="n">
        <v>53</v>
      </c>
      <c r="H1218" t="n">
        <v>7</v>
      </c>
      <c r="I1218" t="inlineStr">
        <is>
          <t>L</t>
        </is>
      </c>
      <c r="J1218" t="inlineStr">
        <is>
          <t>S</t>
        </is>
      </c>
      <c r="K1218" t="inlineStr">
        <is>
          <t>Y</t>
        </is>
      </c>
      <c r="L1218" t="inlineStr"/>
      <c r="M1218" s="30">
        <f>0.005454*F1218^2</f>
        <v/>
      </c>
      <c r="N1218" s="31">
        <f>IF(D1218="BAF20",20/M1218,100)</f>
        <v/>
      </c>
      <c r="O1218" s="31">
        <f>M1218*N1218</f>
        <v/>
      </c>
      <c r="P1218" s="32">
        <f>40.4*N1218</f>
        <v/>
      </c>
    </row>
    <row r="1219">
      <c r="A1219" t="inlineStr">
        <is>
          <t>U2-42</t>
        </is>
      </c>
      <c r="B1219" t="n">
        <v>2</v>
      </c>
      <c r="C1219" t="n">
        <v>11</v>
      </c>
      <c r="D1219" t="inlineStr">
        <is>
          <t>BAF20</t>
        </is>
      </c>
      <c r="E1219" t="inlineStr">
        <is>
          <t>IC</t>
        </is>
      </c>
      <c r="F1219" t="n">
        <v>19.7</v>
      </c>
      <c r="G1219" t="n">
        <v>71</v>
      </c>
      <c r="H1219" t="n">
        <v>10</v>
      </c>
      <c r="I1219" t="inlineStr">
        <is>
          <t>L</t>
        </is>
      </c>
      <c r="J1219" t="inlineStr">
        <is>
          <t>C</t>
        </is>
      </c>
      <c r="K1219" t="inlineStr"/>
      <c r="L1219" t="inlineStr"/>
      <c r="M1219" s="30">
        <f>0.005454*F1219^2</f>
        <v/>
      </c>
      <c r="N1219" s="31">
        <f>IF(D1219="BAF20",20/M1219,100)</f>
        <v/>
      </c>
      <c r="O1219" s="31">
        <f>M1219*N1219</f>
        <v/>
      </c>
      <c r="P1219" s="32">
        <f>238.9*N1219</f>
        <v/>
      </c>
    </row>
    <row r="1220">
      <c r="A1220" t="inlineStr">
        <is>
          <t>U2-42</t>
        </is>
      </c>
      <c r="B1220" t="n">
        <v>2</v>
      </c>
      <c r="C1220" t="n">
        <v>12</v>
      </c>
      <c r="D1220" t="inlineStr">
        <is>
          <t>BAF20</t>
        </is>
      </c>
      <c r="E1220" t="inlineStr">
        <is>
          <t>PP</t>
        </is>
      </c>
      <c r="F1220" t="n">
        <v>30.9</v>
      </c>
      <c r="G1220" t="n">
        <v>116</v>
      </c>
      <c r="H1220" t="n">
        <v>2</v>
      </c>
      <c r="I1220" t="inlineStr">
        <is>
          <t>L</t>
        </is>
      </c>
      <c r="J1220" t="inlineStr">
        <is>
          <t>D</t>
        </is>
      </c>
      <c r="K1220" t="inlineStr"/>
      <c r="L1220" t="inlineStr"/>
      <c r="M1220" s="30">
        <f>0.005454*F1220^2</f>
        <v/>
      </c>
      <c r="N1220" s="31">
        <f>IF(D1220="BAF20",20/M1220,100)</f>
        <v/>
      </c>
      <c r="O1220" s="31">
        <f>M1220*N1220</f>
        <v/>
      </c>
      <c r="P1220" s="32">
        <f>1271.3*N1220</f>
        <v/>
      </c>
    </row>
    <row r="1221">
      <c r="A1221" t="inlineStr">
        <is>
          <t>U2-42</t>
        </is>
      </c>
      <c r="B1221" t="n">
        <v>2</v>
      </c>
      <c r="C1221" t="n">
        <v>13</v>
      </c>
      <c r="D1221" t="inlineStr">
        <is>
          <t>BAF20</t>
        </is>
      </c>
      <c r="E1221" t="inlineStr">
        <is>
          <t>IC</t>
        </is>
      </c>
      <c r="F1221" t="n">
        <v>20</v>
      </c>
      <c r="G1221" t="n">
        <v>70</v>
      </c>
      <c r="H1221" t="n">
        <v>9</v>
      </c>
      <c r="I1221" t="inlineStr">
        <is>
          <t>L</t>
        </is>
      </c>
      <c r="J1221" t="inlineStr">
        <is>
          <t>C</t>
        </is>
      </c>
      <c r="K1221" t="inlineStr"/>
      <c r="L1221" t="inlineStr"/>
      <c r="M1221" s="30">
        <f>0.005454*F1221^2</f>
        <v/>
      </c>
      <c r="N1221" s="31">
        <f>IF(D1221="BAF20",20/M1221,100)</f>
        <v/>
      </c>
      <c r="O1221" s="31">
        <f>M1221*N1221</f>
        <v/>
      </c>
      <c r="P1221" s="32">
        <f>246.9*N1221</f>
        <v/>
      </c>
    </row>
    <row r="1222">
      <c r="A1222" t="inlineStr">
        <is>
          <t>U2-42</t>
        </is>
      </c>
      <c r="B1222" t="n">
        <v>2</v>
      </c>
      <c r="C1222" t="n">
        <v>14</v>
      </c>
      <c r="D1222" t="inlineStr">
        <is>
          <t>BAF20</t>
        </is>
      </c>
      <c r="E1222" t="inlineStr">
        <is>
          <t>SP</t>
        </is>
      </c>
      <c r="F1222" t="n">
        <v>21.2</v>
      </c>
      <c r="G1222" t="n">
        <v>96</v>
      </c>
      <c r="H1222" t="n">
        <v>5</v>
      </c>
      <c r="I1222" t="inlineStr">
        <is>
          <t>L</t>
        </is>
      </c>
      <c r="J1222" t="inlineStr">
        <is>
          <t>C</t>
        </is>
      </c>
      <c r="K1222" t="inlineStr"/>
      <c r="L1222" t="inlineStr"/>
      <c r="M1222" s="30">
        <f>0.005454*F1222^2</f>
        <v/>
      </c>
      <c r="N1222" s="31">
        <f>IF(D1222="BAF20",20/M1222,100)</f>
        <v/>
      </c>
      <c r="O1222" s="31">
        <f>M1222*N1222</f>
        <v/>
      </c>
      <c r="P1222" s="32">
        <f>406.3*N1222</f>
        <v/>
      </c>
    </row>
    <row r="1223">
      <c r="A1223" t="inlineStr">
        <is>
          <t>U2-42</t>
        </is>
      </c>
      <c r="B1223" t="n">
        <v>2</v>
      </c>
      <c r="C1223" t="n">
        <v>15</v>
      </c>
      <c r="D1223" t="inlineStr">
        <is>
          <t>FIX100</t>
        </is>
      </c>
      <c r="E1223" t="inlineStr">
        <is>
          <t>DF</t>
        </is>
      </c>
      <c r="F1223" t="n">
        <v>2.4</v>
      </c>
      <c r="G1223" t="n">
        <v>20</v>
      </c>
      <c r="H1223" t="n">
        <v>0</v>
      </c>
      <c r="I1223" t="inlineStr">
        <is>
          <t>L</t>
        </is>
      </c>
      <c r="J1223" t="inlineStr">
        <is>
          <t>S</t>
        </is>
      </c>
      <c r="K1223" t="inlineStr"/>
      <c r="L1223" t="inlineStr"/>
      <c r="M1223" s="30">
        <f>0.005454*F1223^2</f>
        <v/>
      </c>
      <c r="N1223" s="31">
        <f>IF(D1223="BAF20",20/M1223,100)</f>
        <v/>
      </c>
      <c r="O1223" s="31">
        <f>M1223*N1223</f>
        <v/>
      </c>
      <c r="P1223" s="32">
        <f>0.0*N1223</f>
        <v/>
      </c>
    </row>
    <row r="1224">
      <c r="A1224" t="inlineStr">
        <is>
          <t>U2-42</t>
        </is>
      </c>
      <c r="B1224" t="n">
        <v>2</v>
      </c>
      <c r="C1224" t="n">
        <v>16</v>
      </c>
      <c r="D1224" t="inlineStr">
        <is>
          <t>FIX100</t>
        </is>
      </c>
      <c r="E1224" t="inlineStr">
        <is>
          <t>PP</t>
        </is>
      </c>
      <c r="F1224" t="n">
        <v>3.5</v>
      </c>
      <c r="G1224" t="n">
        <v>17</v>
      </c>
      <c r="H1224" t="n">
        <v>0</v>
      </c>
      <c r="I1224" t="inlineStr">
        <is>
          <t>L</t>
        </is>
      </c>
      <c r="J1224" t="inlineStr">
        <is>
          <t>S</t>
        </is>
      </c>
      <c r="K1224" t="inlineStr"/>
      <c r="L1224" t="inlineStr"/>
      <c r="M1224" s="30">
        <f>0.005454*F1224^2</f>
        <v/>
      </c>
      <c r="N1224" s="31">
        <f>IF(D1224="BAF20",20/M1224,100)</f>
        <v/>
      </c>
      <c r="O1224" s="31">
        <f>M1224*N1224</f>
        <v/>
      </c>
      <c r="P1224" s="32">
        <f>0.0*N1224</f>
        <v/>
      </c>
    </row>
    <row r="1225">
      <c r="A1225" t="inlineStr">
        <is>
          <t>U2-43</t>
        </is>
      </c>
      <c r="B1225" t="n">
        <v>2</v>
      </c>
      <c r="C1225" t="n">
        <v>1</v>
      </c>
      <c r="D1225" t="inlineStr">
        <is>
          <t>BAF20</t>
        </is>
      </c>
      <c r="E1225" t="inlineStr">
        <is>
          <t>PP</t>
        </is>
      </c>
      <c r="F1225" t="n">
        <v>22.4</v>
      </c>
      <c r="G1225" t="n">
        <v>97</v>
      </c>
      <c r="H1225" t="n">
        <v>6</v>
      </c>
      <c r="I1225" t="inlineStr">
        <is>
          <t>L</t>
        </is>
      </c>
      <c r="J1225" t="inlineStr">
        <is>
          <t>C</t>
        </is>
      </c>
      <c r="K1225" t="inlineStr"/>
      <c r="L1225" t="inlineStr"/>
      <c r="M1225" s="30">
        <f>0.005454*F1225^2</f>
        <v/>
      </c>
      <c r="N1225" s="31">
        <f>IF(D1225="BAF20",20/M1225,100)</f>
        <v/>
      </c>
      <c r="O1225" s="31">
        <f>M1225*N1225</f>
        <v/>
      </c>
      <c r="P1225" s="32">
        <f>463.7*N1225</f>
        <v/>
      </c>
    </row>
    <row r="1226">
      <c r="A1226" t="inlineStr">
        <is>
          <t>U2-43</t>
        </is>
      </c>
      <c r="B1226" t="n">
        <v>2</v>
      </c>
      <c r="C1226" t="n">
        <v>2</v>
      </c>
      <c r="D1226" t="inlineStr">
        <is>
          <t>BAF20</t>
        </is>
      </c>
      <c r="E1226" t="inlineStr">
        <is>
          <t>DF</t>
        </is>
      </c>
      <c r="F1226" t="n">
        <v>19.9</v>
      </c>
      <c r="G1226" t="n">
        <v>83</v>
      </c>
      <c r="H1226" t="n">
        <v>5</v>
      </c>
      <c r="I1226" t="inlineStr">
        <is>
          <t>L</t>
        </is>
      </c>
      <c r="J1226" t="inlineStr">
        <is>
          <t>C</t>
        </is>
      </c>
      <c r="K1226" t="inlineStr"/>
      <c r="L1226" t="inlineStr"/>
      <c r="M1226" s="30">
        <f>0.005454*F1226^2</f>
        <v/>
      </c>
      <c r="N1226" s="31">
        <f>IF(D1226="BAF20",20/M1226,100)</f>
        <v/>
      </c>
      <c r="O1226" s="31">
        <f>M1226*N1226</f>
        <v/>
      </c>
      <c r="P1226" s="32">
        <f>302.0*N1226</f>
        <v/>
      </c>
    </row>
    <row r="1227">
      <c r="A1227" t="inlineStr">
        <is>
          <t>U2-43</t>
        </is>
      </c>
      <c r="B1227" t="n">
        <v>2</v>
      </c>
      <c r="C1227" t="n">
        <v>3</v>
      </c>
      <c r="D1227" t="inlineStr">
        <is>
          <t>BAF20</t>
        </is>
      </c>
      <c r="E1227" t="inlineStr">
        <is>
          <t>WF</t>
        </is>
      </c>
      <c r="F1227" t="n">
        <v>16.4</v>
      </c>
      <c r="G1227" t="n">
        <v>67</v>
      </c>
      <c r="H1227" t="n">
        <v>7</v>
      </c>
      <c r="I1227" t="inlineStr">
        <is>
          <t>L</t>
        </is>
      </c>
      <c r="J1227" t="inlineStr">
        <is>
          <t>I</t>
        </is>
      </c>
      <c r="K1227" t="inlineStr"/>
      <c r="L1227" t="inlineStr"/>
      <c r="M1227" s="30">
        <f>0.005454*F1227^2</f>
        <v/>
      </c>
      <c r="N1227" s="31">
        <f>IF(D1227="BAF20",20/M1227,100)</f>
        <v/>
      </c>
      <c r="O1227" s="31">
        <f>M1227*N1227</f>
        <v/>
      </c>
      <c r="P1227" s="32">
        <f>151.2*N1227</f>
        <v/>
      </c>
    </row>
    <row r="1228">
      <c r="A1228" t="inlineStr">
        <is>
          <t>U2-43</t>
        </is>
      </c>
      <c r="B1228" t="n">
        <v>2</v>
      </c>
      <c r="C1228" t="n">
        <v>4</v>
      </c>
      <c r="D1228" t="inlineStr">
        <is>
          <t>BAF20</t>
        </is>
      </c>
      <c r="E1228" t="inlineStr">
        <is>
          <t>IC</t>
        </is>
      </c>
      <c r="F1228" t="n">
        <v>37.2</v>
      </c>
      <c r="G1228" t="n">
        <v>107</v>
      </c>
      <c r="H1228" t="n">
        <v>4</v>
      </c>
      <c r="I1228" t="inlineStr">
        <is>
          <t>L</t>
        </is>
      </c>
      <c r="J1228" t="inlineStr">
        <is>
          <t>D</t>
        </is>
      </c>
      <c r="K1228" t="inlineStr"/>
      <c r="L1228" t="inlineStr"/>
      <c r="M1228" s="30">
        <f>0.005454*F1228^2</f>
        <v/>
      </c>
      <c r="N1228" s="31">
        <f>IF(D1228="BAF20",20/M1228,100)</f>
        <v/>
      </c>
      <c r="O1228" s="31">
        <f>M1228*N1228</f>
        <v/>
      </c>
      <c r="P1228" s="32">
        <f>1816.9*N1228</f>
        <v/>
      </c>
    </row>
    <row r="1229">
      <c r="A1229" t="inlineStr">
        <is>
          <t>U2-43</t>
        </is>
      </c>
      <c r="B1229" t="n">
        <v>2</v>
      </c>
      <c r="C1229" t="n">
        <v>5</v>
      </c>
      <c r="D1229" t="inlineStr">
        <is>
          <t>BAF20</t>
        </is>
      </c>
      <c r="E1229" t="inlineStr">
        <is>
          <t>IC</t>
        </is>
      </c>
      <c r="F1229" t="n">
        <v>9</v>
      </c>
      <c r="G1229" t="n">
        <v>39</v>
      </c>
      <c r="H1229" t="n">
        <v>4</v>
      </c>
      <c r="I1229" t="inlineStr">
        <is>
          <t>L</t>
        </is>
      </c>
      <c r="J1229" t="inlineStr">
        <is>
          <t>S</t>
        </is>
      </c>
      <c r="K1229" t="inlineStr">
        <is>
          <t>Y</t>
        </is>
      </c>
      <c r="L1229" t="inlineStr"/>
      <c r="M1229" s="30">
        <f>0.005454*F1229^2</f>
        <v/>
      </c>
      <c r="N1229" s="31">
        <f>IF(D1229="BAF20",20/M1229,100)</f>
        <v/>
      </c>
      <c r="O1229" s="31">
        <f>M1229*N1229</f>
        <v/>
      </c>
      <c r="P1229" s="32">
        <f>0.0*N1229</f>
        <v/>
      </c>
    </row>
    <row r="1230">
      <c r="A1230" t="inlineStr">
        <is>
          <t>U2-43</t>
        </is>
      </c>
      <c r="B1230" t="n">
        <v>2</v>
      </c>
      <c r="C1230" t="n">
        <v>6</v>
      </c>
      <c r="D1230" t="inlineStr">
        <is>
          <t>BAF20</t>
        </is>
      </c>
      <c r="E1230" t="inlineStr">
        <is>
          <t>SP</t>
        </is>
      </c>
      <c r="F1230" t="n">
        <v>25.3</v>
      </c>
      <c r="G1230" t="n">
        <v>110</v>
      </c>
      <c r="H1230" t="n">
        <v>1</v>
      </c>
      <c r="I1230" t="inlineStr">
        <is>
          <t>L</t>
        </is>
      </c>
      <c r="J1230" t="inlineStr">
        <is>
          <t>C</t>
        </is>
      </c>
      <c r="K1230" t="inlineStr"/>
      <c r="L1230" t="inlineStr"/>
      <c r="M1230" s="30">
        <f>0.005454*F1230^2</f>
        <v/>
      </c>
      <c r="N1230" s="31">
        <f>IF(D1230="BAF20",20/M1230,100)</f>
        <v/>
      </c>
      <c r="O1230" s="31">
        <f>M1230*N1230</f>
        <v/>
      </c>
      <c r="P1230" s="32">
        <f>744.0*N1230</f>
        <v/>
      </c>
    </row>
    <row r="1231">
      <c r="A1231" t="inlineStr">
        <is>
          <t>U2-43</t>
        </is>
      </c>
      <c r="B1231" t="n">
        <v>2</v>
      </c>
      <c r="C1231" t="n">
        <v>7</v>
      </c>
      <c r="D1231" t="inlineStr">
        <is>
          <t>BAF20</t>
        </is>
      </c>
      <c r="E1231" t="inlineStr">
        <is>
          <t>PP</t>
        </is>
      </c>
      <c r="F1231" t="n">
        <v>20.6</v>
      </c>
      <c r="G1231" t="n">
        <v>92</v>
      </c>
      <c r="H1231" t="n">
        <v>4</v>
      </c>
      <c r="I1231" t="inlineStr">
        <is>
          <t>L</t>
        </is>
      </c>
      <c r="J1231" t="inlineStr">
        <is>
          <t>C</t>
        </is>
      </c>
      <c r="K1231" t="inlineStr"/>
      <c r="L1231" t="inlineStr"/>
      <c r="M1231" s="30">
        <f>0.005454*F1231^2</f>
        <v/>
      </c>
      <c r="N1231" s="31">
        <f>IF(D1231="BAF20",20/M1231,100)</f>
        <v/>
      </c>
      <c r="O1231" s="31">
        <f>M1231*N1231</f>
        <v/>
      </c>
      <c r="P1231" s="32">
        <f>367.3*N1231</f>
        <v/>
      </c>
    </row>
    <row r="1232">
      <c r="A1232" t="inlineStr">
        <is>
          <t>U2-43</t>
        </is>
      </c>
      <c r="B1232" t="n">
        <v>2</v>
      </c>
      <c r="C1232" t="n">
        <v>8</v>
      </c>
      <c r="D1232" t="inlineStr">
        <is>
          <t>BAF20</t>
        </is>
      </c>
      <c r="E1232" t="inlineStr">
        <is>
          <t>WF</t>
        </is>
      </c>
      <c r="F1232" t="n">
        <v>7</v>
      </c>
      <c r="G1232" t="n">
        <v>37</v>
      </c>
      <c r="H1232" t="n">
        <v>7</v>
      </c>
      <c r="I1232" t="inlineStr">
        <is>
          <t>L</t>
        </is>
      </c>
      <c r="J1232" t="inlineStr">
        <is>
          <t>S</t>
        </is>
      </c>
      <c r="K1232" t="inlineStr">
        <is>
          <t>Y</t>
        </is>
      </c>
      <c r="L1232" t="inlineStr"/>
      <c r="M1232" s="30">
        <f>0.005454*F1232^2</f>
        <v/>
      </c>
      <c r="N1232" s="31">
        <f>IF(D1232="BAF20",20/M1232,100)</f>
        <v/>
      </c>
      <c r="O1232" s="31">
        <f>M1232*N1232</f>
        <v/>
      </c>
      <c r="P1232" s="32">
        <f>0.0*N1232</f>
        <v/>
      </c>
    </row>
    <row r="1233">
      <c r="A1233" t="inlineStr">
        <is>
          <t>U2-43</t>
        </is>
      </c>
      <c r="B1233" t="n">
        <v>2</v>
      </c>
      <c r="C1233" t="n">
        <v>9</v>
      </c>
      <c r="D1233" t="inlineStr">
        <is>
          <t>BAF20</t>
        </is>
      </c>
      <c r="E1233" t="inlineStr">
        <is>
          <t>WF</t>
        </is>
      </c>
      <c r="F1233" t="n">
        <v>8.9</v>
      </c>
      <c r="G1233" t="n">
        <v>43</v>
      </c>
      <c r="H1233" t="n">
        <v>8</v>
      </c>
      <c r="I1233" t="inlineStr">
        <is>
          <t>L</t>
        </is>
      </c>
      <c r="J1233" t="inlineStr">
        <is>
          <t>S</t>
        </is>
      </c>
      <c r="K1233" t="inlineStr">
        <is>
          <t>Y</t>
        </is>
      </c>
      <c r="L1233" t="inlineStr"/>
      <c r="M1233" s="30">
        <f>0.005454*F1233^2</f>
        <v/>
      </c>
      <c r="N1233" s="31">
        <f>IF(D1233="BAF20",20/M1233,100)</f>
        <v/>
      </c>
      <c r="O1233" s="31">
        <f>M1233*N1233</f>
        <v/>
      </c>
      <c r="P1233" s="32">
        <f>0.0*N1233</f>
        <v/>
      </c>
    </row>
    <row r="1234">
      <c r="A1234" t="inlineStr">
        <is>
          <t>U2-43</t>
        </is>
      </c>
      <c r="B1234" t="n">
        <v>2</v>
      </c>
      <c r="C1234" t="n">
        <v>10</v>
      </c>
      <c r="D1234" t="inlineStr">
        <is>
          <t>BAF20</t>
        </is>
      </c>
      <c r="E1234" t="inlineStr">
        <is>
          <t>IC</t>
        </is>
      </c>
      <c r="F1234" t="n">
        <v>6.1</v>
      </c>
      <c r="G1234" t="n">
        <v>25</v>
      </c>
      <c r="H1234" t="n">
        <v>10</v>
      </c>
      <c r="I1234" t="inlineStr">
        <is>
          <t>L</t>
        </is>
      </c>
      <c r="J1234" t="inlineStr">
        <is>
          <t>S</t>
        </is>
      </c>
      <c r="K1234" t="inlineStr">
        <is>
          <t>Y</t>
        </is>
      </c>
      <c r="L1234" t="inlineStr"/>
      <c r="M1234" s="30">
        <f>0.005454*F1234^2</f>
        <v/>
      </c>
      <c r="N1234" s="31">
        <f>IF(D1234="BAF20",20/M1234,100)</f>
        <v/>
      </c>
      <c r="O1234" s="31">
        <f>M1234*N1234</f>
        <v/>
      </c>
      <c r="P1234" s="32">
        <f>0.0*N1234</f>
        <v/>
      </c>
    </row>
    <row r="1235">
      <c r="A1235" t="inlineStr">
        <is>
          <t>U2-43</t>
        </is>
      </c>
      <c r="B1235" t="n">
        <v>2</v>
      </c>
      <c r="C1235" t="n">
        <v>11</v>
      </c>
      <c r="D1235" t="inlineStr">
        <is>
          <t>BAF20</t>
        </is>
      </c>
      <c r="E1235" t="inlineStr">
        <is>
          <t>WF</t>
        </is>
      </c>
      <c r="F1235" t="n">
        <v>38.5</v>
      </c>
      <c r="G1235" t="n">
        <v>135</v>
      </c>
      <c r="H1235" t="n">
        <v>8</v>
      </c>
      <c r="I1235" t="inlineStr">
        <is>
          <t>L</t>
        </is>
      </c>
      <c r="J1235" t="inlineStr">
        <is>
          <t>D</t>
        </is>
      </c>
      <c r="K1235" t="inlineStr"/>
      <c r="L1235" t="inlineStr"/>
      <c r="M1235" s="30">
        <f>0.005454*F1235^2</f>
        <v/>
      </c>
      <c r="N1235" s="31">
        <f>IF(D1235="BAF20",20/M1235,100)</f>
        <v/>
      </c>
      <c r="O1235" s="31">
        <f>M1235*N1235</f>
        <v/>
      </c>
      <c r="P1235" s="32">
        <f>2353.1*N1235</f>
        <v/>
      </c>
    </row>
    <row r="1236">
      <c r="A1236" t="inlineStr">
        <is>
          <t>U2-43</t>
        </is>
      </c>
      <c r="B1236" t="n">
        <v>2</v>
      </c>
      <c r="C1236" t="n">
        <v>12</v>
      </c>
      <c r="D1236" t="inlineStr">
        <is>
          <t>BAF20</t>
        </is>
      </c>
      <c r="E1236" t="inlineStr">
        <is>
          <t>BO</t>
        </is>
      </c>
      <c r="F1236" t="n">
        <v>11.2</v>
      </c>
      <c r="G1236" t="n">
        <v>44</v>
      </c>
      <c r="H1236" t="n">
        <v>14</v>
      </c>
      <c r="I1236" t="inlineStr">
        <is>
          <t>L</t>
        </is>
      </c>
      <c r="J1236" t="inlineStr">
        <is>
          <t>S</t>
        </is>
      </c>
      <c r="K1236" t="inlineStr">
        <is>
          <t>Y</t>
        </is>
      </c>
      <c r="L1236" t="inlineStr"/>
      <c r="M1236" s="30">
        <f>0.005454*F1236^2</f>
        <v/>
      </c>
      <c r="N1236" s="31">
        <f>IF(D1236="BAF20",20/M1236,100)</f>
        <v/>
      </c>
      <c r="O1236" s="31">
        <f>M1236*N1236</f>
        <v/>
      </c>
      <c r="P1236" s="32">
        <f>34.6*N1236</f>
        <v/>
      </c>
    </row>
    <row r="1237">
      <c r="A1237" t="inlineStr">
        <is>
          <t>U2-43</t>
        </is>
      </c>
      <c r="B1237" t="n">
        <v>2</v>
      </c>
      <c r="C1237" t="n">
        <v>13</v>
      </c>
      <c r="D1237" t="inlineStr">
        <is>
          <t>BAF20</t>
        </is>
      </c>
      <c r="E1237" t="inlineStr">
        <is>
          <t>BO</t>
        </is>
      </c>
      <c r="F1237" t="n">
        <v>24.9</v>
      </c>
      <c r="G1237" t="n">
        <v>72</v>
      </c>
      <c r="H1237" t="n">
        <v>100</v>
      </c>
      <c r="I1237" t="inlineStr">
        <is>
          <t>D</t>
        </is>
      </c>
      <c r="J1237" t="inlineStr">
        <is>
          <t>C</t>
        </is>
      </c>
      <c r="K1237" t="inlineStr"/>
      <c r="L1237" t="inlineStr"/>
      <c r="M1237" s="30">
        <f>0.005454*F1237^2</f>
        <v/>
      </c>
      <c r="N1237" s="31">
        <f>IF(D1237="BAF20",20/M1237,100)</f>
        <v/>
      </c>
      <c r="O1237" s="31">
        <f>M1237*N1237</f>
        <v/>
      </c>
      <c r="P1237" s="32">
        <f>0.0*N1237</f>
        <v/>
      </c>
    </row>
    <row r="1238">
      <c r="A1238" t="inlineStr">
        <is>
          <t>U2-43</t>
        </is>
      </c>
      <c r="B1238" t="n">
        <v>2</v>
      </c>
      <c r="C1238" t="n">
        <v>14</v>
      </c>
      <c r="D1238" t="inlineStr">
        <is>
          <t>BAF20</t>
        </is>
      </c>
      <c r="E1238" t="inlineStr">
        <is>
          <t>BO</t>
        </is>
      </c>
      <c r="F1238" t="n">
        <v>9.5</v>
      </c>
      <c r="G1238" t="n">
        <v>35</v>
      </c>
      <c r="H1238" t="n">
        <v>14</v>
      </c>
      <c r="I1238" t="inlineStr">
        <is>
          <t>L</t>
        </is>
      </c>
      <c r="J1238" t="inlineStr">
        <is>
          <t>S</t>
        </is>
      </c>
      <c r="K1238" t="inlineStr">
        <is>
          <t>Y</t>
        </is>
      </c>
      <c r="L1238" t="inlineStr"/>
      <c r="M1238" s="30">
        <f>0.005454*F1238^2</f>
        <v/>
      </c>
      <c r="N1238" s="31">
        <f>IF(D1238="BAF20",20/M1238,100)</f>
        <v/>
      </c>
      <c r="O1238" s="31">
        <f>M1238*N1238</f>
        <v/>
      </c>
      <c r="P1238" s="32">
        <f>0.0*N1238</f>
        <v/>
      </c>
    </row>
    <row r="1239">
      <c r="A1239" t="inlineStr">
        <is>
          <t>U2-43</t>
        </is>
      </c>
      <c r="B1239" t="n">
        <v>2</v>
      </c>
      <c r="C1239" t="n">
        <v>15</v>
      </c>
      <c r="D1239" t="inlineStr">
        <is>
          <t>BAF20</t>
        </is>
      </c>
      <c r="E1239" t="inlineStr">
        <is>
          <t>SP</t>
        </is>
      </c>
      <c r="F1239" t="n">
        <v>27.7</v>
      </c>
      <c r="G1239" t="n">
        <v>108</v>
      </c>
      <c r="H1239" t="n">
        <v>8</v>
      </c>
      <c r="I1239" t="inlineStr">
        <is>
          <t>L</t>
        </is>
      </c>
      <c r="J1239" t="inlineStr">
        <is>
          <t>D</t>
        </is>
      </c>
      <c r="K1239" t="inlineStr"/>
      <c r="L1239" t="inlineStr"/>
      <c r="M1239" s="30">
        <f>0.005454*F1239^2</f>
        <v/>
      </c>
      <c r="N1239" s="31">
        <f>IF(D1239="BAF20",20/M1239,100)</f>
        <v/>
      </c>
      <c r="O1239" s="31">
        <f>M1239*N1239</f>
        <v/>
      </c>
      <c r="P1239" s="32">
        <f>847.6*N1239</f>
        <v/>
      </c>
    </row>
    <row r="1240">
      <c r="A1240" t="inlineStr">
        <is>
          <t>U2-43</t>
        </is>
      </c>
      <c r="B1240" t="n">
        <v>2</v>
      </c>
      <c r="C1240" t="n">
        <v>16</v>
      </c>
      <c r="D1240" t="inlineStr">
        <is>
          <t>BAF20</t>
        </is>
      </c>
      <c r="E1240" t="inlineStr">
        <is>
          <t>IC</t>
        </is>
      </c>
      <c r="F1240" t="n">
        <v>16.4</v>
      </c>
      <c r="G1240" t="n">
        <v>61</v>
      </c>
      <c r="H1240" t="n">
        <v>5</v>
      </c>
      <c r="I1240" t="inlineStr">
        <is>
          <t>L</t>
        </is>
      </c>
      <c r="J1240" t="inlineStr">
        <is>
          <t>I</t>
        </is>
      </c>
      <c r="K1240" t="inlineStr"/>
      <c r="L1240" t="inlineStr"/>
      <c r="M1240" s="30">
        <f>0.005454*F1240^2</f>
        <v/>
      </c>
      <c r="N1240" s="31">
        <f>IF(D1240="BAF20",20/M1240,100)</f>
        <v/>
      </c>
      <c r="O1240" s="31">
        <f>M1240*N1240</f>
        <v/>
      </c>
      <c r="P1240" s="32">
        <f>140.6*N1240</f>
        <v/>
      </c>
    </row>
    <row r="1241">
      <c r="A1241" t="inlineStr">
        <is>
          <t>U2-43</t>
        </is>
      </c>
      <c r="B1241" t="n">
        <v>2</v>
      </c>
      <c r="C1241" t="n">
        <v>17</v>
      </c>
      <c r="D1241" t="inlineStr">
        <is>
          <t>BAF20</t>
        </is>
      </c>
      <c r="E1241" t="inlineStr">
        <is>
          <t>WF</t>
        </is>
      </c>
      <c r="F1241" t="n">
        <v>29.6</v>
      </c>
      <c r="G1241" t="n">
        <v>117</v>
      </c>
      <c r="H1241" t="n">
        <v>6</v>
      </c>
      <c r="I1241" t="inlineStr">
        <is>
          <t>L</t>
        </is>
      </c>
      <c r="J1241" t="inlineStr">
        <is>
          <t>D</t>
        </is>
      </c>
      <c r="K1241" t="inlineStr"/>
      <c r="L1241" t="inlineStr"/>
      <c r="M1241" s="30">
        <f>0.005454*F1241^2</f>
        <v/>
      </c>
      <c r="N1241" s="31">
        <f>IF(D1241="BAF20",20/M1241,100)</f>
        <v/>
      </c>
      <c r="O1241" s="31">
        <f>M1241*N1241</f>
        <v/>
      </c>
      <c r="P1241" s="32">
        <f>1105.3*N1241</f>
        <v/>
      </c>
    </row>
    <row r="1242">
      <c r="A1242" t="inlineStr">
        <is>
          <t>U2-43</t>
        </is>
      </c>
      <c r="B1242" t="n">
        <v>2</v>
      </c>
      <c r="C1242" t="n">
        <v>18</v>
      </c>
      <c r="D1242" t="inlineStr">
        <is>
          <t>BAF20</t>
        </is>
      </c>
      <c r="E1242" t="inlineStr">
        <is>
          <t>PP</t>
        </is>
      </c>
      <c r="F1242" t="n">
        <v>20.7</v>
      </c>
      <c r="G1242" t="n">
        <v>77</v>
      </c>
      <c r="H1242" t="n">
        <v>4</v>
      </c>
      <c r="I1242" t="inlineStr">
        <is>
          <t>L</t>
        </is>
      </c>
      <c r="J1242" t="inlineStr">
        <is>
          <t>C</t>
        </is>
      </c>
      <c r="K1242" t="inlineStr"/>
      <c r="L1242" t="inlineStr"/>
      <c r="M1242" s="30">
        <f>0.005454*F1242^2</f>
        <v/>
      </c>
      <c r="N1242" s="31">
        <f>IF(D1242="BAF20",20/M1242,100)</f>
        <v/>
      </c>
      <c r="O1242" s="31">
        <f>M1242*N1242</f>
        <v/>
      </c>
      <c r="P1242" s="32">
        <f>311.0*N1242</f>
        <v/>
      </c>
    </row>
    <row r="1243">
      <c r="A1243" t="inlineStr">
        <is>
          <t>U2-43</t>
        </is>
      </c>
      <c r="B1243" t="n">
        <v>2</v>
      </c>
      <c r="C1243" t="n">
        <v>19</v>
      </c>
      <c r="D1243" t="inlineStr">
        <is>
          <t>FIX100</t>
        </is>
      </c>
      <c r="E1243" t="inlineStr">
        <is>
          <t>DF</t>
        </is>
      </c>
      <c r="F1243" t="n">
        <v>1.3</v>
      </c>
      <c r="G1243" t="n">
        <v>11</v>
      </c>
      <c r="H1243" t="n">
        <v>0</v>
      </c>
      <c r="I1243" t="inlineStr">
        <is>
          <t>L</t>
        </is>
      </c>
      <c r="J1243" t="inlineStr">
        <is>
          <t>S</t>
        </is>
      </c>
      <c r="K1243" t="inlineStr"/>
      <c r="L1243" t="inlineStr"/>
      <c r="M1243" s="30">
        <f>0.005454*F1243^2</f>
        <v/>
      </c>
      <c r="N1243" s="31">
        <f>IF(D1243="BAF20",20/M1243,100)</f>
        <v/>
      </c>
      <c r="O1243" s="31">
        <f>M1243*N1243</f>
        <v/>
      </c>
      <c r="P1243" s="32">
        <f>0.0*N1243</f>
        <v/>
      </c>
    </row>
    <row r="1244">
      <c r="A1244" t="inlineStr">
        <is>
          <t>U2-44</t>
        </is>
      </c>
      <c r="B1244" t="n">
        <v>2</v>
      </c>
      <c r="C1244" t="n">
        <v>1</v>
      </c>
      <c r="D1244" t="inlineStr">
        <is>
          <t>BAF20</t>
        </is>
      </c>
      <c r="E1244" t="inlineStr">
        <is>
          <t>IC</t>
        </is>
      </c>
      <c r="F1244" t="n">
        <v>15.5</v>
      </c>
      <c r="G1244" t="n">
        <v>56</v>
      </c>
      <c r="H1244" t="n">
        <v>100</v>
      </c>
      <c r="I1244" t="inlineStr">
        <is>
          <t>D</t>
        </is>
      </c>
      <c r="J1244" t="inlineStr">
        <is>
          <t>I</t>
        </is>
      </c>
      <c r="K1244" t="inlineStr"/>
      <c r="L1244" t="inlineStr"/>
      <c r="M1244" s="30">
        <f>0.005454*F1244^2</f>
        <v/>
      </c>
      <c r="N1244" s="31">
        <f>IF(D1244="BAF20",20/M1244,100)</f>
        <v/>
      </c>
      <c r="O1244" s="31">
        <f>M1244*N1244</f>
        <v/>
      </c>
      <c r="P1244" s="32">
        <f>0.0*N1244</f>
        <v/>
      </c>
    </row>
    <row r="1245">
      <c r="A1245" t="inlineStr">
        <is>
          <t>U2-44</t>
        </is>
      </c>
      <c r="B1245" t="n">
        <v>2</v>
      </c>
      <c r="C1245" t="n">
        <v>2</v>
      </c>
      <c r="D1245" t="inlineStr">
        <is>
          <t>BAF20</t>
        </is>
      </c>
      <c r="E1245" t="inlineStr">
        <is>
          <t>PP</t>
        </is>
      </c>
      <c r="F1245" t="n">
        <v>26.9</v>
      </c>
      <c r="G1245" t="n">
        <v>111</v>
      </c>
      <c r="H1245" t="n">
        <v>1</v>
      </c>
      <c r="I1245" t="inlineStr">
        <is>
          <t>L</t>
        </is>
      </c>
      <c r="J1245" t="inlineStr">
        <is>
          <t>D</t>
        </is>
      </c>
      <c r="K1245" t="inlineStr"/>
      <c r="L1245" t="inlineStr"/>
      <c r="M1245" s="30">
        <f>0.005454*F1245^2</f>
        <v/>
      </c>
      <c r="N1245" s="31">
        <f>IF(D1245="BAF20",20/M1245,100)</f>
        <v/>
      </c>
      <c r="O1245" s="31">
        <f>M1245*N1245</f>
        <v/>
      </c>
      <c r="P1245" s="32">
        <f>872.3*N1245</f>
        <v/>
      </c>
    </row>
    <row r="1246">
      <c r="A1246" t="inlineStr">
        <is>
          <t>U2-44</t>
        </is>
      </c>
      <c r="B1246" t="n">
        <v>2</v>
      </c>
      <c r="C1246" t="n">
        <v>3</v>
      </c>
      <c r="D1246" t="inlineStr">
        <is>
          <t>BAF20</t>
        </is>
      </c>
      <c r="E1246" t="inlineStr">
        <is>
          <t>BO</t>
        </is>
      </c>
      <c r="F1246" t="n">
        <v>14.1</v>
      </c>
      <c r="G1246" t="n">
        <v>54</v>
      </c>
      <c r="H1246" t="n">
        <v>1</v>
      </c>
      <c r="I1246" t="inlineStr">
        <is>
          <t>L</t>
        </is>
      </c>
      <c r="J1246" t="inlineStr">
        <is>
          <t>I</t>
        </is>
      </c>
      <c r="K1246" t="inlineStr"/>
      <c r="L1246" t="inlineStr"/>
      <c r="M1246" s="30">
        <f>0.005454*F1246^2</f>
        <v/>
      </c>
      <c r="N1246" s="31">
        <f>IF(D1246="BAF20",20/M1246,100)</f>
        <v/>
      </c>
      <c r="O1246" s="31">
        <f>M1246*N1246</f>
        <v/>
      </c>
      <c r="P1246" s="32">
        <f>82.6*N1246</f>
        <v/>
      </c>
    </row>
    <row r="1247">
      <c r="A1247" t="inlineStr">
        <is>
          <t>U2-44</t>
        </is>
      </c>
      <c r="B1247" t="n">
        <v>2</v>
      </c>
      <c r="C1247" t="n">
        <v>4</v>
      </c>
      <c r="D1247" t="inlineStr">
        <is>
          <t>BAF20</t>
        </is>
      </c>
      <c r="E1247" t="inlineStr">
        <is>
          <t>BO</t>
        </is>
      </c>
      <c r="F1247" t="n">
        <v>8.800000000000001</v>
      </c>
      <c r="G1247" t="n">
        <v>36</v>
      </c>
      <c r="H1247" t="n">
        <v>17</v>
      </c>
      <c r="I1247" t="inlineStr">
        <is>
          <t>L</t>
        </is>
      </c>
      <c r="J1247" t="inlineStr">
        <is>
          <t>S</t>
        </is>
      </c>
      <c r="K1247" t="inlineStr">
        <is>
          <t>Y</t>
        </is>
      </c>
      <c r="L1247" t="inlineStr"/>
      <c r="M1247" s="30">
        <f>0.005454*F1247^2</f>
        <v/>
      </c>
      <c r="N1247" s="31">
        <f>IF(D1247="BAF20",20/M1247,100)</f>
        <v/>
      </c>
      <c r="O1247" s="31">
        <f>M1247*N1247</f>
        <v/>
      </c>
      <c r="P1247" s="32">
        <f>0.0*N1247</f>
        <v/>
      </c>
    </row>
    <row r="1248">
      <c r="A1248" t="inlineStr">
        <is>
          <t>U2-44</t>
        </is>
      </c>
      <c r="B1248" t="n">
        <v>2</v>
      </c>
      <c r="C1248" t="n">
        <v>5</v>
      </c>
      <c r="D1248" t="inlineStr">
        <is>
          <t>BAF20</t>
        </is>
      </c>
      <c r="E1248" t="inlineStr">
        <is>
          <t>IC</t>
        </is>
      </c>
      <c r="F1248" t="n">
        <v>15.8</v>
      </c>
      <c r="G1248" t="n">
        <v>60</v>
      </c>
      <c r="H1248" t="n">
        <v>2</v>
      </c>
      <c r="I1248" t="inlineStr">
        <is>
          <t>L</t>
        </is>
      </c>
      <c r="J1248" t="inlineStr">
        <is>
          <t>I</t>
        </is>
      </c>
      <c r="K1248" t="inlineStr"/>
      <c r="L1248" t="inlineStr"/>
      <c r="M1248" s="30">
        <f>0.005454*F1248^2</f>
        <v/>
      </c>
      <c r="N1248" s="31">
        <f>IF(D1248="BAF20",20/M1248,100)</f>
        <v/>
      </c>
      <c r="O1248" s="31">
        <f>M1248*N1248</f>
        <v/>
      </c>
      <c r="P1248" s="32">
        <f>130.8*N1248</f>
        <v/>
      </c>
    </row>
    <row r="1249">
      <c r="A1249" t="inlineStr">
        <is>
          <t>U2-44</t>
        </is>
      </c>
      <c r="B1249" t="n">
        <v>2</v>
      </c>
      <c r="C1249" t="n">
        <v>6</v>
      </c>
      <c r="D1249" t="inlineStr">
        <is>
          <t>BAF20</t>
        </is>
      </c>
      <c r="E1249" t="inlineStr">
        <is>
          <t>PP</t>
        </is>
      </c>
      <c r="F1249" t="n">
        <v>23.6</v>
      </c>
      <c r="G1249" t="n">
        <v>100</v>
      </c>
      <c r="H1249" t="n">
        <v>5</v>
      </c>
      <c r="I1249" t="inlineStr">
        <is>
          <t>L</t>
        </is>
      </c>
      <c r="J1249" t="inlineStr">
        <is>
          <t>C</t>
        </is>
      </c>
      <c r="K1249" t="inlineStr"/>
      <c r="L1249" t="inlineStr"/>
      <c r="M1249" s="30">
        <f>0.005454*F1249^2</f>
        <v/>
      </c>
      <c r="N1249" s="31">
        <f>IF(D1249="BAF20",20/M1249,100)</f>
        <v/>
      </c>
      <c r="O1249" s="31">
        <f>M1249*N1249</f>
        <v/>
      </c>
      <c r="P1249" s="32">
        <f>548.0*N1249</f>
        <v/>
      </c>
    </row>
    <row r="1250">
      <c r="A1250" t="inlineStr">
        <is>
          <t>U2-44</t>
        </is>
      </c>
      <c r="B1250" t="n">
        <v>2</v>
      </c>
      <c r="C1250" t="n">
        <v>7</v>
      </c>
      <c r="D1250" t="inlineStr">
        <is>
          <t>BAF20</t>
        </is>
      </c>
      <c r="E1250" t="inlineStr">
        <is>
          <t>IC</t>
        </is>
      </c>
      <c r="F1250" t="n">
        <v>15.4</v>
      </c>
      <c r="G1250" t="n">
        <v>60</v>
      </c>
      <c r="H1250" t="n">
        <v>9</v>
      </c>
      <c r="I1250" t="inlineStr">
        <is>
          <t>L</t>
        </is>
      </c>
      <c r="J1250" t="inlineStr">
        <is>
          <t>I</t>
        </is>
      </c>
      <c r="K1250" t="inlineStr"/>
      <c r="L1250" t="inlineStr"/>
      <c r="M1250" s="30">
        <f>0.005454*F1250^2</f>
        <v/>
      </c>
      <c r="N1250" s="31">
        <f>IF(D1250="BAF20",20/M1250,100)</f>
        <v/>
      </c>
      <c r="O1250" s="31">
        <f>M1250*N1250</f>
        <v/>
      </c>
      <c r="P1250" s="32">
        <f>114.4*N1250</f>
        <v/>
      </c>
    </row>
    <row r="1251">
      <c r="A1251" t="inlineStr">
        <is>
          <t>U2-44</t>
        </is>
      </c>
      <c r="B1251" t="n">
        <v>2</v>
      </c>
      <c r="C1251" t="n">
        <v>8</v>
      </c>
      <c r="D1251" t="inlineStr">
        <is>
          <t>BAF20</t>
        </is>
      </c>
      <c r="E1251" t="inlineStr">
        <is>
          <t>DF</t>
        </is>
      </c>
      <c r="F1251" t="n">
        <v>27</v>
      </c>
      <c r="G1251" t="n">
        <v>111</v>
      </c>
      <c r="H1251" t="n">
        <v>100</v>
      </c>
      <c r="I1251" t="inlineStr">
        <is>
          <t>D</t>
        </is>
      </c>
      <c r="J1251" t="inlineStr">
        <is>
          <t>D</t>
        </is>
      </c>
      <c r="K1251" t="inlineStr"/>
      <c r="L1251" t="inlineStr"/>
      <c r="M1251" s="30">
        <f>0.005454*F1251^2</f>
        <v/>
      </c>
      <c r="N1251" s="31">
        <f>IF(D1251="BAF20",20/M1251,100)</f>
        <v/>
      </c>
      <c r="O1251" s="31">
        <f>M1251*N1251</f>
        <v/>
      </c>
      <c r="P1251" s="32">
        <f>0.0*N1251</f>
        <v/>
      </c>
    </row>
    <row r="1252">
      <c r="A1252" t="inlineStr">
        <is>
          <t>U2-44</t>
        </is>
      </c>
      <c r="B1252" t="n">
        <v>2</v>
      </c>
      <c r="C1252" t="n">
        <v>9</v>
      </c>
      <c r="D1252" t="inlineStr">
        <is>
          <t>BAF20</t>
        </is>
      </c>
      <c r="E1252" t="inlineStr">
        <is>
          <t>PP</t>
        </is>
      </c>
      <c r="F1252" t="n">
        <v>18.5</v>
      </c>
      <c r="G1252" t="n">
        <v>80</v>
      </c>
      <c r="H1252" t="n">
        <v>7</v>
      </c>
      <c r="I1252" t="inlineStr">
        <is>
          <t>L</t>
        </is>
      </c>
      <c r="J1252" t="inlineStr">
        <is>
          <t>I</t>
        </is>
      </c>
      <c r="K1252" t="inlineStr"/>
      <c r="L1252" t="inlineStr"/>
      <c r="M1252" s="30">
        <f>0.005454*F1252^2</f>
        <v/>
      </c>
      <c r="N1252" s="31">
        <f>IF(D1252="BAF20",20/M1252,100)</f>
        <v/>
      </c>
      <c r="O1252" s="31">
        <f>M1252*N1252</f>
        <v/>
      </c>
      <c r="P1252" s="32">
        <f>239.6*N1252</f>
        <v/>
      </c>
    </row>
    <row r="1253">
      <c r="A1253" t="inlineStr">
        <is>
          <t>U2-44</t>
        </is>
      </c>
      <c r="B1253" t="n">
        <v>2</v>
      </c>
      <c r="C1253" t="n">
        <v>10</v>
      </c>
      <c r="D1253" t="inlineStr">
        <is>
          <t>BAF20</t>
        </is>
      </c>
      <c r="E1253" t="inlineStr">
        <is>
          <t>IC</t>
        </is>
      </c>
      <c r="F1253" t="n">
        <v>15.8</v>
      </c>
      <c r="G1253" t="n">
        <v>58</v>
      </c>
      <c r="H1253" t="n">
        <v>6</v>
      </c>
      <c r="I1253" t="inlineStr">
        <is>
          <t>L</t>
        </is>
      </c>
      <c r="J1253" t="inlineStr">
        <is>
          <t>I</t>
        </is>
      </c>
      <c r="K1253" t="inlineStr"/>
      <c r="L1253" t="inlineStr"/>
      <c r="M1253" s="30">
        <f>0.005454*F1253^2</f>
        <v/>
      </c>
      <c r="N1253" s="31">
        <f>IF(D1253="BAF20",20/M1253,100)</f>
        <v/>
      </c>
      <c r="O1253" s="31">
        <f>M1253*N1253</f>
        <v/>
      </c>
      <c r="P1253" s="32">
        <f>121.3*N1253</f>
        <v/>
      </c>
    </row>
    <row r="1254">
      <c r="A1254" t="inlineStr">
        <is>
          <t>U2-44</t>
        </is>
      </c>
      <c r="B1254" t="n">
        <v>2</v>
      </c>
      <c r="C1254" t="n">
        <v>11</v>
      </c>
      <c r="D1254" t="inlineStr">
        <is>
          <t>BAF20</t>
        </is>
      </c>
      <c r="E1254" t="inlineStr">
        <is>
          <t>IC</t>
        </is>
      </c>
      <c r="F1254" t="n">
        <v>22.9</v>
      </c>
      <c r="G1254" t="n">
        <v>79</v>
      </c>
      <c r="H1254" t="n">
        <v>10</v>
      </c>
      <c r="I1254" t="inlineStr">
        <is>
          <t>L</t>
        </is>
      </c>
      <c r="J1254" t="inlineStr">
        <is>
          <t>C</t>
        </is>
      </c>
      <c r="K1254" t="inlineStr"/>
      <c r="L1254" t="inlineStr"/>
      <c r="M1254" s="30">
        <f>0.005454*F1254^2</f>
        <v/>
      </c>
      <c r="N1254" s="31">
        <f>IF(D1254="BAF20",20/M1254,100)</f>
        <v/>
      </c>
      <c r="O1254" s="31">
        <f>M1254*N1254</f>
        <v/>
      </c>
      <c r="P1254" s="32">
        <f>381.3*N1254</f>
        <v/>
      </c>
    </row>
    <row r="1255">
      <c r="A1255" t="inlineStr">
        <is>
          <t>U2-44</t>
        </is>
      </c>
      <c r="B1255" t="n">
        <v>2</v>
      </c>
      <c r="C1255" t="n">
        <v>12</v>
      </c>
      <c r="D1255" t="inlineStr">
        <is>
          <t>BAF20</t>
        </is>
      </c>
      <c r="E1255" t="inlineStr">
        <is>
          <t>BO</t>
        </is>
      </c>
      <c r="F1255" t="n">
        <v>11.1</v>
      </c>
      <c r="G1255" t="n">
        <v>43</v>
      </c>
      <c r="H1255" t="n">
        <v>20</v>
      </c>
      <c r="I1255" t="inlineStr">
        <is>
          <t>L</t>
        </is>
      </c>
      <c r="J1255" t="inlineStr">
        <is>
          <t>S</t>
        </is>
      </c>
      <c r="K1255" t="inlineStr">
        <is>
          <t>Y</t>
        </is>
      </c>
      <c r="L1255" t="inlineStr"/>
      <c r="M1255" s="30">
        <f>0.005454*F1255^2</f>
        <v/>
      </c>
      <c r="N1255" s="31">
        <f>IF(D1255="BAF20",20/M1255,100)</f>
        <v/>
      </c>
      <c r="O1255" s="31">
        <f>M1255*N1255</f>
        <v/>
      </c>
      <c r="P1255" s="32">
        <f>30.8*N1255</f>
        <v/>
      </c>
    </row>
    <row r="1256">
      <c r="A1256" t="inlineStr">
        <is>
          <t>U2-44</t>
        </is>
      </c>
      <c r="B1256" t="n">
        <v>2</v>
      </c>
      <c r="C1256" t="n">
        <v>13</v>
      </c>
      <c r="D1256" t="inlineStr">
        <is>
          <t>BAF20</t>
        </is>
      </c>
      <c r="E1256" t="inlineStr">
        <is>
          <t>IC</t>
        </is>
      </c>
      <c r="F1256" t="n">
        <v>15.3</v>
      </c>
      <c r="G1256" t="n">
        <v>61</v>
      </c>
      <c r="H1256" t="n">
        <v>8</v>
      </c>
      <c r="I1256" t="inlineStr">
        <is>
          <t>L</t>
        </is>
      </c>
      <c r="J1256" t="inlineStr">
        <is>
          <t>I</t>
        </is>
      </c>
      <c r="K1256" t="inlineStr"/>
      <c r="L1256" t="inlineStr"/>
      <c r="M1256" s="30">
        <f>0.005454*F1256^2</f>
        <v/>
      </c>
      <c r="N1256" s="31">
        <f>IF(D1256="BAF20",20/M1256,100)</f>
        <v/>
      </c>
      <c r="O1256" s="31">
        <f>M1256*N1256</f>
        <v/>
      </c>
      <c r="P1256" s="32">
        <f>115.8*N1256</f>
        <v/>
      </c>
    </row>
    <row r="1257">
      <c r="A1257" t="inlineStr">
        <is>
          <t>U2-44</t>
        </is>
      </c>
      <c r="B1257" t="n">
        <v>2</v>
      </c>
      <c r="C1257" t="n">
        <v>14</v>
      </c>
      <c r="D1257" t="inlineStr">
        <is>
          <t>BAF20</t>
        </is>
      </c>
      <c r="E1257" t="inlineStr">
        <is>
          <t>IC</t>
        </is>
      </c>
      <c r="F1257" t="n">
        <v>7</v>
      </c>
      <c r="G1257" t="n">
        <v>29</v>
      </c>
      <c r="H1257" t="n">
        <v>3</v>
      </c>
      <c r="I1257" t="inlineStr">
        <is>
          <t>L</t>
        </is>
      </c>
      <c r="J1257" t="inlineStr">
        <is>
          <t>S</t>
        </is>
      </c>
      <c r="K1257" t="inlineStr">
        <is>
          <t>Y</t>
        </is>
      </c>
      <c r="L1257" t="inlineStr"/>
      <c r="M1257" s="30">
        <f>0.005454*F1257^2</f>
        <v/>
      </c>
      <c r="N1257" s="31">
        <f>IF(D1257="BAF20",20/M1257,100)</f>
        <v/>
      </c>
      <c r="O1257" s="31">
        <f>M1257*N1257</f>
        <v/>
      </c>
      <c r="P1257" s="32">
        <f>0.0*N1257</f>
        <v/>
      </c>
    </row>
    <row r="1258">
      <c r="A1258" t="inlineStr">
        <is>
          <t>U2-44</t>
        </is>
      </c>
      <c r="B1258" t="n">
        <v>2</v>
      </c>
      <c r="C1258" t="n">
        <v>15</v>
      </c>
      <c r="D1258" t="inlineStr">
        <is>
          <t>BAF20</t>
        </is>
      </c>
      <c r="E1258" t="inlineStr">
        <is>
          <t>WF</t>
        </is>
      </c>
      <c r="F1258" t="n">
        <v>21</v>
      </c>
      <c r="G1258" t="n">
        <v>102</v>
      </c>
      <c r="H1258" t="n">
        <v>6</v>
      </c>
      <c r="I1258" t="inlineStr">
        <is>
          <t>L</t>
        </is>
      </c>
      <c r="J1258" t="inlineStr">
        <is>
          <t>C</t>
        </is>
      </c>
      <c r="K1258" t="inlineStr"/>
      <c r="L1258" t="inlineStr"/>
      <c r="M1258" s="30">
        <f>0.005454*F1258^2</f>
        <v/>
      </c>
      <c r="N1258" s="31">
        <f>IF(D1258="BAF20",20/M1258,100)</f>
        <v/>
      </c>
      <c r="O1258" s="31">
        <f>M1258*N1258</f>
        <v/>
      </c>
      <c r="P1258" s="32">
        <f>417.6*N1258</f>
        <v/>
      </c>
    </row>
    <row r="1259">
      <c r="A1259" t="inlineStr">
        <is>
          <t>U2-44</t>
        </is>
      </c>
      <c r="B1259" t="n">
        <v>2</v>
      </c>
      <c r="C1259" t="n">
        <v>16</v>
      </c>
      <c r="D1259" t="inlineStr">
        <is>
          <t>FIX100</t>
        </is>
      </c>
      <c r="E1259" t="inlineStr">
        <is>
          <t>WF</t>
        </is>
      </c>
      <c r="F1259" t="n">
        <v>4.9</v>
      </c>
      <c r="G1259" t="n">
        <v>31</v>
      </c>
      <c r="H1259" t="n">
        <v>0</v>
      </c>
      <c r="I1259" t="inlineStr">
        <is>
          <t>L</t>
        </is>
      </c>
      <c r="J1259" t="inlineStr">
        <is>
          <t>S</t>
        </is>
      </c>
      <c r="K1259" t="inlineStr"/>
      <c r="L1259" t="inlineStr"/>
      <c r="M1259" s="30">
        <f>0.005454*F1259^2</f>
        <v/>
      </c>
      <c r="N1259" s="31">
        <f>IF(D1259="BAF20",20/M1259,100)</f>
        <v/>
      </c>
      <c r="O1259" s="31">
        <f>M1259*N1259</f>
        <v/>
      </c>
      <c r="P1259" s="32">
        <f>0.0*N1259</f>
        <v/>
      </c>
    </row>
    <row r="1260">
      <c r="A1260" t="inlineStr">
        <is>
          <t>U2-44</t>
        </is>
      </c>
      <c r="B1260" t="n">
        <v>2</v>
      </c>
      <c r="C1260" t="n">
        <v>17</v>
      </c>
      <c r="D1260" t="inlineStr">
        <is>
          <t>FIX100</t>
        </is>
      </c>
      <c r="E1260" t="inlineStr">
        <is>
          <t>WF</t>
        </is>
      </c>
      <c r="F1260" t="n">
        <v>2.9</v>
      </c>
      <c r="G1260" t="n">
        <v>21</v>
      </c>
      <c r="H1260" t="n">
        <v>0</v>
      </c>
      <c r="I1260" t="inlineStr">
        <is>
          <t>L</t>
        </is>
      </c>
      <c r="J1260" t="inlineStr">
        <is>
          <t>S</t>
        </is>
      </c>
      <c r="K1260" t="inlineStr"/>
      <c r="L1260" t="inlineStr"/>
      <c r="M1260" s="30">
        <f>0.005454*F1260^2</f>
        <v/>
      </c>
      <c r="N1260" s="31">
        <f>IF(D1260="BAF20",20/M1260,100)</f>
        <v/>
      </c>
      <c r="O1260" s="31">
        <f>M1260*N1260</f>
        <v/>
      </c>
      <c r="P1260" s="32">
        <f>0.0*N1260</f>
        <v/>
      </c>
    </row>
    <row r="1261">
      <c r="A1261" t="inlineStr">
        <is>
          <t>U2-45</t>
        </is>
      </c>
      <c r="B1261" t="n">
        <v>2</v>
      </c>
      <c r="C1261" t="n">
        <v>1</v>
      </c>
      <c r="D1261" t="inlineStr">
        <is>
          <t>BAF20</t>
        </is>
      </c>
      <c r="E1261" t="inlineStr">
        <is>
          <t>PP</t>
        </is>
      </c>
      <c r="F1261" t="n">
        <v>19.6</v>
      </c>
      <c r="G1261" t="n">
        <v>93</v>
      </c>
      <c r="H1261" t="n">
        <v>0</v>
      </c>
      <c r="I1261" t="inlineStr">
        <is>
          <t>L</t>
        </is>
      </c>
      <c r="J1261" t="inlineStr">
        <is>
          <t>C</t>
        </is>
      </c>
      <c r="K1261" t="inlineStr"/>
      <c r="L1261" t="inlineStr"/>
      <c r="M1261" s="30">
        <f>0.005454*F1261^2</f>
        <v/>
      </c>
      <c r="N1261" s="31">
        <f>IF(D1261="BAF20",20/M1261,100)</f>
        <v/>
      </c>
      <c r="O1261" s="31">
        <f>M1261*N1261</f>
        <v/>
      </c>
      <c r="P1261" s="32">
        <f>343.5*N1261</f>
        <v/>
      </c>
    </row>
    <row r="1262">
      <c r="A1262" t="inlineStr">
        <is>
          <t>U2-45</t>
        </is>
      </c>
      <c r="B1262" t="n">
        <v>2</v>
      </c>
      <c r="C1262" t="n">
        <v>2</v>
      </c>
      <c r="D1262" t="inlineStr">
        <is>
          <t>BAF20</t>
        </is>
      </c>
      <c r="E1262" t="inlineStr">
        <is>
          <t>PP</t>
        </is>
      </c>
      <c r="F1262" t="n">
        <v>32.3</v>
      </c>
      <c r="G1262" t="n">
        <v>117</v>
      </c>
      <c r="H1262" t="n">
        <v>4</v>
      </c>
      <c r="I1262" t="inlineStr">
        <is>
          <t>L</t>
        </is>
      </c>
      <c r="J1262" t="inlineStr">
        <is>
          <t>D</t>
        </is>
      </c>
      <c r="K1262" t="inlineStr"/>
      <c r="L1262" t="inlineStr"/>
      <c r="M1262" s="30">
        <f>0.005454*F1262^2</f>
        <v/>
      </c>
      <c r="N1262" s="31">
        <f>IF(D1262="BAF20",20/M1262,100)</f>
        <v/>
      </c>
      <c r="O1262" s="31">
        <f>M1262*N1262</f>
        <v/>
      </c>
      <c r="P1262" s="32">
        <f>1402.9*N1262</f>
        <v/>
      </c>
    </row>
    <row r="1263">
      <c r="A1263" t="inlineStr">
        <is>
          <t>U2-45</t>
        </is>
      </c>
      <c r="B1263" t="n">
        <v>2</v>
      </c>
      <c r="C1263" t="n">
        <v>3</v>
      </c>
      <c r="D1263" t="inlineStr">
        <is>
          <t>BAF20</t>
        </is>
      </c>
      <c r="E1263" t="inlineStr">
        <is>
          <t>DF</t>
        </is>
      </c>
      <c r="F1263" t="n">
        <v>16.1</v>
      </c>
      <c r="G1263" t="n">
        <v>78</v>
      </c>
      <c r="H1263" t="n">
        <v>12</v>
      </c>
      <c r="I1263" t="inlineStr">
        <is>
          <t>L</t>
        </is>
      </c>
      <c r="J1263" t="inlineStr">
        <is>
          <t>I</t>
        </is>
      </c>
      <c r="K1263" t="inlineStr"/>
      <c r="L1263" t="inlineStr"/>
      <c r="M1263" s="30">
        <f>0.005454*F1263^2</f>
        <v/>
      </c>
      <c r="N1263" s="31">
        <f>IF(D1263="BAF20",20/M1263,100)</f>
        <v/>
      </c>
      <c r="O1263" s="31">
        <f>M1263*N1263</f>
        <v/>
      </c>
      <c r="P1263" s="32">
        <f>159.5*N1263</f>
        <v/>
      </c>
    </row>
    <row r="1264">
      <c r="A1264" t="inlineStr">
        <is>
          <t>U2-45</t>
        </is>
      </c>
      <c r="B1264" t="n">
        <v>2</v>
      </c>
      <c r="C1264" t="n">
        <v>4</v>
      </c>
      <c r="D1264" t="inlineStr">
        <is>
          <t>BAF20</t>
        </is>
      </c>
      <c r="E1264" t="inlineStr">
        <is>
          <t>IC</t>
        </is>
      </c>
      <c r="F1264" t="n">
        <v>23.6</v>
      </c>
      <c r="G1264" t="n">
        <v>77</v>
      </c>
      <c r="H1264" t="n">
        <v>100</v>
      </c>
      <c r="I1264" t="inlineStr">
        <is>
          <t>D</t>
        </is>
      </c>
      <c r="J1264" t="inlineStr">
        <is>
          <t>C</t>
        </is>
      </c>
      <c r="K1264" t="inlineStr"/>
      <c r="L1264" t="inlineStr"/>
      <c r="M1264" s="30">
        <f>0.005454*F1264^2</f>
        <v/>
      </c>
      <c r="N1264" s="31">
        <f>IF(D1264="BAF20",20/M1264,100)</f>
        <v/>
      </c>
      <c r="O1264" s="31">
        <f>M1264*N1264</f>
        <v/>
      </c>
      <c r="P1264" s="32">
        <f>0.0*N1264</f>
        <v/>
      </c>
    </row>
    <row r="1265">
      <c r="A1265" t="inlineStr">
        <is>
          <t>U2-45</t>
        </is>
      </c>
      <c r="B1265" t="n">
        <v>2</v>
      </c>
      <c r="C1265" t="n">
        <v>5</v>
      </c>
      <c r="D1265" t="inlineStr">
        <is>
          <t>BAF20</t>
        </is>
      </c>
      <c r="E1265" t="inlineStr">
        <is>
          <t>PP</t>
        </is>
      </c>
      <c r="F1265" t="n">
        <v>9.800000000000001</v>
      </c>
      <c r="G1265" t="n">
        <v>52</v>
      </c>
      <c r="H1265" t="n">
        <v>5</v>
      </c>
      <c r="I1265" t="inlineStr">
        <is>
          <t>L</t>
        </is>
      </c>
      <c r="J1265" t="inlineStr">
        <is>
          <t>S</t>
        </is>
      </c>
      <c r="K1265" t="inlineStr">
        <is>
          <t>Y</t>
        </is>
      </c>
      <c r="L1265" t="inlineStr"/>
      <c r="M1265" s="30">
        <f>0.005454*F1265^2</f>
        <v/>
      </c>
      <c r="N1265" s="31">
        <f>IF(D1265="BAF20",20/M1265,100)</f>
        <v/>
      </c>
      <c r="O1265" s="31">
        <f>M1265*N1265</f>
        <v/>
      </c>
      <c r="P1265" s="32">
        <f>0.0*N1265</f>
        <v/>
      </c>
    </row>
    <row r="1266">
      <c r="A1266" t="inlineStr">
        <is>
          <t>U2-45</t>
        </is>
      </c>
      <c r="B1266" t="n">
        <v>2</v>
      </c>
      <c r="C1266" t="n">
        <v>6</v>
      </c>
      <c r="D1266" t="inlineStr">
        <is>
          <t>BAF20</t>
        </is>
      </c>
      <c r="E1266" t="inlineStr">
        <is>
          <t>IC</t>
        </is>
      </c>
      <c r="F1266" t="n">
        <v>19.6</v>
      </c>
      <c r="G1266" t="n">
        <v>74</v>
      </c>
      <c r="H1266" t="n">
        <v>1</v>
      </c>
      <c r="I1266" t="inlineStr">
        <is>
          <t>L</t>
        </is>
      </c>
      <c r="J1266" t="inlineStr">
        <is>
          <t>C</t>
        </is>
      </c>
      <c r="K1266" t="inlineStr"/>
      <c r="L1266" t="inlineStr"/>
      <c r="M1266" s="30">
        <f>0.005454*F1266^2</f>
        <v/>
      </c>
      <c r="N1266" s="31">
        <f>IF(D1266="BAF20",20/M1266,100)</f>
        <v/>
      </c>
      <c r="O1266" s="31">
        <f>M1266*N1266</f>
        <v/>
      </c>
      <c r="P1266" s="32">
        <f>270.6*N1266</f>
        <v/>
      </c>
    </row>
    <row r="1267">
      <c r="A1267" t="inlineStr">
        <is>
          <t>U2-45</t>
        </is>
      </c>
      <c r="B1267" t="n">
        <v>2</v>
      </c>
      <c r="C1267" t="n">
        <v>7</v>
      </c>
      <c r="D1267" t="inlineStr">
        <is>
          <t>BAF20</t>
        </is>
      </c>
      <c r="E1267" t="inlineStr">
        <is>
          <t>DF</t>
        </is>
      </c>
      <c r="F1267" t="n">
        <v>31.1</v>
      </c>
      <c r="G1267" t="n">
        <v>128</v>
      </c>
      <c r="H1267" t="n">
        <v>8</v>
      </c>
      <c r="I1267" t="inlineStr">
        <is>
          <t>L</t>
        </is>
      </c>
      <c r="J1267" t="inlineStr">
        <is>
          <t>D</t>
        </is>
      </c>
      <c r="K1267" t="inlineStr"/>
      <c r="L1267" t="inlineStr"/>
      <c r="M1267" s="30">
        <f>0.005454*F1267^2</f>
        <v/>
      </c>
      <c r="N1267" s="31">
        <f>IF(D1267="BAF20",20/M1267,100)</f>
        <v/>
      </c>
      <c r="O1267" s="31">
        <f>M1267*N1267</f>
        <v/>
      </c>
      <c r="P1267" s="32">
        <f>1338.2*N1267</f>
        <v/>
      </c>
    </row>
    <row r="1268">
      <c r="A1268" t="inlineStr">
        <is>
          <t>U2-45</t>
        </is>
      </c>
      <c r="B1268" t="n">
        <v>2</v>
      </c>
      <c r="C1268" t="n">
        <v>8</v>
      </c>
      <c r="D1268" t="inlineStr">
        <is>
          <t>BAF20</t>
        </is>
      </c>
      <c r="E1268" t="inlineStr">
        <is>
          <t>PP</t>
        </is>
      </c>
      <c r="F1268" t="n">
        <v>33.4</v>
      </c>
      <c r="G1268" t="n">
        <v>116</v>
      </c>
      <c r="H1268" t="n">
        <v>1</v>
      </c>
      <c r="I1268" t="inlineStr">
        <is>
          <t>L</t>
        </is>
      </c>
      <c r="J1268" t="inlineStr">
        <is>
          <t>D</t>
        </is>
      </c>
      <c r="K1268" t="inlineStr"/>
      <c r="L1268" t="inlineStr"/>
      <c r="M1268" s="30">
        <f>0.005454*F1268^2</f>
        <v/>
      </c>
      <c r="N1268" s="31">
        <f>IF(D1268="BAF20",20/M1268,100)</f>
        <v/>
      </c>
      <c r="O1268" s="31">
        <f>M1268*N1268</f>
        <v/>
      </c>
      <c r="P1268" s="32">
        <f>1559.9*N1268</f>
        <v/>
      </c>
    </row>
    <row r="1269">
      <c r="A1269" t="inlineStr">
        <is>
          <t>U2-45</t>
        </is>
      </c>
      <c r="B1269" t="n">
        <v>2</v>
      </c>
      <c r="C1269" t="n">
        <v>9</v>
      </c>
      <c r="D1269" t="inlineStr">
        <is>
          <t>BAF20</t>
        </is>
      </c>
      <c r="E1269" t="inlineStr">
        <is>
          <t>PP</t>
        </is>
      </c>
      <c r="F1269" t="n">
        <v>11.7</v>
      </c>
      <c r="G1269" t="n">
        <v>57</v>
      </c>
      <c r="H1269" t="n">
        <v>12</v>
      </c>
      <c r="I1269" t="inlineStr">
        <is>
          <t>L</t>
        </is>
      </c>
      <c r="J1269" t="inlineStr">
        <is>
          <t>S</t>
        </is>
      </c>
      <c r="K1269" t="inlineStr">
        <is>
          <t>Y</t>
        </is>
      </c>
      <c r="L1269" t="inlineStr"/>
      <c r="M1269" s="30">
        <f>0.005454*F1269^2</f>
        <v/>
      </c>
      <c r="N1269" s="31">
        <f>IF(D1269="BAF20",20/M1269,100)</f>
        <v/>
      </c>
      <c r="O1269" s="31">
        <f>M1269*N1269</f>
        <v/>
      </c>
      <c r="P1269" s="32">
        <f>56.0*N1269</f>
        <v/>
      </c>
    </row>
    <row r="1270">
      <c r="A1270" t="inlineStr">
        <is>
          <t>U2-45</t>
        </is>
      </c>
      <c r="B1270" t="n">
        <v>2</v>
      </c>
      <c r="C1270" t="n">
        <v>10</v>
      </c>
      <c r="D1270" t="inlineStr">
        <is>
          <t>FIX100</t>
        </is>
      </c>
      <c r="E1270" t="inlineStr">
        <is>
          <t>IC</t>
        </is>
      </c>
      <c r="F1270" t="n">
        <v>4.5</v>
      </c>
      <c r="G1270" t="n">
        <v>17</v>
      </c>
      <c r="H1270" t="n">
        <v>0</v>
      </c>
      <c r="I1270" t="inlineStr">
        <is>
          <t>L</t>
        </is>
      </c>
      <c r="J1270" t="inlineStr">
        <is>
          <t>S</t>
        </is>
      </c>
      <c r="K1270" t="inlineStr"/>
      <c r="L1270" t="inlineStr"/>
      <c r="M1270" s="30">
        <f>0.005454*F1270^2</f>
        <v/>
      </c>
      <c r="N1270" s="31">
        <f>IF(D1270="BAF20",20/M1270,100)</f>
        <v/>
      </c>
      <c r="O1270" s="31">
        <f>M1270*N1270</f>
        <v/>
      </c>
      <c r="P1270" s="32">
        <f>0.0*N1270</f>
        <v/>
      </c>
    </row>
    <row r="1271">
      <c r="A1271" t="inlineStr">
        <is>
          <t>U2-45</t>
        </is>
      </c>
      <c r="B1271" t="n">
        <v>2</v>
      </c>
      <c r="C1271" t="n">
        <v>11</v>
      </c>
      <c r="D1271" t="inlineStr">
        <is>
          <t>FIX100</t>
        </is>
      </c>
      <c r="E1271" t="inlineStr">
        <is>
          <t>BO</t>
        </is>
      </c>
      <c r="F1271" t="n">
        <v>2.4</v>
      </c>
      <c r="G1271" t="n">
        <v>14</v>
      </c>
      <c r="H1271" t="n">
        <v>0</v>
      </c>
      <c r="I1271" t="inlineStr">
        <is>
          <t>L</t>
        </is>
      </c>
      <c r="J1271" t="inlineStr">
        <is>
          <t>S</t>
        </is>
      </c>
      <c r="K1271" t="inlineStr"/>
      <c r="L1271" t="inlineStr"/>
      <c r="M1271" s="30">
        <f>0.005454*F1271^2</f>
        <v/>
      </c>
      <c r="N1271" s="31">
        <f>IF(D1271="BAF20",20/M1271,100)</f>
        <v/>
      </c>
      <c r="O1271" s="31">
        <f>M1271*N1271</f>
        <v/>
      </c>
      <c r="P1271" s="32">
        <f>0.0*N1271</f>
        <v/>
      </c>
    </row>
    <row r="1272">
      <c r="A1272" t="inlineStr">
        <is>
          <t>U2-46</t>
        </is>
      </c>
      <c r="B1272" t="n">
        <v>2</v>
      </c>
      <c r="C1272" t="n">
        <v>1</v>
      </c>
      <c r="D1272" t="inlineStr">
        <is>
          <t>BAF20</t>
        </is>
      </c>
      <c r="E1272" t="inlineStr">
        <is>
          <t>WF</t>
        </is>
      </c>
      <c r="F1272" t="n">
        <v>24.9</v>
      </c>
      <c r="G1272" t="n">
        <v>102</v>
      </c>
      <c r="H1272" t="n">
        <v>9</v>
      </c>
      <c r="I1272" t="inlineStr">
        <is>
          <t>L</t>
        </is>
      </c>
      <c r="J1272" t="inlineStr">
        <is>
          <t>C</t>
        </is>
      </c>
      <c r="K1272" t="inlineStr"/>
      <c r="L1272" t="inlineStr"/>
      <c r="M1272" s="30">
        <f>0.005454*F1272^2</f>
        <v/>
      </c>
      <c r="N1272" s="31">
        <f>IF(D1272="BAF20",20/M1272,100)</f>
        <v/>
      </c>
      <c r="O1272" s="31">
        <f>M1272*N1272</f>
        <v/>
      </c>
      <c r="P1272" s="32">
        <f>610.0*N1272</f>
        <v/>
      </c>
    </row>
    <row r="1273">
      <c r="A1273" t="inlineStr">
        <is>
          <t>U2-46</t>
        </is>
      </c>
      <c r="B1273" t="n">
        <v>2</v>
      </c>
      <c r="C1273" t="n">
        <v>2</v>
      </c>
      <c r="D1273" t="inlineStr">
        <is>
          <t>BAF20</t>
        </is>
      </c>
      <c r="E1273" t="inlineStr">
        <is>
          <t>BO</t>
        </is>
      </c>
      <c r="F1273" t="n">
        <v>5</v>
      </c>
      <c r="G1273" t="n">
        <v>24</v>
      </c>
      <c r="H1273" t="n">
        <v>11</v>
      </c>
      <c r="I1273" t="inlineStr">
        <is>
          <t>L</t>
        </is>
      </c>
      <c r="J1273" t="inlineStr">
        <is>
          <t>S</t>
        </is>
      </c>
      <c r="K1273" t="inlineStr">
        <is>
          <t>Y</t>
        </is>
      </c>
      <c r="L1273" t="inlineStr"/>
      <c r="M1273" s="30">
        <f>0.005454*F1273^2</f>
        <v/>
      </c>
      <c r="N1273" s="31">
        <f>IF(D1273="BAF20",20/M1273,100)</f>
        <v/>
      </c>
      <c r="O1273" s="31">
        <f>M1273*N1273</f>
        <v/>
      </c>
      <c r="P1273" s="32">
        <f>0.0*N1273</f>
        <v/>
      </c>
    </row>
    <row r="1274">
      <c r="A1274" t="inlineStr">
        <is>
          <t>U2-46</t>
        </is>
      </c>
      <c r="B1274" t="n">
        <v>2</v>
      </c>
      <c r="C1274" t="n">
        <v>3</v>
      </c>
      <c r="D1274" t="inlineStr">
        <is>
          <t>BAF20</t>
        </is>
      </c>
      <c r="E1274" t="inlineStr">
        <is>
          <t>WF</t>
        </is>
      </c>
      <c r="F1274" t="n">
        <v>5</v>
      </c>
      <c r="G1274" t="n">
        <v>30</v>
      </c>
      <c r="H1274" t="n">
        <v>11</v>
      </c>
      <c r="I1274" t="inlineStr">
        <is>
          <t>L</t>
        </is>
      </c>
      <c r="J1274" t="inlineStr">
        <is>
          <t>S</t>
        </is>
      </c>
      <c r="K1274" t="inlineStr">
        <is>
          <t>Y</t>
        </is>
      </c>
      <c r="L1274" t="inlineStr"/>
      <c r="M1274" s="30">
        <f>0.005454*F1274^2</f>
        <v/>
      </c>
      <c r="N1274" s="31">
        <f>IF(D1274="BAF20",20/M1274,100)</f>
        <v/>
      </c>
      <c r="O1274" s="31">
        <f>M1274*N1274</f>
        <v/>
      </c>
      <c r="P1274" s="32">
        <f>0.0*N1274</f>
        <v/>
      </c>
    </row>
    <row r="1275">
      <c r="A1275" t="inlineStr">
        <is>
          <t>U2-46</t>
        </is>
      </c>
      <c r="B1275" t="n">
        <v>2</v>
      </c>
      <c r="C1275" t="n">
        <v>4</v>
      </c>
      <c r="D1275" t="inlineStr">
        <is>
          <t>BAF20</t>
        </is>
      </c>
      <c r="E1275" t="inlineStr">
        <is>
          <t>BO</t>
        </is>
      </c>
      <c r="F1275" t="n">
        <v>27.4</v>
      </c>
      <c r="G1275" t="n">
        <v>67</v>
      </c>
      <c r="H1275" t="n">
        <v>23</v>
      </c>
      <c r="I1275" t="inlineStr">
        <is>
          <t>L</t>
        </is>
      </c>
      <c r="J1275" t="inlineStr">
        <is>
          <t>D</t>
        </is>
      </c>
      <c r="K1275" t="inlineStr"/>
      <c r="L1275" t="inlineStr"/>
      <c r="M1275" s="30">
        <f>0.005454*F1275^2</f>
        <v/>
      </c>
      <c r="N1275" s="31">
        <f>IF(D1275="BAF20",20/M1275,100)</f>
        <v/>
      </c>
      <c r="O1275" s="31">
        <f>M1275*N1275</f>
        <v/>
      </c>
      <c r="P1275" s="32">
        <f>387.7*N1275</f>
        <v/>
      </c>
    </row>
    <row r="1276">
      <c r="A1276" t="inlineStr">
        <is>
          <t>U2-46</t>
        </is>
      </c>
      <c r="B1276" t="n">
        <v>2</v>
      </c>
      <c r="C1276" t="n">
        <v>5</v>
      </c>
      <c r="D1276" t="inlineStr">
        <is>
          <t>BAF20</t>
        </is>
      </c>
      <c r="E1276" t="inlineStr">
        <is>
          <t>WF</t>
        </is>
      </c>
      <c r="F1276" t="n">
        <v>23.9</v>
      </c>
      <c r="G1276" t="n">
        <v>88</v>
      </c>
      <c r="H1276" t="n">
        <v>9</v>
      </c>
      <c r="I1276" t="inlineStr">
        <is>
          <t>L</t>
        </is>
      </c>
      <c r="J1276" t="inlineStr">
        <is>
          <t>C</t>
        </is>
      </c>
      <c r="K1276" t="inlineStr"/>
      <c r="L1276" t="inlineStr"/>
      <c r="M1276" s="30">
        <f>0.005454*F1276^2</f>
        <v/>
      </c>
      <c r="N1276" s="31">
        <f>IF(D1276="BAF20",20/M1276,100)</f>
        <v/>
      </c>
      <c r="O1276" s="31">
        <f>M1276*N1276</f>
        <v/>
      </c>
      <c r="P1276" s="32">
        <f>476.3*N1276</f>
        <v/>
      </c>
    </row>
    <row r="1277">
      <c r="A1277" t="inlineStr">
        <is>
          <t>U2-46</t>
        </is>
      </c>
      <c r="B1277" t="n">
        <v>2</v>
      </c>
      <c r="C1277" t="n">
        <v>6</v>
      </c>
      <c r="D1277" t="inlineStr">
        <is>
          <t>BAF20</t>
        </is>
      </c>
      <c r="E1277" t="inlineStr">
        <is>
          <t>PP</t>
        </is>
      </c>
      <c r="F1277" t="n">
        <v>5</v>
      </c>
      <c r="G1277" t="n">
        <v>26</v>
      </c>
      <c r="H1277" t="n">
        <v>2</v>
      </c>
      <c r="I1277" t="inlineStr">
        <is>
          <t>L</t>
        </is>
      </c>
      <c r="J1277" t="inlineStr">
        <is>
          <t>S</t>
        </is>
      </c>
      <c r="K1277" t="inlineStr">
        <is>
          <t>Y</t>
        </is>
      </c>
      <c r="L1277" t="inlineStr"/>
      <c r="M1277" s="30">
        <f>0.005454*F1277^2</f>
        <v/>
      </c>
      <c r="N1277" s="31">
        <f>IF(D1277="BAF20",20/M1277,100)</f>
        <v/>
      </c>
      <c r="O1277" s="31">
        <f>M1277*N1277</f>
        <v/>
      </c>
      <c r="P1277" s="32">
        <f>0.0*N1277</f>
        <v/>
      </c>
    </row>
    <row r="1278">
      <c r="A1278" t="inlineStr">
        <is>
          <t>U2-46</t>
        </is>
      </c>
      <c r="B1278" t="n">
        <v>2</v>
      </c>
      <c r="C1278" t="n">
        <v>7</v>
      </c>
      <c r="D1278" t="inlineStr">
        <is>
          <t>BAF20</t>
        </is>
      </c>
      <c r="E1278" t="inlineStr">
        <is>
          <t>WF</t>
        </is>
      </c>
      <c r="F1278" t="n">
        <v>17</v>
      </c>
      <c r="G1278" t="n">
        <v>74</v>
      </c>
      <c r="H1278" t="n">
        <v>8</v>
      </c>
      <c r="I1278" t="inlineStr">
        <is>
          <t>L</t>
        </is>
      </c>
      <c r="J1278" t="inlineStr">
        <is>
          <t>I</t>
        </is>
      </c>
      <c r="K1278" t="inlineStr"/>
      <c r="L1278" t="inlineStr"/>
      <c r="M1278" s="30">
        <f>0.005454*F1278^2</f>
        <v/>
      </c>
      <c r="N1278" s="31">
        <f>IF(D1278="BAF20",20/M1278,100)</f>
        <v/>
      </c>
      <c r="O1278" s="31">
        <f>M1278*N1278</f>
        <v/>
      </c>
      <c r="P1278" s="32">
        <f>179.7*N1278</f>
        <v/>
      </c>
    </row>
    <row r="1279">
      <c r="A1279" t="inlineStr">
        <is>
          <t>U2-46</t>
        </is>
      </c>
      <c r="B1279" t="n">
        <v>2</v>
      </c>
      <c r="C1279" t="n">
        <v>8</v>
      </c>
      <c r="D1279" t="inlineStr">
        <is>
          <t>FIX100</t>
        </is>
      </c>
      <c r="E1279" t="inlineStr">
        <is>
          <t>WF</t>
        </is>
      </c>
      <c r="F1279" t="n">
        <v>1.2</v>
      </c>
      <c r="G1279" t="n">
        <v>9</v>
      </c>
      <c r="H1279" t="n">
        <v>0</v>
      </c>
      <c r="I1279" t="inlineStr">
        <is>
          <t>L</t>
        </is>
      </c>
      <c r="J1279" t="inlineStr">
        <is>
          <t>S</t>
        </is>
      </c>
      <c r="K1279" t="inlineStr"/>
      <c r="L1279" t="inlineStr"/>
      <c r="M1279" s="30">
        <f>0.005454*F1279^2</f>
        <v/>
      </c>
      <c r="N1279" s="31">
        <f>IF(D1279="BAF20",20/M1279,100)</f>
        <v/>
      </c>
      <c r="O1279" s="31">
        <f>M1279*N1279</f>
        <v/>
      </c>
      <c r="P1279" s="32">
        <f>0.0*N1279</f>
        <v/>
      </c>
    </row>
    <row r="1280">
      <c r="A1280" t="inlineStr">
        <is>
          <t>U2-46</t>
        </is>
      </c>
      <c r="B1280" t="n">
        <v>2</v>
      </c>
      <c r="C1280" t="n">
        <v>9</v>
      </c>
      <c r="D1280" t="inlineStr">
        <is>
          <t>FIX100</t>
        </is>
      </c>
      <c r="E1280" t="inlineStr">
        <is>
          <t>PP</t>
        </is>
      </c>
      <c r="F1280" t="n">
        <v>2.1</v>
      </c>
      <c r="G1280" t="n">
        <v>13</v>
      </c>
      <c r="H1280" t="n">
        <v>0</v>
      </c>
      <c r="I1280" t="inlineStr">
        <is>
          <t>L</t>
        </is>
      </c>
      <c r="J1280" t="inlineStr">
        <is>
          <t>S</t>
        </is>
      </c>
      <c r="K1280" t="inlineStr"/>
      <c r="L1280" t="inlineStr"/>
      <c r="M1280" s="30">
        <f>0.005454*F1280^2</f>
        <v/>
      </c>
      <c r="N1280" s="31">
        <f>IF(D1280="BAF20",20/M1280,100)</f>
        <v/>
      </c>
      <c r="O1280" s="31">
        <f>M1280*N1280</f>
        <v/>
      </c>
      <c r="P1280" s="32">
        <f>0.0*N1280</f>
        <v/>
      </c>
    </row>
    <row r="1281">
      <c r="A1281" t="inlineStr">
        <is>
          <t>U2-46</t>
        </is>
      </c>
      <c r="B1281" t="n">
        <v>2</v>
      </c>
      <c r="C1281" t="n">
        <v>10</v>
      </c>
      <c r="D1281" t="inlineStr">
        <is>
          <t>FIX100</t>
        </is>
      </c>
      <c r="E1281" t="inlineStr">
        <is>
          <t>IC</t>
        </is>
      </c>
      <c r="F1281" t="n">
        <v>1.7</v>
      </c>
      <c r="G1281" t="n">
        <v>10</v>
      </c>
      <c r="H1281" t="n">
        <v>0</v>
      </c>
      <c r="I1281" t="inlineStr">
        <is>
          <t>L</t>
        </is>
      </c>
      <c r="J1281" t="inlineStr">
        <is>
          <t>S</t>
        </is>
      </c>
      <c r="K1281" t="inlineStr"/>
      <c r="L1281" t="inlineStr"/>
      <c r="M1281" s="30">
        <f>0.005454*F1281^2</f>
        <v/>
      </c>
      <c r="N1281" s="31">
        <f>IF(D1281="BAF20",20/M1281,100)</f>
        <v/>
      </c>
      <c r="O1281" s="31">
        <f>M1281*N1281</f>
        <v/>
      </c>
      <c r="P1281" s="32">
        <f>0.0*N1281</f>
        <v/>
      </c>
    </row>
    <row r="1282">
      <c r="A1282" t="inlineStr">
        <is>
          <t>U2-47</t>
        </is>
      </c>
      <c r="B1282" t="n">
        <v>2</v>
      </c>
      <c r="C1282" t="n">
        <v>1</v>
      </c>
      <c r="D1282" t="inlineStr">
        <is>
          <t>BAF20</t>
        </is>
      </c>
      <c r="E1282" t="inlineStr">
        <is>
          <t>PP</t>
        </is>
      </c>
      <c r="F1282" t="n">
        <v>7.7</v>
      </c>
      <c r="G1282" t="n">
        <v>39</v>
      </c>
      <c r="H1282" t="n">
        <v>1</v>
      </c>
      <c r="I1282" t="inlineStr">
        <is>
          <t>L</t>
        </is>
      </c>
      <c r="J1282" t="inlineStr">
        <is>
          <t>S</t>
        </is>
      </c>
      <c r="K1282" t="inlineStr">
        <is>
          <t>Y</t>
        </is>
      </c>
      <c r="L1282" t="inlineStr"/>
      <c r="M1282" s="30">
        <f>0.005454*F1282^2</f>
        <v/>
      </c>
      <c r="N1282" s="31">
        <f>IF(D1282="BAF20",20/M1282,100)</f>
        <v/>
      </c>
      <c r="O1282" s="31">
        <f>M1282*N1282</f>
        <v/>
      </c>
      <c r="P1282" s="32">
        <f>0.0*N1282</f>
        <v/>
      </c>
    </row>
    <row r="1283">
      <c r="A1283" t="inlineStr">
        <is>
          <t>U2-47</t>
        </is>
      </c>
      <c r="B1283" t="n">
        <v>2</v>
      </c>
      <c r="C1283" t="n">
        <v>2</v>
      </c>
      <c r="D1283" t="inlineStr">
        <is>
          <t>BAF20</t>
        </is>
      </c>
      <c r="E1283" t="inlineStr">
        <is>
          <t>IC</t>
        </is>
      </c>
      <c r="F1283" t="n">
        <v>16.6</v>
      </c>
      <c r="G1283" t="n">
        <v>52</v>
      </c>
      <c r="H1283" t="n">
        <v>7</v>
      </c>
      <c r="I1283" t="inlineStr">
        <is>
          <t>L</t>
        </is>
      </c>
      <c r="J1283" t="inlineStr">
        <is>
          <t>I</t>
        </is>
      </c>
      <c r="K1283" t="inlineStr"/>
      <c r="L1283" t="inlineStr"/>
      <c r="M1283" s="30">
        <f>0.005454*F1283^2</f>
        <v/>
      </c>
      <c r="N1283" s="31">
        <f>IF(D1283="BAF20",20/M1283,100)</f>
        <v/>
      </c>
      <c r="O1283" s="31">
        <f>M1283*N1283</f>
        <v/>
      </c>
      <c r="P1283" s="32">
        <f>120.7*N1283</f>
        <v/>
      </c>
    </row>
    <row r="1284">
      <c r="A1284" t="inlineStr">
        <is>
          <t>U2-47</t>
        </is>
      </c>
      <c r="B1284" t="n">
        <v>2</v>
      </c>
      <c r="C1284" t="n">
        <v>3</v>
      </c>
      <c r="D1284" t="inlineStr">
        <is>
          <t>BAF20</t>
        </is>
      </c>
      <c r="E1284" t="inlineStr">
        <is>
          <t>IC</t>
        </is>
      </c>
      <c r="F1284" t="n">
        <v>32.4</v>
      </c>
      <c r="G1284" t="n">
        <v>87</v>
      </c>
      <c r="H1284" t="n">
        <v>22</v>
      </c>
      <c r="I1284" t="inlineStr">
        <is>
          <t>L</t>
        </is>
      </c>
      <c r="J1284" t="inlineStr">
        <is>
          <t>D</t>
        </is>
      </c>
      <c r="K1284" t="inlineStr"/>
      <c r="L1284" t="inlineStr"/>
      <c r="M1284" s="30">
        <f>0.005454*F1284^2</f>
        <v/>
      </c>
      <c r="N1284" s="31">
        <f>IF(D1284="BAF20",20/M1284,100)</f>
        <v/>
      </c>
      <c r="O1284" s="31">
        <f>M1284*N1284</f>
        <v/>
      </c>
      <c r="P1284" s="32">
        <f>854.2*N1284</f>
        <v/>
      </c>
    </row>
    <row r="1285">
      <c r="A1285" t="inlineStr">
        <is>
          <t>U2-47</t>
        </is>
      </c>
      <c r="B1285" t="n">
        <v>2</v>
      </c>
      <c r="C1285" t="n">
        <v>4</v>
      </c>
      <c r="D1285" t="inlineStr">
        <is>
          <t>BAF20</t>
        </is>
      </c>
      <c r="E1285" t="inlineStr">
        <is>
          <t>PP</t>
        </is>
      </c>
      <c r="F1285" t="n">
        <v>11</v>
      </c>
      <c r="G1285" t="n">
        <v>54</v>
      </c>
      <c r="H1285" t="n">
        <v>0</v>
      </c>
      <c r="I1285" t="inlineStr">
        <is>
          <t>L</t>
        </is>
      </c>
      <c r="J1285" t="inlineStr">
        <is>
          <t>S</t>
        </is>
      </c>
      <c r="K1285" t="inlineStr">
        <is>
          <t>Y</t>
        </is>
      </c>
      <c r="L1285" t="inlineStr"/>
      <c r="M1285" s="30">
        <f>0.005454*F1285^2</f>
        <v/>
      </c>
      <c r="N1285" s="31">
        <f>IF(D1285="BAF20",20/M1285,100)</f>
        <v/>
      </c>
      <c r="O1285" s="31">
        <f>M1285*N1285</f>
        <v/>
      </c>
      <c r="P1285" s="32">
        <f>52.4*N1285</f>
        <v/>
      </c>
    </row>
    <row r="1286">
      <c r="A1286" t="inlineStr">
        <is>
          <t>U2-47</t>
        </is>
      </c>
      <c r="B1286" t="n">
        <v>2</v>
      </c>
      <c r="C1286" t="n">
        <v>5</v>
      </c>
      <c r="D1286" t="inlineStr">
        <is>
          <t>BAF20</t>
        </is>
      </c>
      <c r="E1286" t="inlineStr">
        <is>
          <t>IC</t>
        </is>
      </c>
      <c r="F1286" t="n">
        <v>18</v>
      </c>
      <c r="G1286" t="n">
        <v>70</v>
      </c>
      <c r="H1286" t="n">
        <v>2</v>
      </c>
      <c r="I1286" t="inlineStr">
        <is>
          <t>L</t>
        </is>
      </c>
      <c r="J1286" t="inlineStr">
        <is>
          <t>I</t>
        </is>
      </c>
      <c r="K1286" t="inlineStr"/>
      <c r="L1286" t="inlineStr"/>
      <c r="M1286" s="30">
        <f>0.005454*F1286^2</f>
        <v/>
      </c>
      <c r="N1286" s="31">
        <f>IF(D1286="BAF20",20/M1286,100)</f>
        <v/>
      </c>
      <c r="O1286" s="31">
        <f>M1286*N1286</f>
        <v/>
      </c>
      <c r="P1286" s="32">
        <f>207.1*N1286</f>
        <v/>
      </c>
    </row>
    <row r="1287">
      <c r="A1287" t="inlineStr">
        <is>
          <t>U2-47</t>
        </is>
      </c>
      <c r="B1287" t="n">
        <v>2</v>
      </c>
      <c r="C1287" t="n">
        <v>6</v>
      </c>
      <c r="D1287" t="inlineStr">
        <is>
          <t>BAF20</t>
        </is>
      </c>
      <c r="E1287" t="inlineStr">
        <is>
          <t>PP</t>
        </is>
      </c>
      <c r="F1287" t="n">
        <v>5</v>
      </c>
      <c r="G1287" t="n">
        <v>29</v>
      </c>
      <c r="H1287" t="n">
        <v>7</v>
      </c>
      <c r="I1287" t="inlineStr">
        <is>
          <t>L</t>
        </is>
      </c>
      <c r="J1287" t="inlineStr">
        <is>
          <t>S</t>
        </is>
      </c>
      <c r="K1287" t="inlineStr">
        <is>
          <t>Y</t>
        </is>
      </c>
      <c r="L1287" t="inlineStr"/>
      <c r="M1287" s="30">
        <f>0.005454*F1287^2</f>
        <v/>
      </c>
      <c r="N1287" s="31">
        <f>IF(D1287="BAF20",20/M1287,100)</f>
        <v/>
      </c>
      <c r="O1287" s="31">
        <f>M1287*N1287</f>
        <v/>
      </c>
      <c r="P1287" s="32">
        <f>0.0*N1287</f>
        <v/>
      </c>
    </row>
    <row r="1288">
      <c r="A1288" t="inlineStr">
        <is>
          <t>U2-47</t>
        </is>
      </c>
      <c r="B1288" t="n">
        <v>2</v>
      </c>
      <c r="C1288" t="n">
        <v>7</v>
      </c>
      <c r="D1288" t="inlineStr">
        <is>
          <t>BAF20</t>
        </is>
      </c>
      <c r="E1288" t="inlineStr">
        <is>
          <t>BO</t>
        </is>
      </c>
      <c r="F1288" t="n">
        <v>10.9</v>
      </c>
      <c r="G1288" t="n">
        <v>40</v>
      </c>
      <c r="H1288" t="n">
        <v>20</v>
      </c>
      <c r="I1288" t="inlineStr">
        <is>
          <t>L</t>
        </is>
      </c>
      <c r="J1288" t="inlineStr">
        <is>
          <t>S</t>
        </is>
      </c>
      <c r="K1288" t="inlineStr">
        <is>
          <t>Y</t>
        </is>
      </c>
      <c r="L1288" t="inlineStr"/>
      <c r="M1288" s="30">
        <f>0.005454*F1288^2</f>
        <v/>
      </c>
      <c r="N1288" s="31">
        <f>IF(D1288="BAF20",20/M1288,100)</f>
        <v/>
      </c>
      <c r="O1288" s="31">
        <f>M1288*N1288</f>
        <v/>
      </c>
      <c r="P1288" s="32">
        <f>27.5*N1288</f>
        <v/>
      </c>
    </row>
    <row r="1289">
      <c r="A1289" t="inlineStr">
        <is>
          <t>U2-47</t>
        </is>
      </c>
      <c r="B1289" t="n">
        <v>2</v>
      </c>
      <c r="C1289" t="n">
        <v>8</v>
      </c>
      <c r="D1289" t="inlineStr">
        <is>
          <t>BAF20</t>
        </is>
      </c>
      <c r="E1289" t="inlineStr">
        <is>
          <t>IC</t>
        </is>
      </c>
      <c r="F1289" t="n">
        <v>10.2</v>
      </c>
      <c r="G1289" t="n">
        <v>46</v>
      </c>
      <c r="H1289" t="n">
        <v>5</v>
      </c>
      <c r="I1289" t="inlineStr">
        <is>
          <t>L</t>
        </is>
      </c>
      <c r="J1289" t="inlineStr">
        <is>
          <t>S</t>
        </is>
      </c>
      <c r="K1289" t="inlineStr">
        <is>
          <t>Y</t>
        </is>
      </c>
      <c r="L1289" t="inlineStr"/>
      <c r="M1289" s="30">
        <f>0.005454*F1289^2</f>
        <v/>
      </c>
      <c r="N1289" s="31">
        <f>IF(D1289="BAF20",20/M1289,100)</f>
        <v/>
      </c>
      <c r="O1289" s="31">
        <f>M1289*N1289</f>
        <v/>
      </c>
      <c r="P1289" s="32">
        <f>35.8*N1289</f>
        <v/>
      </c>
    </row>
    <row r="1290">
      <c r="A1290" t="inlineStr">
        <is>
          <t>U2-47</t>
        </is>
      </c>
      <c r="B1290" t="n">
        <v>2</v>
      </c>
      <c r="C1290" t="n">
        <v>9</v>
      </c>
      <c r="D1290" t="inlineStr">
        <is>
          <t>BAF20</t>
        </is>
      </c>
      <c r="E1290" t="inlineStr">
        <is>
          <t>IC</t>
        </is>
      </c>
      <c r="F1290" t="n">
        <v>6.4</v>
      </c>
      <c r="G1290" t="n">
        <v>27</v>
      </c>
      <c r="H1290" t="n">
        <v>18</v>
      </c>
      <c r="I1290" t="inlineStr">
        <is>
          <t>L</t>
        </is>
      </c>
      <c r="J1290" t="inlineStr">
        <is>
          <t>S</t>
        </is>
      </c>
      <c r="K1290" t="inlineStr">
        <is>
          <t>Y</t>
        </is>
      </c>
      <c r="L1290" t="inlineStr"/>
      <c r="M1290" s="30">
        <f>0.005454*F1290^2</f>
        <v/>
      </c>
      <c r="N1290" s="31">
        <f>IF(D1290="BAF20",20/M1290,100)</f>
        <v/>
      </c>
      <c r="O1290" s="31">
        <f>M1290*N1290</f>
        <v/>
      </c>
      <c r="P1290" s="32">
        <f>0.0*N1290</f>
        <v/>
      </c>
    </row>
    <row r="1291">
      <c r="A1291" t="inlineStr">
        <is>
          <t>U2-47</t>
        </is>
      </c>
      <c r="B1291" t="n">
        <v>2</v>
      </c>
      <c r="C1291" t="n">
        <v>10</v>
      </c>
      <c r="D1291" t="inlineStr">
        <is>
          <t>BAF20</t>
        </is>
      </c>
      <c r="E1291" t="inlineStr">
        <is>
          <t>WF</t>
        </is>
      </c>
      <c r="F1291" t="n">
        <v>8.800000000000001</v>
      </c>
      <c r="G1291" t="n">
        <v>41</v>
      </c>
      <c r="H1291" t="n">
        <v>6</v>
      </c>
      <c r="I1291" t="inlineStr">
        <is>
          <t>L</t>
        </is>
      </c>
      <c r="J1291" t="inlineStr">
        <is>
          <t>S</t>
        </is>
      </c>
      <c r="K1291" t="inlineStr">
        <is>
          <t>Y</t>
        </is>
      </c>
      <c r="L1291" t="inlineStr"/>
      <c r="M1291" s="30">
        <f>0.005454*F1291^2</f>
        <v/>
      </c>
      <c r="N1291" s="31">
        <f>IF(D1291="BAF20",20/M1291,100)</f>
        <v/>
      </c>
      <c r="O1291" s="31">
        <f>M1291*N1291</f>
        <v/>
      </c>
      <c r="P1291" s="32">
        <f>0.0*N1291</f>
        <v/>
      </c>
    </row>
    <row r="1292">
      <c r="A1292" t="inlineStr">
        <is>
          <t>U2-47</t>
        </is>
      </c>
      <c r="B1292" t="n">
        <v>2</v>
      </c>
      <c r="C1292" t="n">
        <v>11</v>
      </c>
      <c r="D1292" t="inlineStr">
        <is>
          <t>BAF20</t>
        </is>
      </c>
      <c r="E1292" t="inlineStr">
        <is>
          <t>BO</t>
        </is>
      </c>
      <c r="F1292" t="n">
        <v>6.3</v>
      </c>
      <c r="G1292" t="n">
        <v>28</v>
      </c>
      <c r="H1292" t="n">
        <v>13</v>
      </c>
      <c r="I1292" t="inlineStr">
        <is>
          <t>L</t>
        </is>
      </c>
      <c r="J1292" t="inlineStr">
        <is>
          <t>S</t>
        </is>
      </c>
      <c r="K1292" t="inlineStr">
        <is>
          <t>Y</t>
        </is>
      </c>
      <c r="L1292" t="inlineStr"/>
      <c r="M1292" s="30">
        <f>0.005454*F1292^2</f>
        <v/>
      </c>
      <c r="N1292" s="31">
        <f>IF(D1292="BAF20",20/M1292,100)</f>
        <v/>
      </c>
      <c r="O1292" s="31">
        <f>M1292*N1292</f>
        <v/>
      </c>
      <c r="P1292" s="32">
        <f>0.0*N1292</f>
        <v/>
      </c>
    </row>
    <row r="1293">
      <c r="A1293" t="inlineStr">
        <is>
          <t>U2-47</t>
        </is>
      </c>
      <c r="B1293" t="n">
        <v>2</v>
      </c>
      <c r="C1293" t="n">
        <v>12</v>
      </c>
      <c r="D1293" t="inlineStr">
        <is>
          <t>BAF20</t>
        </is>
      </c>
      <c r="E1293" t="inlineStr">
        <is>
          <t>PP</t>
        </is>
      </c>
      <c r="F1293" t="n">
        <v>20</v>
      </c>
      <c r="G1293" t="n">
        <v>97</v>
      </c>
      <c r="H1293" t="n">
        <v>5</v>
      </c>
      <c r="I1293" t="inlineStr">
        <is>
          <t>L</t>
        </is>
      </c>
      <c r="J1293" t="inlineStr">
        <is>
          <t>C</t>
        </is>
      </c>
      <c r="K1293" t="inlineStr"/>
      <c r="L1293" t="inlineStr"/>
      <c r="M1293" s="30">
        <f>0.005454*F1293^2</f>
        <v/>
      </c>
      <c r="N1293" s="31">
        <f>IF(D1293="BAF20",20/M1293,100)</f>
        <v/>
      </c>
      <c r="O1293" s="31">
        <f>M1293*N1293</f>
        <v/>
      </c>
      <c r="P1293" s="32">
        <f>357.2*N1293</f>
        <v/>
      </c>
    </row>
    <row r="1294">
      <c r="A1294" t="inlineStr">
        <is>
          <t>U2-47</t>
        </is>
      </c>
      <c r="B1294" t="n">
        <v>2</v>
      </c>
      <c r="C1294" t="n">
        <v>13</v>
      </c>
      <c r="D1294" t="inlineStr">
        <is>
          <t>BAF20</t>
        </is>
      </c>
      <c r="E1294" t="inlineStr">
        <is>
          <t>PP</t>
        </is>
      </c>
      <c r="F1294" t="n">
        <v>17.3</v>
      </c>
      <c r="G1294" t="n">
        <v>84</v>
      </c>
      <c r="H1294" t="n">
        <v>100</v>
      </c>
      <c r="I1294" t="inlineStr">
        <is>
          <t>D</t>
        </is>
      </c>
      <c r="J1294" t="inlineStr">
        <is>
          <t>I</t>
        </is>
      </c>
      <c r="K1294" t="inlineStr"/>
      <c r="L1294" t="inlineStr"/>
      <c r="M1294" s="30">
        <f>0.005454*F1294^2</f>
        <v/>
      </c>
      <c r="N1294" s="31">
        <f>IF(D1294="BAF20",20/M1294,100)</f>
        <v/>
      </c>
      <c r="O1294" s="31">
        <f>M1294*N1294</f>
        <v/>
      </c>
      <c r="P1294" s="32">
        <f>0.0*N1294</f>
        <v/>
      </c>
    </row>
    <row r="1295">
      <c r="A1295" t="inlineStr">
        <is>
          <t>U2-47</t>
        </is>
      </c>
      <c r="B1295" t="n">
        <v>2</v>
      </c>
      <c r="C1295" t="n">
        <v>14</v>
      </c>
      <c r="D1295" t="inlineStr">
        <is>
          <t>BAF20</t>
        </is>
      </c>
      <c r="E1295" t="inlineStr">
        <is>
          <t>IC</t>
        </is>
      </c>
      <c r="F1295" t="n">
        <v>35.2</v>
      </c>
      <c r="G1295" t="n">
        <v>118</v>
      </c>
      <c r="H1295" t="n">
        <v>5</v>
      </c>
      <c r="I1295" t="inlineStr">
        <is>
          <t>L</t>
        </is>
      </c>
      <c r="J1295" t="inlineStr">
        <is>
          <t>D</t>
        </is>
      </c>
      <c r="K1295" t="inlineStr"/>
      <c r="L1295" t="inlineStr"/>
      <c r="M1295" s="30">
        <f>0.005454*F1295^2</f>
        <v/>
      </c>
      <c r="N1295" s="31">
        <f>IF(D1295="BAF20",20/M1295,100)</f>
        <v/>
      </c>
      <c r="O1295" s="31">
        <f>M1295*N1295</f>
        <v/>
      </c>
      <c r="P1295" s="32">
        <f>1737.6*N1295</f>
        <v/>
      </c>
    </row>
    <row r="1296">
      <c r="A1296" t="inlineStr">
        <is>
          <t>U2-47</t>
        </is>
      </c>
      <c r="B1296" t="n">
        <v>2</v>
      </c>
      <c r="C1296" t="n">
        <v>15</v>
      </c>
      <c r="D1296" t="inlineStr">
        <is>
          <t>BAF20</t>
        </is>
      </c>
      <c r="E1296" t="inlineStr">
        <is>
          <t>PP</t>
        </is>
      </c>
      <c r="F1296" t="n">
        <v>19.8</v>
      </c>
      <c r="G1296" t="n">
        <v>88</v>
      </c>
      <c r="H1296" t="n">
        <v>1</v>
      </c>
      <c r="I1296" t="inlineStr">
        <is>
          <t>L</t>
        </is>
      </c>
      <c r="J1296" t="inlineStr">
        <is>
          <t>C</t>
        </is>
      </c>
      <c r="K1296" t="inlineStr"/>
      <c r="L1296" t="inlineStr"/>
      <c r="M1296" s="30">
        <f>0.005454*F1296^2</f>
        <v/>
      </c>
      <c r="N1296" s="31">
        <f>IF(D1296="BAF20",20/M1296,100)</f>
        <v/>
      </c>
      <c r="O1296" s="31">
        <f>M1296*N1296</f>
        <v/>
      </c>
      <c r="P1296" s="32">
        <f>329.7*N1296</f>
        <v/>
      </c>
    </row>
    <row r="1297">
      <c r="A1297" t="inlineStr">
        <is>
          <t>U2-47</t>
        </is>
      </c>
      <c r="B1297" t="n">
        <v>2</v>
      </c>
      <c r="C1297" t="n">
        <v>16</v>
      </c>
      <c r="D1297" t="inlineStr">
        <is>
          <t>FIX100</t>
        </is>
      </c>
      <c r="E1297" t="inlineStr">
        <is>
          <t>IC</t>
        </is>
      </c>
      <c r="F1297" t="n">
        <v>3.8</v>
      </c>
      <c r="G1297" t="n">
        <v>17</v>
      </c>
      <c r="H1297" t="n">
        <v>0</v>
      </c>
      <c r="I1297" t="inlineStr">
        <is>
          <t>L</t>
        </is>
      </c>
      <c r="J1297" t="inlineStr">
        <is>
          <t>S</t>
        </is>
      </c>
      <c r="K1297" t="inlineStr"/>
      <c r="L1297" t="inlineStr"/>
      <c r="M1297" s="30">
        <f>0.005454*F1297^2</f>
        <v/>
      </c>
      <c r="N1297" s="31">
        <f>IF(D1297="BAF20",20/M1297,100)</f>
        <v/>
      </c>
      <c r="O1297" s="31">
        <f>M1297*N1297</f>
        <v/>
      </c>
      <c r="P1297" s="32">
        <f>0.0*N1297</f>
        <v/>
      </c>
    </row>
    <row r="1298">
      <c r="A1298" t="inlineStr">
        <is>
          <t>U2-47</t>
        </is>
      </c>
      <c r="B1298" t="n">
        <v>2</v>
      </c>
      <c r="C1298" t="n">
        <v>17</v>
      </c>
      <c r="D1298" t="inlineStr">
        <is>
          <t>FIX100</t>
        </is>
      </c>
      <c r="E1298" t="inlineStr">
        <is>
          <t>WF</t>
        </is>
      </c>
      <c r="F1298" t="n">
        <v>3.2</v>
      </c>
      <c r="G1298" t="n">
        <v>16</v>
      </c>
      <c r="H1298" t="n">
        <v>0</v>
      </c>
      <c r="I1298" t="inlineStr">
        <is>
          <t>L</t>
        </is>
      </c>
      <c r="J1298" t="inlineStr">
        <is>
          <t>S</t>
        </is>
      </c>
      <c r="K1298" t="inlineStr"/>
      <c r="L1298" t="inlineStr"/>
      <c r="M1298" s="30">
        <f>0.005454*F1298^2</f>
        <v/>
      </c>
      <c r="N1298" s="31">
        <f>IF(D1298="BAF20",20/M1298,100)</f>
        <v/>
      </c>
      <c r="O1298" s="31">
        <f>M1298*N1298</f>
        <v/>
      </c>
      <c r="P1298" s="32">
        <f>0.0*N1298</f>
        <v/>
      </c>
    </row>
    <row r="1299">
      <c r="A1299" t="inlineStr">
        <is>
          <t>U2-47</t>
        </is>
      </c>
      <c r="B1299" t="n">
        <v>2</v>
      </c>
      <c r="C1299" t="n">
        <v>18</v>
      </c>
      <c r="D1299" t="inlineStr">
        <is>
          <t>FIX100</t>
        </is>
      </c>
      <c r="E1299" t="inlineStr">
        <is>
          <t>PP</t>
        </is>
      </c>
      <c r="F1299" t="n">
        <v>3</v>
      </c>
      <c r="G1299" t="n">
        <v>19</v>
      </c>
      <c r="H1299" t="n">
        <v>0</v>
      </c>
      <c r="I1299" t="inlineStr">
        <is>
          <t>L</t>
        </is>
      </c>
      <c r="J1299" t="inlineStr">
        <is>
          <t>S</t>
        </is>
      </c>
      <c r="K1299" t="inlineStr"/>
      <c r="L1299" t="inlineStr"/>
      <c r="M1299" s="30">
        <f>0.005454*F1299^2</f>
        <v/>
      </c>
      <c r="N1299" s="31">
        <f>IF(D1299="BAF20",20/M1299,100)</f>
        <v/>
      </c>
      <c r="O1299" s="31">
        <f>M1299*N1299</f>
        <v/>
      </c>
      <c r="P1299" s="32">
        <f>0.0*N1299</f>
        <v/>
      </c>
    </row>
    <row r="1300">
      <c r="A1300" t="inlineStr">
        <is>
          <t>U3-01</t>
        </is>
      </c>
      <c r="B1300" t="n">
        <v>3</v>
      </c>
      <c r="C1300" t="n">
        <v>1</v>
      </c>
      <c r="D1300" t="inlineStr">
        <is>
          <t>BAF20</t>
        </is>
      </c>
      <c r="E1300" t="inlineStr">
        <is>
          <t>DF</t>
        </is>
      </c>
      <c r="F1300" t="n">
        <v>24.2</v>
      </c>
      <c r="G1300" t="n">
        <v>108</v>
      </c>
      <c r="H1300" t="n">
        <v>7</v>
      </c>
      <c r="I1300" t="inlineStr">
        <is>
          <t>L</t>
        </is>
      </c>
      <c r="J1300" t="inlineStr">
        <is>
          <t>C</t>
        </is>
      </c>
      <c r="K1300" t="inlineStr"/>
      <c r="L1300" t="inlineStr"/>
      <c r="M1300" s="30">
        <f>0.005454*F1300^2</f>
        <v/>
      </c>
      <c r="N1300" s="31">
        <f>IF(D1300="BAF20",20/M1300,100)</f>
        <v/>
      </c>
      <c r="O1300" s="31">
        <f>M1300*N1300</f>
        <v/>
      </c>
      <c r="P1300" s="32">
        <f>615.8*N1300</f>
        <v/>
      </c>
    </row>
    <row r="1301">
      <c r="A1301" t="inlineStr">
        <is>
          <t>U3-01</t>
        </is>
      </c>
      <c r="B1301" t="n">
        <v>3</v>
      </c>
      <c r="C1301" t="n">
        <v>2</v>
      </c>
      <c r="D1301" t="inlineStr">
        <is>
          <t>BAF20</t>
        </is>
      </c>
      <c r="E1301" t="inlineStr">
        <is>
          <t>IC</t>
        </is>
      </c>
      <c r="F1301" t="n">
        <v>26.1</v>
      </c>
      <c r="G1301" t="n">
        <v>89</v>
      </c>
      <c r="H1301" t="n">
        <v>100</v>
      </c>
      <c r="I1301" t="inlineStr">
        <is>
          <t>D</t>
        </is>
      </c>
      <c r="J1301" t="inlineStr">
        <is>
          <t>D</t>
        </is>
      </c>
      <c r="K1301" t="inlineStr"/>
      <c r="L1301" t="inlineStr"/>
      <c r="M1301" s="30">
        <f>0.005454*F1301^2</f>
        <v/>
      </c>
      <c r="N1301" s="31">
        <f>IF(D1301="BAF20",20/M1301,100)</f>
        <v/>
      </c>
      <c r="O1301" s="31">
        <f>M1301*N1301</f>
        <v/>
      </c>
      <c r="P1301" s="32">
        <f>0.0*N1301</f>
        <v/>
      </c>
    </row>
    <row r="1302">
      <c r="A1302" t="inlineStr">
        <is>
          <t>U3-01</t>
        </is>
      </c>
      <c r="B1302" t="n">
        <v>3</v>
      </c>
      <c r="C1302" t="n">
        <v>3</v>
      </c>
      <c r="D1302" t="inlineStr">
        <is>
          <t>BAF20</t>
        </is>
      </c>
      <c r="E1302" t="inlineStr">
        <is>
          <t>SP</t>
        </is>
      </c>
      <c r="F1302" t="n">
        <v>30.9</v>
      </c>
      <c r="G1302" t="n">
        <v>130</v>
      </c>
      <c r="H1302" t="n">
        <v>9</v>
      </c>
      <c r="I1302" t="inlineStr">
        <is>
          <t>L</t>
        </is>
      </c>
      <c r="J1302" t="inlineStr">
        <is>
          <t>D</t>
        </is>
      </c>
      <c r="K1302" t="inlineStr"/>
      <c r="L1302" t="inlineStr"/>
      <c r="M1302" s="30">
        <f>0.005454*F1302^2</f>
        <v/>
      </c>
      <c r="N1302" s="31">
        <f>IF(D1302="BAF20",20/M1302,100)</f>
        <v/>
      </c>
      <c r="O1302" s="31">
        <f>M1302*N1302</f>
        <v/>
      </c>
      <c r="P1302" s="32">
        <f>1322.9*N1302</f>
        <v/>
      </c>
    </row>
    <row r="1303">
      <c r="A1303" t="inlineStr">
        <is>
          <t>U3-01</t>
        </is>
      </c>
      <c r="B1303" t="n">
        <v>3</v>
      </c>
      <c r="C1303" t="n">
        <v>4</v>
      </c>
      <c r="D1303" t="inlineStr">
        <is>
          <t>BAF20</t>
        </is>
      </c>
      <c r="E1303" t="inlineStr">
        <is>
          <t>WF</t>
        </is>
      </c>
      <c r="F1303" t="n">
        <v>18</v>
      </c>
      <c r="G1303" t="n">
        <v>94</v>
      </c>
      <c r="H1303" t="n">
        <v>12</v>
      </c>
      <c r="I1303" t="inlineStr">
        <is>
          <t>L</t>
        </is>
      </c>
      <c r="J1303" t="inlineStr">
        <is>
          <t>I</t>
        </is>
      </c>
      <c r="K1303" t="inlineStr"/>
      <c r="L1303" t="inlineStr"/>
      <c r="M1303" s="30">
        <f>0.005454*F1303^2</f>
        <v/>
      </c>
      <c r="N1303" s="31">
        <f>IF(D1303="BAF20",20/M1303,100)</f>
        <v/>
      </c>
      <c r="O1303" s="31">
        <f>M1303*N1303</f>
        <v/>
      </c>
      <c r="P1303" s="32">
        <f>249.7*N1303</f>
        <v/>
      </c>
    </row>
    <row r="1304">
      <c r="A1304" t="inlineStr">
        <is>
          <t>U3-01</t>
        </is>
      </c>
      <c r="B1304" t="n">
        <v>3</v>
      </c>
      <c r="C1304" t="n">
        <v>5</v>
      </c>
      <c r="D1304" t="inlineStr">
        <is>
          <t>BAF20</t>
        </is>
      </c>
      <c r="E1304" t="inlineStr">
        <is>
          <t>WF</t>
        </is>
      </c>
      <c r="F1304" t="n">
        <v>10.6</v>
      </c>
      <c r="G1304" t="n">
        <v>50</v>
      </c>
      <c r="H1304" t="n">
        <v>6</v>
      </c>
      <c r="I1304" t="inlineStr">
        <is>
          <t>L</t>
        </is>
      </c>
      <c r="J1304" t="inlineStr">
        <is>
          <t>S</t>
        </is>
      </c>
      <c r="K1304" t="inlineStr">
        <is>
          <t>Y</t>
        </is>
      </c>
      <c r="L1304" t="inlineStr"/>
      <c r="M1304" s="30">
        <f>0.005454*F1304^2</f>
        <v/>
      </c>
      <c r="N1304" s="31">
        <f>IF(D1304="BAF20",20/M1304,100)</f>
        <v/>
      </c>
      <c r="O1304" s="31">
        <f>M1304*N1304</f>
        <v/>
      </c>
      <c r="P1304" s="32">
        <f>42.0*N1304</f>
        <v/>
      </c>
    </row>
    <row r="1305">
      <c r="A1305" t="inlineStr">
        <is>
          <t>U3-01</t>
        </is>
      </c>
      <c r="B1305" t="n">
        <v>3</v>
      </c>
      <c r="C1305" t="n">
        <v>6</v>
      </c>
      <c r="D1305" t="inlineStr">
        <is>
          <t>BAF20</t>
        </is>
      </c>
      <c r="E1305" t="inlineStr">
        <is>
          <t>SP</t>
        </is>
      </c>
      <c r="F1305" t="n">
        <v>18.7</v>
      </c>
      <c r="G1305" t="n">
        <v>86</v>
      </c>
      <c r="H1305" t="n">
        <v>100</v>
      </c>
      <c r="I1305" t="inlineStr">
        <is>
          <t>D</t>
        </is>
      </c>
      <c r="J1305" t="inlineStr">
        <is>
          <t>I</t>
        </is>
      </c>
      <c r="K1305" t="inlineStr"/>
      <c r="L1305" t="inlineStr"/>
      <c r="M1305" s="30">
        <f>0.005454*F1305^2</f>
        <v/>
      </c>
      <c r="N1305" s="31">
        <f>IF(D1305="BAF20",20/M1305,100)</f>
        <v/>
      </c>
      <c r="O1305" s="31">
        <f>M1305*N1305</f>
        <v/>
      </c>
      <c r="P1305" s="32">
        <f>0.0*N1305</f>
        <v/>
      </c>
    </row>
    <row r="1306">
      <c r="A1306" t="inlineStr">
        <is>
          <t>U3-01</t>
        </is>
      </c>
      <c r="B1306" t="n">
        <v>3</v>
      </c>
      <c r="C1306" t="n">
        <v>7</v>
      </c>
      <c r="D1306" t="inlineStr">
        <is>
          <t>BAF20</t>
        </is>
      </c>
      <c r="E1306" t="inlineStr">
        <is>
          <t>IC</t>
        </is>
      </c>
      <c r="F1306" t="n">
        <v>17.5</v>
      </c>
      <c r="G1306" t="n">
        <v>64</v>
      </c>
      <c r="H1306" t="n">
        <v>9</v>
      </c>
      <c r="I1306" t="inlineStr">
        <is>
          <t>L</t>
        </is>
      </c>
      <c r="J1306" t="inlineStr">
        <is>
          <t>I</t>
        </is>
      </c>
      <c r="K1306" t="inlineStr"/>
      <c r="L1306" t="inlineStr"/>
      <c r="M1306" s="30">
        <f>0.005454*F1306^2</f>
        <v/>
      </c>
      <c r="N1306" s="31">
        <f>IF(D1306="BAF20",20/M1306,100)</f>
        <v/>
      </c>
      <c r="O1306" s="31">
        <f>M1306*N1306</f>
        <v/>
      </c>
      <c r="P1306" s="32">
        <f>164.5*N1306</f>
        <v/>
      </c>
    </row>
    <row r="1307">
      <c r="A1307" t="inlineStr">
        <is>
          <t>U3-01</t>
        </is>
      </c>
      <c r="B1307" t="n">
        <v>3</v>
      </c>
      <c r="C1307" t="n">
        <v>8</v>
      </c>
      <c r="D1307" t="inlineStr">
        <is>
          <t>BAF20</t>
        </is>
      </c>
      <c r="E1307" t="inlineStr">
        <is>
          <t>WF</t>
        </is>
      </c>
      <c r="F1307" t="n">
        <v>11.2</v>
      </c>
      <c r="G1307" t="n">
        <v>49</v>
      </c>
      <c r="H1307" t="n">
        <v>5</v>
      </c>
      <c r="I1307" t="inlineStr">
        <is>
          <t>L</t>
        </is>
      </c>
      <c r="J1307" t="inlineStr">
        <is>
          <t>S</t>
        </is>
      </c>
      <c r="K1307" t="inlineStr">
        <is>
          <t>Y</t>
        </is>
      </c>
      <c r="L1307" t="inlineStr"/>
      <c r="M1307" s="30">
        <f>0.005454*F1307^2</f>
        <v/>
      </c>
      <c r="N1307" s="31">
        <f>IF(D1307="BAF20",20/M1307,100)</f>
        <v/>
      </c>
      <c r="O1307" s="31">
        <f>M1307*N1307</f>
        <v/>
      </c>
      <c r="P1307" s="32">
        <f>47.0*N1307</f>
        <v/>
      </c>
    </row>
    <row r="1308">
      <c r="A1308" t="inlineStr">
        <is>
          <t>U3-01</t>
        </is>
      </c>
      <c r="B1308" t="n">
        <v>3</v>
      </c>
      <c r="C1308" t="n">
        <v>9</v>
      </c>
      <c r="D1308" t="inlineStr">
        <is>
          <t>BAF20</t>
        </is>
      </c>
      <c r="E1308" t="inlineStr">
        <is>
          <t>WF</t>
        </is>
      </c>
      <c r="F1308" t="n">
        <v>12.5</v>
      </c>
      <c r="G1308" t="n">
        <v>54</v>
      </c>
      <c r="H1308" t="n">
        <v>9</v>
      </c>
      <c r="I1308" t="inlineStr">
        <is>
          <t>L</t>
        </is>
      </c>
      <c r="J1308" t="inlineStr">
        <is>
          <t>S</t>
        </is>
      </c>
      <c r="K1308" t="inlineStr">
        <is>
          <t>Y</t>
        </is>
      </c>
      <c r="L1308" t="inlineStr"/>
      <c r="M1308" s="30">
        <f>0.005454*F1308^2</f>
        <v/>
      </c>
      <c r="N1308" s="31">
        <f>IF(D1308="BAF20",20/M1308,100)</f>
        <v/>
      </c>
      <c r="O1308" s="31">
        <f>M1308*N1308</f>
        <v/>
      </c>
      <c r="P1308" s="32">
        <f>63.7*N1308</f>
        <v/>
      </c>
    </row>
    <row r="1309">
      <c r="A1309" t="inlineStr">
        <is>
          <t>U3-01</t>
        </is>
      </c>
      <c r="B1309" t="n">
        <v>3</v>
      </c>
      <c r="C1309" t="n">
        <v>10</v>
      </c>
      <c r="D1309" t="inlineStr">
        <is>
          <t>BAF20</t>
        </is>
      </c>
      <c r="E1309" t="inlineStr">
        <is>
          <t>DF</t>
        </is>
      </c>
      <c r="F1309" t="n">
        <v>13.2</v>
      </c>
      <c r="G1309" t="n">
        <v>78</v>
      </c>
      <c r="H1309" t="n">
        <v>8</v>
      </c>
      <c r="I1309" t="inlineStr">
        <is>
          <t>L</t>
        </is>
      </c>
      <c r="J1309" t="inlineStr">
        <is>
          <t>S</t>
        </is>
      </c>
      <c r="K1309" t="inlineStr">
        <is>
          <t>Y</t>
        </is>
      </c>
      <c r="L1309" t="inlineStr"/>
      <c r="M1309" s="30">
        <f>0.005454*F1309^2</f>
        <v/>
      </c>
      <c r="N1309" s="31">
        <f>IF(D1309="BAF20",20/M1309,100)</f>
        <v/>
      </c>
      <c r="O1309" s="31">
        <f>M1309*N1309</f>
        <v/>
      </c>
      <c r="P1309" s="32">
        <f>105.4*N1309</f>
        <v/>
      </c>
    </row>
    <row r="1310">
      <c r="A1310" t="inlineStr">
        <is>
          <t>U3-01</t>
        </is>
      </c>
      <c r="B1310" t="n">
        <v>3</v>
      </c>
      <c r="C1310" t="n">
        <v>11</v>
      </c>
      <c r="D1310" t="inlineStr">
        <is>
          <t>BAF20</t>
        </is>
      </c>
      <c r="E1310" t="inlineStr">
        <is>
          <t>WF</t>
        </is>
      </c>
      <c r="F1310" t="n">
        <v>25</v>
      </c>
      <c r="G1310" t="n">
        <v>104</v>
      </c>
      <c r="H1310" t="n">
        <v>12</v>
      </c>
      <c r="I1310" t="inlineStr">
        <is>
          <t>L</t>
        </is>
      </c>
      <c r="J1310" t="inlineStr">
        <is>
          <t>C</t>
        </is>
      </c>
      <c r="K1310" t="inlineStr"/>
      <c r="L1310" t="inlineStr"/>
      <c r="M1310" s="30">
        <f>0.005454*F1310^2</f>
        <v/>
      </c>
      <c r="N1310" s="31">
        <f>IF(D1310="BAF20",20/M1310,100)</f>
        <v/>
      </c>
      <c r="O1310" s="31">
        <f>M1310*N1310</f>
        <v/>
      </c>
      <c r="P1310" s="32">
        <f>607.3*N1310</f>
        <v/>
      </c>
    </row>
    <row r="1311">
      <c r="A1311" t="inlineStr">
        <is>
          <t>U3-01</t>
        </is>
      </c>
      <c r="B1311" t="n">
        <v>3</v>
      </c>
      <c r="C1311" t="n">
        <v>12</v>
      </c>
      <c r="D1311" t="inlineStr">
        <is>
          <t>BAF20</t>
        </is>
      </c>
      <c r="E1311" t="inlineStr">
        <is>
          <t>WF</t>
        </is>
      </c>
      <c r="F1311" t="n">
        <v>22.7</v>
      </c>
      <c r="G1311" t="n">
        <v>95</v>
      </c>
      <c r="H1311" t="n">
        <v>12</v>
      </c>
      <c r="I1311" t="inlineStr">
        <is>
          <t>L</t>
        </is>
      </c>
      <c r="J1311" t="inlineStr">
        <is>
          <t>C</t>
        </is>
      </c>
      <c r="K1311" t="inlineStr"/>
      <c r="L1311" t="inlineStr"/>
      <c r="M1311" s="30">
        <f>0.005454*F1311^2</f>
        <v/>
      </c>
      <c r="N1311" s="31">
        <f>IF(D1311="BAF20",20/M1311,100)</f>
        <v/>
      </c>
      <c r="O1311" s="31">
        <f>M1311*N1311</f>
        <v/>
      </c>
      <c r="P1311" s="32">
        <f>439.0*N1311</f>
        <v/>
      </c>
    </row>
    <row r="1312">
      <c r="A1312" t="inlineStr">
        <is>
          <t>U3-01</t>
        </is>
      </c>
      <c r="B1312" t="n">
        <v>3</v>
      </c>
      <c r="C1312" t="n">
        <v>13</v>
      </c>
      <c r="D1312" t="inlineStr">
        <is>
          <t>BAF20</t>
        </is>
      </c>
      <c r="E1312" t="inlineStr">
        <is>
          <t>DF</t>
        </is>
      </c>
      <c r="F1312" t="n">
        <v>10.8</v>
      </c>
      <c r="G1312" t="n">
        <v>58</v>
      </c>
      <c r="H1312" t="n">
        <v>4</v>
      </c>
      <c r="I1312" t="inlineStr">
        <is>
          <t>L</t>
        </is>
      </c>
      <c r="J1312" t="inlineStr">
        <is>
          <t>S</t>
        </is>
      </c>
      <c r="K1312" t="inlineStr">
        <is>
          <t>Y</t>
        </is>
      </c>
      <c r="L1312" t="inlineStr"/>
      <c r="M1312" s="30">
        <f>0.005454*F1312^2</f>
        <v/>
      </c>
      <c r="N1312" s="31">
        <f>IF(D1312="BAF20",20/M1312,100)</f>
        <v/>
      </c>
      <c r="O1312" s="31">
        <f>M1312*N1312</f>
        <v/>
      </c>
      <c r="P1312" s="32">
        <f>51.8*N1312</f>
        <v/>
      </c>
    </row>
    <row r="1313">
      <c r="A1313" t="inlineStr">
        <is>
          <t>U3-01</t>
        </is>
      </c>
      <c r="B1313" t="n">
        <v>3</v>
      </c>
      <c r="C1313" t="n">
        <v>14</v>
      </c>
      <c r="D1313" t="inlineStr">
        <is>
          <t>BAF20</t>
        </is>
      </c>
      <c r="E1313" t="inlineStr">
        <is>
          <t>PP</t>
        </is>
      </c>
      <c r="F1313" t="n">
        <v>20.7</v>
      </c>
      <c r="G1313" t="n">
        <v>92</v>
      </c>
      <c r="H1313" t="n">
        <v>2</v>
      </c>
      <c r="I1313" t="inlineStr">
        <is>
          <t>L</t>
        </is>
      </c>
      <c r="J1313" t="inlineStr">
        <is>
          <t>C</t>
        </is>
      </c>
      <c r="K1313" t="inlineStr"/>
      <c r="L1313" t="inlineStr"/>
      <c r="M1313" s="30">
        <f>0.005454*F1313^2</f>
        <v/>
      </c>
      <c r="N1313" s="31">
        <f>IF(D1313="BAF20",20/M1313,100)</f>
        <v/>
      </c>
      <c r="O1313" s="31">
        <f>M1313*N1313</f>
        <v/>
      </c>
      <c r="P1313" s="32">
        <f>379.4*N1313</f>
        <v/>
      </c>
    </row>
    <row r="1314">
      <c r="A1314" t="inlineStr">
        <is>
          <t>U3-01</t>
        </is>
      </c>
      <c r="B1314" t="n">
        <v>3</v>
      </c>
      <c r="C1314" t="n">
        <v>15</v>
      </c>
      <c r="D1314" t="inlineStr">
        <is>
          <t>BAF20</t>
        </is>
      </c>
      <c r="E1314" t="inlineStr">
        <is>
          <t>IC</t>
        </is>
      </c>
      <c r="F1314" t="n">
        <v>14.1</v>
      </c>
      <c r="G1314" t="n">
        <v>52</v>
      </c>
      <c r="H1314" t="n">
        <v>3</v>
      </c>
      <c r="I1314" t="inlineStr">
        <is>
          <t>L</t>
        </is>
      </c>
      <c r="J1314" t="inlineStr">
        <is>
          <t>I</t>
        </is>
      </c>
      <c r="K1314" t="inlineStr"/>
      <c r="L1314" t="inlineStr"/>
      <c r="M1314" s="30">
        <f>0.005454*F1314^2</f>
        <v/>
      </c>
      <c r="N1314" s="31">
        <f>IF(D1314="BAF20",20/M1314,100)</f>
        <v/>
      </c>
      <c r="O1314" s="31">
        <f>M1314*N1314</f>
        <v/>
      </c>
      <c r="P1314" s="32">
        <f>86.2*N1314</f>
        <v/>
      </c>
    </row>
    <row r="1315">
      <c r="A1315" t="inlineStr">
        <is>
          <t>U3-01</t>
        </is>
      </c>
      <c r="B1315" t="n">
        <v>3</v>
      </c>
      <c r="C1315" t="n">
        <v>16</v>
      </c>
      <c r="D1315" t="inlineStr">
        <is>
          <t>BAF20</t>
        </is>
      </c>
      <c r="E1315" t="inlineStr">
        <is>
          <t>SP</t>
        </is>
      </c>
      <c r="F1315" t="n">
        <v>24.8</v>
      </c>
      <c r="G1315" t="n">
        <v>99</v>
      </c>
      <c r="H1315" t="n">
        <v>6</v>
      </c>
      <c r="I1315" t="inlineStr">
        <is>
          <t>L</t>
        </is>
      </c>
      <c r="J1315" t="inlineStr">
        <is>
          <t>C</t>
        </is>
      </c>
      <c r="K1315" t="inlineStr"/>
      <c r="L1315" t="inlineStr"/>
      <c r="M1315" s="30">
        <f>0.005454*F1315^2</f>
        <v/>
      </c>
      <c r="N1315" s="31">
        <f>IF(D1315="BAF20",20/M1315,100)</f>
        <v/>
      </c>
      <c r="O1315" s="31">
        <f>M1315*N1315</f>
        <v/>
      </c>
      <c r="P1315" s="32">
        <f>605.6*N1315</f>
        <v/>
      </c>
    </row>
    <row r="1316">
      <c r="A1316" t="inlineStr">
        <is>
          <t>U3-01</t>
        </is>
      </c>
      <c r="B1316" t="n">
        <v>3</v>
      </c>
      <c r="C1316" t="n">
        <v>17</v>
      </c>
      <c r="D1316" t="inlineStr">
        <is>
          <t>BAF20</t>
        </is>
      </c>
      <c r="E1316" t="inlineStr">
        <is>
          <t>SP</t>
        </is>
      </c>
      <c r="F1316" t="n">
        <v>6.7</v>
      </c>
      <c r="G1316" t="n">
        <v>43</v>
      </c>
      <c r="H1316" t="n">
        <v>1</v>
      </c>
      <c r="I1316" t="inlineStr">
        <is>
          <t>L</t>
        </is>
      </c>
      <c r="J1316" t="inlineStr">
        <is>
          <t>S</t>
        </is>
      </c>
      <c r="K1316" t="inlineStr"/>
      <c r="L1316" t="inlineStr"/>
      <c r="M1316" s="30">
        <f>0.005454*F1316^2</f>
        <v/>
      </c>
      <c r="N1316" s="31">
        <f>IF(D1316="BAF20",20/M1316,100)</f>
        <v/>
      </c>
      <c r="O1316" s="31">
        <f>M1316*N1316</f>
        <v/>
      </c>
      <c r="P1316" s="32">
        <f>0.0*N1316</f>
        <v/>
      </c>
    </row>
    <row r="1317">
      <c r="A1317" t="inlineStr">
        <is>
          <t>U3-01</t>
        </is>
      </c>
      <c r="B1317" t="n">
        <v>3</v>
      </c>
      <c r="C1317" t="n">
        <v>18</v>
      </c>
      <c r="D1317" t="inlineStr">
        <is>
          <t>BAF20</t>
        </is>
      </c>
      <c r="E1317" t="inlineStr">
        <is>
          <t>WF</t>
        </is>
      </c>
      <c r="F1317" t="n">
        <v>27</v>
      </c>
      <c r="G1317" t="n">
        <v>109</v>
      </c>
      <c r="H1317" t="n">
        <v>3</v>
      </c>
      <c r="I1317" t="inlineStr">
        <is>
          <t>L</t>
        </is>
      </c>
      <c r="J1317" t="inlineStr">
        <is>
          <t>D</t>
        </is>
      </c>
      <c r="K1317" t="inlineStr"/>
      <c r="L1317" t="inlineStr"/>
      <c r="M1317" s="30">
        <f>0.005454*F1317^2</f>
        <v/>
      </c>
      <c r="N1317" s="31">
        <f>IF(D1317="BAF20",20/M1317,100)</f>
        <v/>
      </c>
      <c r="O1317" s="31">
        <f>M1317*N1317</f>
        <v/>
      </c>
      <c r="P1317" s="32">
        <f>847.0*N1317</f>
        <v/>
      </c>
    </row>
    <row r="1318">
      <c r="A1318" t="inlineStr">
        <is>
          <t>U3-01</t>
        </is>
      </c>
      <c r="B1318" t="n">
        <v>3</v>
      </c>
      <c r="C1318" t="n">
        <v>19</v>
      </c>
      <c r="D1318" t="inlineStr">
        <is>
          <t>BAF20</t>
        </is>
      </c>
      <c r="E1318" t="inlineStr">
        <is>
          <t>DF</t>
        </is>
      </c>
      <c r="F1318" t="n">
        <v>8</v>
      </c>
      <c r="G1318" t="n">
        <v>45</v>
      </c>
      <c r="H1318" t="n">
        <v>11</v>
      </c>
      <c r="I1318" t="inlineStr">
        <is>
          <t>L</t>
        </is>
      </c>
      <c r="J1318" t="inlineStr">
        <is>
          <t>S</t>
        </is>
      </c>
      <c r="K1318" t="inlineStr">
        <is>
          <t>Y</t>
        </is>
      </c>
      <c r="L1318" t="inlineStr"/>
      <c r="M1318" s="30">
        <f>0.005454*F1318^2</f>
        <v/>
      </c>
      <c r="N1318" s="31">
        <f>IF(D1318="BAF20",20/M1318,100)</f>
        <v/>
      </c>
      <c r="O1318" s="31">
        <f>M1318*N1318</f>
        <v/>
      </c>
      <c r="P1318" s="32">
        <f>0.0*N1318</f>
        <v/>
      </c>
    </row>
    <row r="1319">
      <c r="A1319" t="inlineStr">
        <is>
          <t>U3-01</t>
        </is>
      </c>
      <c r="B1319" t="n">
        <v>3</v>
      </c>
      <c r="C1319" t="n">
        <v>20</v>
      </c>
      <c r="D1319" t="inlineStr">
        <is>
          <t>BAF20</t>
        </is>
      </c>
      <c r="E1319" t="inlineStr">
        <is>
          <t>WF</t>
        </is>
      </c>
      <c r="F1319" t="n">
        <v>14</v>
      </c>
      <c r="G1319" t="n">
        <v>68</v>
      </c>
      <c r="H1319" t="n">
        <v>5</v>
      </c>
      <c r="I1319" t="inlineStr">
        <is>
          <t>L</t>
        </is>
      </c>
      <c r="J1319" t="inlineStr">
        <is>
          <t>S</t>
        </is>
      </c>
      <c r="K1319" t="inlineStr">
        <is>
          <t>Y</t>
        </is>
      </c>
      <c r="L1319" t="inlineStr"/>
      <c r="M1319" s="30">
        <f>0.005454*F1319^2</f>
        <v/>
      </c>
      <c r="N1319" s="31">
        <f>IF(D1319="BAF20",20/M1319,100)</f>
        <v/>
      </c>
      <c r="O1319" s="31">
        <f>M1319*N1319</f>
        <v/>
      </c>
      <c r="P1319" s="32">
        <f>108.6*N1319</f>
        <v/>
      </c>
    </row>
    <row r="1320">
      <c r="A1320" t="inlineStr">
        <is>
          <t>U3-01</t>
        </is>
      </c>
      <c r="B1320" t="n">
        <v>3</v>
      </c>
      <c r="C1320" t="n">
        <v>21</v>
      </c>
      <c r="D1320" t="inlineStr">
        <is>
          <t>BAF20</t>
        </is>
      </c>
      <c r="E1320" t="inlineStr">
        <is>
          <t>IC</t>
        </is>
      </c>
      <c r="F1320" t="n">
        <v>17.7</v>
      </c>
      <c r="G1320" t="n">
        <v>61</v>
      </c>
      <c r="H1320" t="n">
        <v>11</v>
      </c>
      <c r="I1320" t="inlineStr">
        <is>
          <t>L</t>
        </is>
      </c>
      <c r="J1320" t="inlineStr">
        <is>
          <t>I</t>
        </is>
      </c>
      <c r="K1320" t="inlineStr"/>
      <c r="L1320" t="inlineStr"/>
      <c r="M1320" s="30">
        <f>0.005454*F1320^2</f>
        <v/>
      </c>
      <c r="N1320" s="31">
        <f>IF(D1320="BAF20",20/M1320,100)</f>
        <v/>
      </c>
      <c r="O1320" s="31">
        <f>M1320*N1320</f>
        <v/>
      </c>
      <c r="P1320" s="32">
        <f>157.5*N1320</f>
        <v/>
      </c>
    </row>
    <row r="1321">
      <c r="A1321" t="inlineStr">
        <is>
          <t>U3-01</t>
        </is>
      </c>
      <c r="B1321" t="n">
        <v>3</v>
      </c>
      <c r="C1321" t="n">
        <v>22</v>
      </c>
      <c r="D1321" t="inlineStr">
        <is>
          <t>BAF20</t>
        </is>
      </c>
      <c r="E1321" t="inlineStr">
        <is>
          <t>DF</t>
        </is>
      </c>
      <c r="F1321" t="n">
        <v>32.2</v>
      </c>
      <c r="G1321" t="n">
        <v>119</v>
      </c>
      <c r="H1321" t="n">
        <v>3</v>
      </c>
      <c r="I1321" t="inlineStr">
        <is>
          <t>L</t>
        </is>
      </c>
      <c r="J1321" t="inlineStr">
        <is>
          <t>D</t>
        </is>
      </c>
      <c r="K1321" t="inlineStr"/>
      <c r="L1321" t="inlineStr"/>
      <c r="M1321" s="30">
        <f>0.005454*F1321^2</f>
        <v/>
      </c>
      <c r="N1321" s="31">
        <f>IF(D1321="BAF20",20/M1321,100)</f>
        <v/>
      </c>
      <c r="O1321" s="31">
        <f>M1321*N1321</f>
        <v/>
      </c>
      <c r="P1321" s="32">
        <f>1430.6*N1321</f>
        <v/>
      </c>
    </row>
    <row r="1322">
      <c r="A1322" t="inlineStr">
        <is>
          <t>U3-01</t>
        </is>
      </c>
      <c r="B1322" t="n">
        <v>3</v>
      </c>
      <c r="C1322" t="n">
        <v>23</v>
      </c>
      <c r="D1322" t="inlineStr">
        <is>
          <t>FIX100</t>
        </is>
      </c>
      <c r="E1322" t="inlineStr">
        <is>
          <t>DF</t>
        </is>
      </c>
      <c r="F1322" t="n">
        <v>2.3</v>
      </c>
      <c r="G1322" t="n">
        <v>12</v>
      </c>
      <c r="H1322" t="n">
        <v>0</v>
      </c>
      <c r="I1322" t="inlineStr">
        <is>
          <t>L</t>
        </is>
      </c>
      <c r="J1322" t="inlineStr">
        <is>
          <t>S</t>
        </is>
      </c>
      <c r="K1322" t="inlineStr"/>
      <c r="L1322" t="inlineStr"/>
      <c r="M1322" s="30">
        <f>0.005454*F1322^2</f>
        <v/>
      </c>
      <c r="N1322" s="31">
        <f>IF(D1322="BAF20",20/M1322,100)</f>
        <v/>
      </c>
      <c r="O1322" s="31">
        <f>M1322*N1322</f>
        <v/>
      </c>
      <c r="P1322" s="32">
        <f>0.0*N1322</f>
        <v/>
      </c>
    </row>
    <row r="1323">
      <c r="A1323" t="inlineStr">
        <is>
          <t>U3-01</t>
        </is>
      </c>
      <c r="B1323" t="n">
        <v>3</v>
      </c>
      <c r="C1323" t="n">
        <v>24</v>
      </c>
      <c r="D1323" t="inlineStr">
        <is>
          <t>FIX100</t>
        </is>
      </c>
      <c r="E1323" t="inlineStr">
        <is>
          <t>WF</t>
        </is>
      </c>
      <c r="F1323" t="n">
        <v>3.9</v>
      </c>
      <c r="G1323" t="n">
        <v>21</v>
      </c>
      <c r="H1323" t="n">
        <v>0</v>
      </c>
      <c r="I1323" t="inlineStr">
        <is>
          <t>L</t>
        </is>
      </c>
      <c r="J1323" t="inlineStr">
        <is>
          <t>S</t>
        </is>
      </c>
      <c r="K1323" t="inlineStr"/>
      <c r="L1323" t="inlineStr"/>
      <c r="M1323" s="30">
        <f>0.005454*F1323^2</f>
        <v/>
      </c>
      <c r="N1323" s="31">
        <f>IF(D1323="BAF20",20/M1323,100)</f>
        <v/>
      </c>
      <c r="O1323" s="31">
        <f>M1323*N1323</f>
        <v/>
      </c>
      <c r="P1323" s="32">
        <f>0.0*N1323</f>
        <v/>
      </c>
    </row>
    <row r="1324">
      <c r="A1324" t="inlineStr">
        <is>
          <t>U3-02</t>
        </is>
      </c>
      <c r="B1324" t="n">
        <v>3</v>
      </c>
      <c r="C1324" t="n">
        <v>1</v>
      </c>
      <c r="D1324" t="inlineStr">
        <is>
          <t>BAF20</t>
        </is>
      </c>
      <c r="E1324" t="inlineStr">
        <is>
          <t>IC</t>
        </is>
      </c>
      <c r="F1324" t="n">
        <v>22.1</v>
      </c>
      <c r="G1324" t="n">
        <v>83</v>
      </c>
      <c r="H1324" t="n">
        <v>3</v>
      </c>
      <c r="I1324" t="inlineStr">
        <is>
          <t>L</t>
        </is>
      </c>
      <c r="J1324" t="inlineStr">
        <is>
          <t>C</t>
        </is>
      </c>
      <c r="K1324" t="inlineStr"/>
      <c r="L1324" t="inlineStr"/>
      <c r="M1324" s="30">
        <f>0.005454*F1324^2</f>
        <v/>
      </c>
      <c r="N1324" s="31">
        <f>IF(D1324="BAF20",20/M1324,100)</f>
        <v/>
      </c>
      <c r="O1324" s="31">
        <f>M1324*N1324</f>
        <v/>
      </c>
      <c r="P1324" s="32">
        <f>396.3*N1324</f>
        <v/>
      </c>
    </row>
    <row r="1325">
      <c r="A1325" t="inlineStr">
        <is>
          <t>U3-02</t>
        </is>
      </c>
      <c r="B1325" t="n">
        <v>3</v>
      </c>
      <c r="C1325" t="n">
        <v>2</v>
      </c>
      <c r="D1325" t="inlineStr">
        <is>
          <t>BAF20</t>
        </is>
      </c>
      <c r="E1325" t="inlineStr">
        <is>
          <t>DF</t>
        </is>
      </c>
      <c r="F1325" t="n">
        <v>7.3</v>
      </c>
      <c r="G1325" t="n">
        <v>47</v>
      </c>
      <c r="H1325" t="n">
        <v>2</v>
      </c>
      <c r="I1325" t="inlineStr">
        <is>
          <t>L</t>
        </is>
      </c>
      <c r="J1325" t="inlineStr">
        <is>
          <t>S</t>
        </is>
      </c>
      <c r="K1325" t="inlineStr">
        <is>
          <t>Y</t>
        </is>
      </c>
      <c r="L1325" t="inlineStr"/>
      <c r="M1325" s="30">
        <f>0.005454*F1325^2</f>
        <v/>
      </c>
      <c r="N1325" s="31">
        <f>IF(D1325="BAF20",20/M1325,100)</f>
        <v/>
      </c>
      <c r="O1325" s="31">
        <f>M1325*N1325</f>
        <v/>
      </c>
      <c r="P1325" s="32">
        <f>0.0*N1325</f>
        <v/>
      </c>
    </row>
    <row r="1326">
      <c r="A1326" t="inlineStr">
        <is>
          <t>U3-02</t>
        </is>
      </c>
      <c r="B1326" t="n">
        <v>3</v>
      </c>
      <c r="C1326" t="n">
        <v>3</v>
      </c>
      <c r="D1326" t="inlineStr">
        <is>
          <t>BAF20</t>
        </is>
      </c>
      <c r="E1326" t="inlineStr">
        <is>
          <t>BO</t>
        </is>
      </c>
      <c r="F1326" t="n">
        <v>10.1</v>
      </c>
      <c r="G1326" t="n">
        <v>41</v>
      </c>
      <c r="H1326" t="n">
        <v>15</v>
      </c>
      <c r="I1326" t="inlineStr">
        <is>
          <t>L</t>
        </is>
      </c>
      <c r="J1326" t="inlineStr">
        <is>
          <t>S</t>
        </is>
      </c>
      <c r="K1326" t="inlineStr">
        <is>
          <t>Y</t>
        </is>
      </c>
      <c r="L1326" t="inlineStr"/>
      <c r="M1326" s="30">
        <f>0.005454*F1326^2</f>
        <v/>
      </c>
      <c r="N1326" s="31">
        <f>IF(D1326="BAF20",20/M1326,100)</f>
        <v/>
      </c>
      <c r="O1326" s="31">
        <f>M1326*N1326</f>
        <v/>
      </c>
      <c r="P1326" s="32">
        <f>25.3*N1326</f>
        <v/>
      </c>
    </row>
    <row r="1327">
      <c r="A1327" t="inlineStr">
        <is>
          <t>U3-02</t>
        </is>
      </c>
      <c r="B1327" t="n">
        <v>3</v>
      </c>
      <c r="C1327" t="n">
        <v>4</v>
      </c>
      <c r="D1327" t="inlineStr">
        <is>
          <t>BAF20</t>
        </is>
      </c>
      <c r="E1327" t="inlineStr">
        <is>
          <t>PP</t>
        </is>
      </c>
      <c r="F1327" t="n">
        <v>16.4</v>
      </c>
      <c r="G1327" t="n">
        <v>84</v>
      </c>
      <c r="H1327" t="n">
        <v>4</v>
      </c>
      <c r="I1327" t="inlineStr">
        <is>
          <t>L</t>
        </is>
      </c>
      <c r="J1327" t="inlineStr">
        <is>
          <t>I</t>
        </is>
      </c>
      <c r="K1327" t="inlineStr"/>
      <c r="L1327" t="inlineStr"/>
      <c r="M1327" s="30">
        <f>0.005454*F1327^2</f>
        <v/>
      </c>
      <c r="N1327" s="31">
        <f>IF(D1327="BAF20",20/M1327,100)</f>
        <v/>
      </c>
      <c r="O1327" s="31">
        <f>M1327*N1327</f>
        <v/>
      </c>
      <c r="P1327" s="32">
        <f>195.7*N1327</f>
        <v/>
      </c>
    </row>
    <row r="1328">
      <c r="A1328" t="inlineStr">
        <is>
          <t>U3-02</t>
        </is>
      </c>
      <c r="B1328" t="n">
        <v>3</v>
      </c>
      <c r="C1328" t="n">
        <v>5</v>
      </c>
      <c r="D1328" t="inlineStr">
        <is>
          <t>BAF20</t>
        </is>
      </c>
      <c r="E1328" t="inlineStr">
        <is>
          <t>WF</t>
        </is>
      </c>
      <c r="F1328" t="n">
        <v>11</v>
      </c>
      <c r="G1328" t="n">
        <v>58</v>
      </c>
      <c r="H1328" t="n">
        <v>15</v>
      </c>
      <c r="I1328" t="inlineStr">
        <is>
          <t>L</t>
        </is>
      </c>
      <c r="J1328" t="inlineStr">
        <is>
          <t>S</t>
        </is>
      </c>
      <c r="K1328" t="inlineStr">
        <is>
          <t>Y</t>
        </is>
      </c>
      <c r="L1328" t="inlineStr"/>
      <c r="M1328" s="30">
        <f>0.005454*F1328^2</f>
        <v/>
      </c>
      <c r="N1328" s="31">
        <f>IF(D1328="BAF20",20/M1328,100)</f>
        <v/>
      </c>
      <c r="O1328" s="31">
        <f>M1328*N1328</f>
        <v/>
      </c>
      <c r="P1328" s="32">
        <f>47.8*N1328</f>
        <v/>
      </c>
    </row>
    <row r="1329">
      <c r="A1329" t="inlineStr">
        <is>
          <t>U3-02</t>
        </is>
      </c>
      <c r="B1329" t="n">
        <v>3</v>
      </c>
      <c r="C1329" t="n">
        <v>6</v>
      </c>
      <c r="D1329" t="inlineStr">
        <is>
          <t>BAF20</t>
        </is>
      </c>
      <c r="E1329" t="inlineStr">
        <is>
          <t>PP</t>
        </is>
      </c>
      <c r="F1329" t="n">
        <v>30</v>
      </c>
      <c r="G1329" t="n">
        <v>104</v>
      </c>
      <c r="H1329" t="n">
        <v>9</v>
      </c>
      <c r="I1329" t="inlineStr">
        <is>
          <t>L</t>
        </is>
      </c>
      <c r="J1329" t="inlineStr">
        <is>
          <t>D</t>
        </is>
      </c>
      <c r="K1329" t="inlineStr"/>
      <c r="L1329" t="inlineStr"/>
      <c r="M1329" s="30">
        <f>0.005454*F1329^2</f>
        <v/>
      </c>
      <c r="N1329" s="31">
        <f>IF(D1329="BAF20",20/M1329,100)</f>
        <v/>
      </c>
      <c r="O1329" s="31">
        <f>M1329*N1329</f>
        <v/>
      </c>
      <c r="P1329" s="32">
        <f>983.4*N1329</f>
        <v/>
      </c>
    </row>
    <row r="1330">
      <c r="A1330" t="inlineStr">
        <is>
          <t>U3-02</t>
        </is>
      </c>
      <c r="B1330" t="n">
        <v>3</v>
      </c>
      <c r="C1330" t="n">
        <v>7</v>
      </c>
      <c r="D1330" t="inlineStr">
        <is>
          <t>BAF20</t>
        </is>
      </c>
      <c r="E1330" t="inlineStr">
        <is>
          <t>IC</t>
        </is>
      </c>
      <c r="F1330" t="n">
        <v>28.7</v>
      </c>
      <c r="G1330" t="n">
        <v>87</v>
      </c>
      <c r="H1330" t="n">
        <v>10</v>
      </c>
      <c r="I1330" t="inlineStr">
        <is>
          <t>L</t>
        </is>
      </c>
      <c r="J1330" t="inlineStr">
        <is>
          <t>D</t>
        </is>
      </c>
      <c r="K1330" t="inlineStr"/>
      <c r="L1330" t="inlineStr"/>
      <c r="M1330" s="30">
        <f>0.005454*F1330^2</f>
        <v/>
      </c>
      <c r="N1330" s="31">
        <f>IF(D1330="BAF20",20/M1330,100)</f>
        <v/>
      </c>
      <c r="O1330" s="31">
        <f>M1330*N1330</f>
        <v/>
      </c>
      <c r="P1330" s="32">
        <f>729.0*N1330</f>
        <v/>
      </c>
    </row>
    <row r="1331">
      <c r="A1331" t="inlineStr">
        <is>
          <t>U3-02</t>
        </is>
      </c>
      <c r="B1331" t="n">
        <v>3</v>
      </c>
      <c r="C1331" t="n">
        <v>8</v>
      </c>
      <c r="D1331" t="inlineStr">
        <is>
          <t>BAF20</t>
        </is>
      </c>
      <c r="E1331" t="inlineStr">
        <is>
          <t>IC</t>
        </is>
      </c>
      <c r="F1331" t="n">
        <v>13.7</v>
      </c>
      <c r="G1331" t="n">
        <v>58</v>
      </c>
      <c r="H1331" t="n">
        <v>100</v>
      </c>
      <c r="I1331" t="inlineStr">
        <is>
          <t>D</t>
        </is>
      </c>
      <c r="J1331" t="inlineStr">
        <is>
          <t>S</t>
        </is>
      </c>
      <c r="K1331" t="inlineStr"/>
      <c r="L1331" t="inlineStr"/>
      <c r="M1331" s="30">
        <f>0.005454*F1331^2</f>
        <v/>
      </c>
      <c r="N1331" s="31">
        <f>IF(D1331="BAF20",20/M1331,100)</f>
        <v/>
      </c>
      <c r="O1331" s="31">
        <f>M1331*N1331</f>
        <v/>
      </c>
      <c r="P1331" s="32">
        <f>0.0*N1331</f>
        <v/>
      </c>
    </row>
    <row r="1332">
      <c r="A1332" t="inlineStr">
        <is>
          <t>U3-02</t>
        </is>
      </c>
      <c r="B1332" t="n">
        <v>3</v>
      </c>
      <c r="C1332" t="n">
        <v>9</v>
      </c>
      <c r="D1332" t="inlineStr">
        <is>
          <t>BAF20</t>
        </is>
      </c>
      <c r="E1332" t="inlineStr">
        <is>
          <t>BO</t>
        </is>
      </c>
      <c r="F1332" t="n">
        <v>9.800000000000001</v>
      </c>
      <c r="G1332" t="n">
        <v>45</v>
      </c>
      <c r="H1332" t="n">
        <v>40</v>
      </c>
      <c r="I1332" t="inlineStr">
        <is>
          <t>L</t>
        </is>
      </c>
      <c r="J1332" t="inlineStr">
        <is>
          <t>S</t>
        </is>
      </c>
      <c r="K1332" t="inlineStr">
        <is>
          <t>Y</t>
        </is>
      </c>
      <c r="L1332" t="inlineStr"/>
      <c r="M1332" s="30">
        <f>0.005454*F1332^2</f>
        <v/>
      </c>
      <c r="N1332" s="31">
        <f>IF(D1332="BAF20",20/M1332,100)</f>
        <v/>
      </c>
      <c r="O1332" s="31">
        <f>M1332*N1332</f>
        <v/>
      </c>
      <c r="P1332" s="32">
        <f>0.0*N1332</f>
        <v/>
      </c>
    </row>
    <row r="1333">
      <c r="A1333" t="inlineStr">
        <is>
          <t>U3-02</t>
        </is>
      </c>
      <c r="B1333" t="n">
        <v>3</v>
      </c>
      <c r="C1333" t="n">
        <v>10</v>
      </c>
      <c r="D1333" t="inlineStr">
        <is>
          <t>BAF20</t>
        </is>
      </c>
      <c r="E1333" t="inlineStr">
        <is>
          <t>PP</t>
        </is>
      </c>
      <c r="F1333" t="n">
        <v>26.1</v>
      </c>
      <c r="G1333" t="n">
        <v>102</v>
      </c>
      <c r="H1333" t="n">
        <v>3</v>
      </c>
      <c r="I1333" t="inlineStr">
        <is>
          <t>L</t>
        </is>
      </c>
      <c r="J1333" t="inlineStr">
        <is>
          <t>D</t>
        </is>
      </c>
      <c r="K1333" t="inlineStr"/>
      <c r="L1333" t="inlineStr"/>
      <c r="M1333" s="30">
        <f>0.005454*F1333^2</f>
        <v/>
      </c>
      <c r="N1333" s="31">
        <f>IF(D1333="BAF20",20/M1333,100)</f>
        <v/>
      </c>
      <c r="O1333" s="31">
        <f>M1333*N1333</f>
        <v/>
      </c>
      <c r="P1333" s="32">
        <f>729.4*N1333</f>
        <v/>
      </c>
    </row>
    <row r="1334">
      <c r="A1334" t="inlineStr">
        <is>
          <t>U3-02</t>
        </is>
      </c>
      <c r="B1334" t="n">
        <v>3</v>
      </c>
      <c r="C1334" t="n">
        <v>11</v>
      </c>
      <c r="D1334" t="inlineStr">
        <is>
          <t>FIX100</t>
        </is>
      </c>
      <c r="E1334" t="inlineStr">
        <is>
          <t>PP</t>
        </is>
      </c>
      <c r="F1334" t="n">
        <v>4.3</v>
      </c>
      <c r="G1334" t="n">
        <v>25</v>
      </c>
      <c r="H1334" t="n">
        <v>0</v>
      </c>
      <c r="I1334" t="inlineStr">
        <is>
          <t>L</t>
        </is>
      </c>
      <c r="J1334" t="inlineStr">
        <is>
          <t>S</t>
        </is>
      </c>
      <c r="K1334" t="inlineStr"/>
      <c r="L1334" t="inlineStr"/>
      <c r="M1334" s="30">
        <f>0.005454*F1334^2</f>
        <v/>
      </c>
      <c r="N1334" s="31">
        <f>IF(D1334="BAF20",20/M1334,100)</f>
        <v/>
      </c>
      <c r="O1334" s="31">
        <f>M1334*N1334</f>
        <v/>
      </c>
      <c r="P1334" s="32">
        <f>0.0*N1334</f>
        <v/>
      </c>
    </row>
    <row r="1335">
      <c r="A1335" t="inlineStr">
        <is>
          <t>U3-02</t>
        </is>
      </c>
      <c r="B1335" t="n">
        <v>3</v>
      </c>
      <c r="C1335" t="n">
        <v>12</v>
      </c>
      <c r="D1335" t="inlineStr">
        <is>
          <t>FIX100</t>
        </is>
      </c>
      <c r="E1335" t="inlineStr">
        <is>
          <t>PP</t>
        </is>
      </c>
      <c r="F1335" t="n">
        <v>1</v>
      </c>
      <c r="G1335" t="n">
        <v>9</v>
      </c>
      <c r="H1335" t="n">
        <v>0</v>
      </c>
      <c r="I1335" t="inlineStr">
        <is>
          <t>L</t>
        </is>
      </c>
      <c r="J1335" t="inlineStr">
        <is>
          <t>S</t>
        </is>
      </c>
      <c r="K1335" t="inlineStr"/>
      <c r="L1335" t="inlineStr"/>
      <c r="M1335" s="30">
        <f>0.005454*F1335^2</f>
        <v/>
      </c>
      <c r="N1335" s="31">
        <f>IF(D1335="BAF20",20/M1335,100)</f>
        <v/>
      </c>
      <c r="O1335" s="31">
        <f>M1335*N1335</f>
        <v/>
      </c>
      <c r="P1335" s="32">
        <f>0.0*N1335</f>
        <v/>
      </c>
    </row>
    <row r="1336">
      <c r="A1336" t="inlineStr">
        <is>
          <t>U3-03</t>
        </is>
      </c>
      <c r="B1336" t="n">
        <v>3</v>
      </c>
      <c r="C1336" t="n">
        <v>1</v>
      </c>
      <c r="D1336" t="inlineStr">
        <is>
          <t>BAF20</t>
        </is>
      </c>
      <c r="E1336" t="inlineStr">
        <is>
          <t>WF</t>
        </is>
      </c>
      <c r="F1336" t="n">
        <v>9.4</v>
      </c>
      <c r="G1336" t="n">
        <v>52</v>
      </c>
      <c r="H1336" t="n">
        <v>32</v>
      </c>
      <c r="I1336" t="inlineStr">
        <is>
          <t>L</t>
        </is>
      </c>
      <c r="J1336" t="inlineStr">
        <is>
          <t>S</t>
        </is>
      </c>
      <c r="K1336" t="inlineStr">
        <is>
          <t>Y</t>
        </is>
      </c>
      <c r="L1336" t="inlineStr"/>
      <c r="M1336" s="30">
        <f>0.005454*F1336^2</f>
        <v/>
      </c>
      <c r="N1336" s="31">
        <f>IF(D1336="BAF20",20/M1336,100)</f>
        <v/>
      </c>
      <c r="O1336" s="31">
        <f>M1336*N1336</f>
        <v/>
      </c>
      <c r="P1336" s="32">
        <f>0.0*N1336</f>
        <v/>
      </c>
    </row>
    <row r="1337">
      <c r="A1337" t="inlineStr">
        <is>
          <t>U3-03</t>
        </is>
      </c>
      <c r="B1337" t="n">
        <v>3</v>
      </c>
      <c r="C1337" t="n">
        <v>2</v>
      </c>
      <c r="D1337" t="inlineStr">
        <is>
          <t>BAF20</t>
        </is>
      </c>
      <c r="E1337" t="inlineStr">
        <is>
          <t>IC</t>
        </is>
      </c>
      <c r="F1337" t="n">
        <v>14.9</v>
      </c>
      <c r="G1337" t="n">
        <v>60</v>
      </c>
      <c r="H1337" t="n">
        <v>100</v>
      </c>
      <c r="I1337" t="inlineStr">
        <is>
          <t>D</t>
        </is>
      </c>
      <c r="J1337" t="inlineStr">
        <is>
          <t>I</t>
        </is>
      </c>
      <c r="K1337" t="inlineStr"/>
      <c r="L1337" t="inlineStr"/>
      <c r="M1337" s="30">
        <f>0.005454*F1337^2</f>
        <v/>
      </c>
      <c r="N1337" s="31">
        <f>IF(D1337="BAF20",20/M1337,100)</f>
        <v/>
      </c>
      <c r="O1337" s="31">
        <f>M1337*N1337</f>
        <v/>
      </c>
      <c r="P1337" s="32">
        <f>0.0*N1337</f>
        <v/>
      </c>
    </row>
    <row r="1338">
      <c r="A1338" t="inlineStr">
        <is>
          <t>U3-03</t>
        </is>
      </c>
      <c r="B1338" t="n">
        <v>3</v>
      </c>
      <c r="C1338" t="n">
        <v>3</v>
      </c>
      <c r="D1338" t="inlineStr">
        <is>
          <t>BAF20</t>
        </is>
      </c>
      <c r="E1338" t="inlineStr">
        <is>
          <t>PP</t>
        </is>
      </c>
      <c r="F1338" t="n">
        <v>6.1</v>
      </c>
      <c r="G1338" t="n">
        <v>33</v>
      </c>
      <c r="H1338" t="n">
        <v>5</v>
      </c>
      <c r="I1338" t="inlineStr">
        <is>
          <t>L</t>
        </is>
      </c>
      <c r="J1338" t="inlineStr">
        <is>
          <t>S</t>
        </is>
      </c>
      <c r="K1338" t="inlineStr">
        <is>
          <t>Y</t>
        </is>
      </c>
      <c r="L1338" t="inlineStr"/>
      <c r="M1338" s="30">
        <f>0.005454*F1338^2</f>
        <v/>
      </c>
      <c r="N1338" s="31">
        <f>IF(D1338="BAF20",20/M1338,100)</f>
        <v/>
      </c>
      <c r="O1338" s="31">
        <f>M1338*N1338</f>
        <v/>
      </c>
      <c r="P1338" s="32">
        <f>0.0*N1338</f>
        <v/>
      </c>
    </row>
    <row r="1339">
      <c r="A1339" t="inlineStr">
        <is>
          <t>U3-03</t>
        </is>
      </c>
      <c r="B1339" t="n">
        <v>3</v>
      </c>
      <c r="C1339" t="n">
        <v>4</v>
      </c>
      <c r="D1339" t="inlineStr">
        <is>
          <t>BAF20</t>
        </is>
      </c>
      <c r="E1339" t="inlineStr">
        <is>
          <t>DF</t>
        </is>
      </c>
      <c r="F1339" t="n">
        <v>37.1</v>
      </c>
      <c r="G1339" t="n">
        <v>122</v>
      </c>
      <c r="H1339" t="n">
        <v>11</v>
      </c>
      <c r="I1339" t="inlineStr">
        <is>
          <t>L</t>
        </is>
      </c>
      <c r="J1339" t="inlineStr">
        <is>
          <t>D</t>
        </is>
      </c>
      <c r="K1339" t="inlineStr"/>
      <c r="L1339" t="inlineStr"/>
      <c r="M1339" s="30">
        <f>0.005454*F1339^2</f>
        <v/>
      </c>
      <c r="N1339" s="31">
        <f>IF(D1339="BAF20",20/M1339,100)</f>
        <v/>
      </c>
      <c r="O1339" s="31">
        <f>M1339*N1339</f>
        <v/>
      </c>
      <c r="P1339" s="32">
        <f>1910.3*N1339</f>
        <v/>
      </c>
    </row>
    <row r="1340">
      <c r="A1340" t="inlineStr">
        <is>
          <t>U3-03</t>
        </is>
      </c>
      <c r="B1340" t="n">
        <v>3</v>
      </c>
      <c r="C1340" t="n">
        <v>5</v>
      </c>
      <c r="D1340" t="inlineStr">
        <is>
          <t>BAF20</t>
        </is>
      </c>
      <c r="E1340" t="inlineStr">
        <is>
          <t>IC</t>
        </is>
      </c>
      <c r="F1340" t="n">
        <v>13</v>
      </c>
      <c r="G1340" t="n">
        <v>51</v>
      </c>
      <c r="H1340" t="n">
        <v>18</v>
      </c>
      <c r="I1340" t="inlineStr">
        <is>
          <t>L</t>
        </is>
      </c>
      <c r="J1340" t="inlineStr">
        <is>
          <t>S</t>
        </is>
      </c>
      <c r="K1340" t="inlineStr">
        <is>
          <t>Y</t>
        </is>
      </c>
      <c r="L1340" t="inlineStr"/>
      <c r="M1340" s="30">
        <f>0.005454*F1340^2</f>
        <v/>
      </c>
      <c r="N1340" s="31">
        <f>IF(D1340="BAF20",20/M1340,100)</f>
        <v/>
      </c>
      <c r="O1340" s="31">
        <f>M1340*N1340</f>
        <v/>
      </c>
      <c r="P1340" s="32">
        <f>59.3*N1340</f>
        <v/>
      </c>
    </row>
    <row r="1341">
      <c r="A1341" t="inlineStr">
        <is>
          <t>U3-03</t>
        </is>
      </c>
      <c r="B1341" t="n">
        <v>3</v>
      </c>
      <c r="C1341" t="n">
        <v>6</v>
      </c>
      <c r="D1341" t="inlineStr">
        <is>
          <t>BAF20</t>
        </is>
      </c>
      <c r="E1341" t="inlineStr">
        <is>
          <t>DF</t>
        </is>
      </c>
      <c r="F1341" t="n">
        <v>29.8</v>
      </c>
      <c r="G1341" t="n">
        <v>117</v>
      </c>
      <c r="H1341" t="n">
        <v>3</v>
      </c>
      <c r="I1341" t="inlineStr">
        <is>
          <t>L</t>
        </is>
      </c>
      <c r="J1341" t="inlineStr">
        <is>
          <t>D</t>
        </is>
      </c>
      <c r="K1341" t="inlineStr"/>
      <c r="L1341" t="inlineStr"/>
      <c r="M1341" s="30">
        <f>0.005454*F1341^2</f>
        <v/>
      </c>
      <c r="N1341" s="31">
        <f>IF(D1341="BAF20",20/M1341,100)</f>
        <v/>
      </c>
      <c r="O1341" s="31">
        <f>M1341*N1341</f>
        <v/>
      </c>
      <c r="P1341" s="32">
        <f>1159.8*N1341</f>
        <v/>
      </c>
    </row>
    <row r="1342">
      <c r="A1342" t="inlineStr">
        <is>
          <t>U3-03</t>
        </is>
      </c>
      <c r="B1342" t="n">
        <v>3</v>
      </c>
      <c r="C1342" t="n">
        <v>7</v>
      </c>
      <c r="D1342" t="inlineStr">
        <is>
          <t>BAF20</t>
        </is>
      </c>
      <c r="E1342" t="inlineStr">
        <is>
          <t>BO</t>
        </is>
      </c>
      <c r="F1342" t="n">
        <v>8.300000000000001</v>
      </c>
      <c r="G1342" t="n">
        <v>35</v>
      </c>
      <c r="H1342" t="n">
        <v>31</v>
      </c>
      <c r="I1342" t="inlineStr">
        <is>
          <t>L</t>
        </is>
      </c>
      <c r="J1342" t="inlineStr">
        <is>
          <t>S</t>
        </is>
      </c>
      <c r="K1342" t="inlineStr">
        <is>
          <t>Y</t>
        </is>
      </c>
      <c r="L1342" t="inlineStr"/>
      <c r="M1342" s="30">
        <f>0.005454*F1342^2</f>
        <v/>
      </c>
      <c r="N1342" s="31">
        <f>IF(D1342="BAF20",20/M1342,100)</f>
        <v/>
      </c>
      <c r="O1342" s="31">
        <f>M1342*N1342</f>
        <v/>
      </c>
      <c r="P1342" s="32">
        <f>0.0*N1342</f>
        <v/>
      </c>
    </row>
    <row r="1343">
      <c r="A1343" t="inlineStr">
        <is>
          <t>U3-03</t>
        </is>
      </c>
      <c r="B1343" t="n">
        <v>3</v>
      </c>
      <c r="C1343" t="n">
        <v>8</v>
      </c>
      <c r="D1343" t="inlineStr">
        <is>
          <t>BAF20</t>
        </is>
      </c>
      <c r="E1343" t="inlineStr">
        <is>
          <t>PP</t>
        </is>
      </c>
      <c r="F1343" t="n">
        <v>13.2</v>
      </c>
      <c r="G1343" t="n">
        <v>67</v>
      </c>
      <c r="H1343" t="n">
        <v>1</v>
      </c>
      <c r="I1343" t="inlineStr">
        <is>
          <t>L</t>
        </is>
      </c>
      <c r="J1343" t="inlineStr">
        <is>
          <t>S</t>
        </is>
      </c>
      <c r="K1343" t="inlineStr">
        <is>
          <t>Y</t>
        </is>
      </c>
      <c r="L1343" t="inlineStr"/>
      <c r="M1343" s="30">
        <f>0.005454*F1343^2</f>
        <v/>
      </c>
      <c r="N1343" s="31">
        <f>IF(D1343="BAF20",20/M1343,100)</f>
        <v/>
      </c>
      <c r="O1343" s="31">
        <f>M1343*N1343</f>
        <v/>
      </c>
      <c r="P1343" s="32">
        <f>97.4*N1343</f>
        <v/>
      </c>
    </row>
    <row r="1344">
      <c r="A1344" t="inlineStr">
        <is>
          <t>U3-03</t>
        </is>
      </c>
      <c r="B1344" t="n">
        <v>3</v>
      </c>
      <c r="C1344" t="n">
        <v>9</v>
      </c>
      <c r="D1344" t="inlineStr">
        <is>
          <t>BAF20</t>
        </is>
      </c>
      <c r="E1344" t="inlineStr">
        <is>
          <t>BO</t>
        </is>
      </c>
      <c r="F1344" t="n">
        <v>10.1</v>
      </c>
      <c r="G1344" t="n">
        <v>37</v>
      </c>
      <c r="H1344" t="n">
        <v>22</v>
      </c>
      <c r="I1344" t="inlineStr">
        <is>
          <t>L</t>
        </is>
      </c>
      <c r="J1344" t="inlineStr">
        <is>
          <t>S</t>
        </is>
      </c>
      <c r="K1344" t="inlineStr">
        <is>
          <t>Y</t>
        </is>
      </c>
      <c r="L1344" t="inlineStr"/>
      <c r="M1344" s="30">
        <f>0.005454*F1344^2</f>
        <v/>
      </c>
      <c r="N1344" s="31">
        <f>IF(D1344="BAF20",20/M1344,100)</f>
        <v/>
      </c>
      <c r="O1344" s="31">
        <f>M1344*N1344</f>
        <v/>
      </c>
      <c r="P1344" s="32">
        <f>20.9*N1344</f>
        <v/>
      </c>
    </row>
    <row r="1345">
      <c r="A1345" t="inlineStr">
        <is>
          <t>U3-03</t>
        </is>
      </c>
      <c r="B1345" t="n">
        <v>3</v>
      </c>
      <c r="C1345" t="n">
        <v>10</v>
      </c>
      <c r="D1345" t="inlineStr">
        <is>
          <t>BAF20</t>
        </is>
      </c>
      <c r="E1345" t="inlineStr">
        <is>
          <t>DF</t>
        </is>
      </c>
      <c r="F1345" t="n">
        <v>16.2</v>
      </c>
      <c r="G1345" t="n">
        <v>87</v>
      </c>
      <c r="H1345" t="n">
        <v>3</v>
      </c>
      <c r="I1345" t="inlineStr">
        <is>
          <t>L</t>
        </is>
      </c>
      <c r="J1345" t="inlineStr">
        <is>
          <t>I</t>
        </is>
      </c>
      <c r="K1345" t="inlineStr"/>
      <c r="L1345" t="inlineStr"/>
      <c r="M1345" s="30">
        <f>0.005454*F1345^2</f>
        <v/>
      </c>
      <c r="N1345" s="31">
        <f>IF(D1345="BAF20",20/M1345,100)</f>
        <v/>
      </c>
      <c r="O1345" s="31">
        <f>M1345*N1345</f>
        <v/>
      </c>
      <c r="P1345" s="32">
        <f>199.0*N1345</f>
        <v/>
      </c>
    </row>
    <row r="1346">
      <c r="A1346" t="inlineStr">
        <is>
          <t>U3-03</t>
        </is>
      </c>
      <c r="B1346" t="n">
        <v>3</v>
      </c>
      <c r="C1346" t="n">
        <v>11</v>
      </c>
      <c r="D1346" t="inlineStr">
        <is>
          <t>FIX100</t>
        </is>
      </c>
      <c r="E1346" t="inlineStr">
        <is>
          <t>SP</t>
        </is>
      </c>
      <c r="F1346" t="n">
        <v>4.1</v>
      </c>
      <c r="G1346" t="n">
        <v>27</v>
      </c>
      <c r="H1346" t="n">
        <v>0</v>
      </c>
      <c r="I1346" t="inlineStr">
        <is>
          <t>L</t>
        </is>
      </c>
      <c r="J1346" t="inlineStr">
        <is>
          <t>S</t>
        </is>
      </c>
      <c r="K1346" t="inlineStr"/>
      <c r="L1346" t="inlineStr"/>
      <c r="M1346" s="30">
        <f>0.005454*F1346^2</f>
        <v/>
      </c>
      <c r="N1346" s="31">
        <f>IF(D1346="BAF20",20/M1346,100)</f>
        <v/>
      </c>
      <c r="O1346" s="31">
        <f>M1346*N1346</f>
        <v/>
      </c>
      <c r="P1346" s="32">
        <f>0.0*N1346</f>
        <v/>
      </c>
    </row>
    <row r="1347">
      <c r="A1347" t="inlineStr">
        <is>
          <t>U3-03</t>
        </is>
      </c>
      <c r="B1347" t="n">
        <v>3</v>
      </c>
      <c r="C1347" t="n">
        <v>12</v>
      </c>
      <c r="D1347" t="inlineStr">
        <is>
          <t>FIX100</t>
        </is>
      </c>
      <c r="E1347" t="inlineStr">
        <is>
          <t>BO</t>
        </is>
      </c>
      <c r="F1347" t="n">
        <v>2.3</v>
      </c>
      <c r="G1347" t="n">
        <v>12</v>
      </c>
      <c r="H1347" t="n">
        <v>0</v>
      </c>
      <c r="I1347" t="inlineStr">
        <is>
          <t>L</t>
        </is>
      </c>
      <c r="J1347" t="inlineStr">
        <is>
          <t>S</t>
        </is>
      </c>
      <c r="K1347" t="inlineStr"/>
      <c r="L1347" t="inlineStr"/>
      <c r="M1347" s="30">
        <f>0.005454*F1347^2</f>
        <v/>
      </c>
      <c r="N1347" s="31">
        <f>IF(D1347="BAF20",20/M1347,100)</f>
        <v/>
      </c>
      <c r="O1347" s="31">
        <f>M1347*N1347</f>
        <v/>
      </c>
      <c r="P1347" s="32">
        <f>0.0*N1347</f>
        <v/>
      </c>
    </row>
    <row r="1348">
      <c r="A1348" t="inlineStr">
        <is>
          <t>U3-04</t>
        </is>
      </c>
      <c r="B1348" t="n">
        <v>3</v>
      </c>
      <c r="C1348" t="n">
        <v>1</v>
      </c>
      <c r="D1348" t="inlineStr">
        <is>
          <t>BAF20</t>
        </is>
      </c>
      <c r="E1348" t="inlineStr">
        <is>
          <t>WF</t>
        </is>
      </c>
      <c r="F1348" t="n">
        <v>18.2</v>
      </c>
      <c r="G1348" t="n">
        <v>81</v>
      </c>
      <c r="H1348" t="n">
        <v>2</v>
      </c>
      <c r="I1348" t="inlineStr">
        <is>
          <t>L</t>
        </is>
      </c>
      <c r="J1348" t="inlineStr">
        <is>
          <t>I</t>
        </is>
      </c>
      <c r="K1348" t="inlineStr"/>
      <c r="L1348" t="inlineStr"/>
      <c r="M1348" s="30">
        <f>0.005454*F1348^2</f>
        <v/>
      </c>
      <c r="N1348" s="31">
        <f>IF(D1348="BAF20",20/M1348,100)</f>
        <v/>
      </c>
      <c r="O1348" s="31">
        <f>M1348*N1348</f>
        <v/>
      </c>
      <c r="P1348" s="32">
        <f>246.0*N1348</f>
        <v/>
      </c>
    </row>
    <row r="1349">
      <c r="A1349" t="inlineStr">
        <is>
          <t>U3-04</t>
        </is>
      </c>
      <c r="B1349" t="n">
        <v>3</v>
      </c>
      <c r="C1349" t="n">
        <v>2</v>
      </c>
      <c r="D1349" t="inlineStr">
        <is>
          <t>BAF20</t>
        </is>
      </c>
      <c r="E1349" t="inlineStr">
        <is>
          <t>DF</t>
        </is>
      </c>
      <c r="F1349" t="n">
        <v>14.7</v>
      </c>
      <c r="G1349" t="n">
        <v>78</v>
      </c>
      <c r="H1349" t="n">
        <v>18</v>
      </c>
      <c r="I1349" t="inlineStr">
        <is>
          <t>L</t>
        </is>
      </c>
      <c r="J1349" t="inlineStr">
        <is>
          <t>I</t>
        </is>
      </c>
      <c r="K1349" t="inlineStr"/>
      <c r="L1349" t="inlineStr"/>
      <c r="M1349" s="30">
        <f>0.005454*F1349^2</f>
        <v/>
      </c>
      <c r="N1349" s="31">
        <f>IF(D1349="BAF20",20/M1349,100)</f>
        <v/>
      </c>
      <c r="O1349" s="31">
        <f>M1349*N1349</f>
        <v/>
      </c>
      <c r="P1349" s="32">
        <f>120.3*N1349</f>
        <v/>
      </c>
    </row>
    <row r="1350">
      <c r="A1350" t="inlineStr">
        <is>
          <t>U3-04</t>
        </is>
      </c>
      <c r="B1350" t="n">
        <v>3</v>
      </c>
      <c r="C1350" t="n">
        <v>3</v>
      </c>
      <c r="D1350" t="inlineStr">
        <is>
          <t>BAF20</t>
        </is>
      </c>
      <c r="E1350" t="inlineStr">
        <is>
          <t>WF</t>
        </is>
      </c>
      <c r="F1350" t="n">
        <v>17.8</v>
      </c>
      <c r="G1350" t="n">
        <v>89</v>
      </c>
      <c r="H1350" t="n">
        <v>5</v>
      </c>
      <c r="I1350" t="inlineStr">
        <is>
          <t>L</t>
        </is>
      </c>
      <c r="J1350" t="inlineStr">
        <is>
          <t>I</t>
        </is>
      </c>
      <c r="K1350" t="inlineStr"/>
      <c r="L1350" t="inlineStr"/>
      <c r="M1350" s="30">
        <f>0.005454*F1350^2</f>
        <v/>
      </c>
      <c r="N1350" s="31">
        <f>IF(D1350="BAF20",20/M1350,100)</f>
        <v/>
      </c>
      <c r="O1350" s="31">
        <f>M1350*N1350</f>
        <v/>
      </c>
      <c r="P1350" s="32">
        <f>248.6*N1350</f>
        <v/>
      </c>
    </row>
    <row r="1351">
      <c r="A1351" t="inlineStr">
        <is>
          <t>U3-04</t>
        </is>
      </c>
      <c r="B1351" t="n">
        <v>3</v>
      </c>
      <c r="C1351" t="n">
        <v>4</v>
      </c>
      <c r="D1351" t="inlineStr">
        <is>
          <t>BAF20</t>
        </is>
      </c>
      <c r="E1351" t="inlineStr">
        <is>
          <t>WF</t>
        </is>
      </c>
      <c r="F1351" t="n">
        <v>23.8</v>
      </c>
      <c r="G1351" t="n">
        <v>102</v>
      </c>
      <c r="H1351" t="n">
        <v>13</v>
      </c>
      <c r="I1351" t="inlineStr">
        <is>
          <t>L</t>
        </is>
      </c>
      <c r="J1351" t="inlineStr">
        <is>
          <t>C</t>
        </is>
      </c>
      <c r="K1351" t="inlineStr"/>
      <c r="L1351" t="inlineStr"/>
      <c r="M1351" s="30">
        <f>0.005454*F1351^2</f>
        <v/>
      </c>
      <c r="N1351" s="31">
        <f>IF(D1351="BAF20",20/M1351,100)</f>
        <v/>
      </c>
      <c r="O1351" s="31">
        <f>M1351*N1351</f>
        <v/>
      </c>
      <c r="P1351" s="32">
        <f>522.5*N1351</f>
        <v/>
      </c>
    </row>
    <row r="1352">
      <c r="A1352" t="inlineStr">
        <is>
          <t>U3-04</t>
        </is>
      </c>
      <c r="B1352" t="n">
        <v>3</v>
      </c>
      <c r="C1352" t="n">
        <v>5</v>
      </c>
      <c r="D1352" t="inlineStr">
        <is>
          <t>BAF20</t>
        </is>
      </c>
      <c r="E1352" t="inlineStr">
        <is>
          <t>PP</t>
        </is>
      </c>
      <c r="F1352" t="n">
        <v>12.8</v>
      </c>
      <c r="G1352" t="n">
        <v>61</v>
      </c>
      <c r="H1352" t="n">
        <v>2</v>
      </c>
      <c r="I1352" t="inlineStr">
        <is>
          <t>L</t>
        </is>
      </c>
      <c r="J1352" t="inlineStr">
        <is>
          <t>S</t>
        </is>
      </c>
      <c r="K1352" t="inlineStr">
        <is>
          <t>Y</t>
        </is>
      </c>
      <c r="L1352" t="inlineStr"/>
      <c r="M1352" s="30">
        <f>0.005454*F1352^2</f>
        <v/>
      </c>
      <c r="N1352" s="31">
        <f>IF(D1352="BAF20",20/M1352,100)</f>
        <v/>
      </c>
      <c r="O1352" s="31">
        <f>M1352*N1352</f>
        <v/>
      </c>
      <c r="P1352" s="32">
        <f>81.8*N1352</f>
        <v/>
      </c>
    </row>
    <row r="1353">
      <c r="A1353" t="inlineStr">
        <is>
          <t>U3-04</t>
        </is>
      </c>
      <c r="B1353" t="n">
        <v>3</v>
      </c>
      <c r="C1353" t="n">
        <v>6</v>
      </c>
      <c r="D1353" t="inlineStr">
        <is>
          <t>BAF20</t>
        </is>
      </c>
      <c r="E1353" t="inlineStr">
        <is>
          <t>PP</t>
        </is>
      </c>
      <c r="F1353" t="n">
        <v>15.1</v>
      </c>
      <c r="G1353" t="n">
        <v>56</v>
      </c>
      <c r="H1353" t="n">
        <v>5</v>
      </c>
      <c r="I1353" t="inlineStr">
        <is>
          <t>L</t>
        </is>
      </c>
      <c r="J1353" t="inlineStr">
        <is>
          <t>I</t>
        </is>
      </c>
      <c r="K1353" t="inlineStr"/>
      <c r="L1353" t="inlineStr"/>
      <c r="M1353" s="30">
        <f>0.005454*F1353^2</f>
        <v/>
      </c>
      <c r="N1353" s="31">
        <f>IF(D1353="BAF20",20/M1353,100)</f>
        <v/>
      </c>
      <c r="O1353" s="31">
        <f>M1353*N1353</f>
        <v/>
      </c>
      <c r="P1353" s="32">
        <f>106.5*N1353</f>
        <v/>
      </c>
    </row>
    <row r="1354">
      <c r="A1354" t="inlineStr">
        <is>
          <t>U3-04</t>
        </is>
      </c>
      <c r="B1354" t="n">
        <v>3</v>
      </c>
      <c r="C1354" t="n">
        <v>7</v>
      </c>
      <c r="D1354" t="inlineStr">
        <is>
          <t>BAF20</t>
        </is>
      </c>
      <c r="E1354" t="inlineStr">
        <is>
          <t>DF</t>
        </is>
      </c>
      <c r="F1354" t="n">
        <v>15.6</v>
      </c>
      <c r="G1354" t="n">
        <v>78</v>
      </c>
      <c r="H1354" t="n">
        <v>9</v>
      </c>
      <c r="I1354" t="inlineStr">
        <is>
          <t>L</t>
        </is>
      </c>
      <c r="J1354" t="inlineStr">
        <is>
          <t>I</t>
        </is>
      </c>
      <c r="K1354" t="inlineStr"/>
      <c r="L1354" t="inlineStr"/>
      <c r="M1354" s="30">
        <f>0.005454*F1354^2</f>
        <v/>
      </c>
      <c r="N1354" s="31">
        <f>IF(D1354="BAF20",20/M1354,100)</f>
        <v/>
      </c>
      <c r="O1354" s="31">
        <f>M1354*N1354</f>
        <v/>
      </c>
      <c r="P1354" s="32">
        <f>153.3*N1354</f>
        <v/>
      </c>
    </row>
    <row r="1355">
      <c r="A1355" t="inlineStr">
        <is>
          <t>U3-04</t>
        </is>
      </c>
      <c r="B1355" t="n">
        <v>3</v>
      </c>
      <c r="C1355" t="n">
        <v>8</v>
      </c>
      <c r="D1355" t="inlineStr">
        <is>
          <t>BAF20</t>
        </is>
      </c>
      <c r="E1355" t="inlineStr">
        <is>
          <t>WF</t>
        </is>
      </c>
      <c r="F1355" t="n">
        <v>12.5</v>
      </c>
      <c r="G1355" t="n">
        <v>63</v>
      </c>
      <c r="H1355" t="n">
        <v>7</v>
      </c>
      <c r="I1355" t="inlineStr">
        <is>
          <t>L</t>
        </is>
      </c>
      <c r="J1355" t="inlineStr">
        <is>
          <t>S</t>
        </is>
      </c>
      <c r="K1355" t="inlineStr">
        <is>
          <t>Y</t>
        </is>
      </c>
      <c r="L1355" t="inlineStr"/>
      <c r="M1355" s="30">
        <f>0.005454*F1355^2</f>
        <v/>
      </c>
      <c r="N1355" s="31">
        <f>IF(D1355="BAF20",20/M1355,100)</f>
        <v/>
      </c>
      <c r="O1355" s="31">
        <f>M1355*N1355</f>
        <v/>
      </c>
      <c r="P1355" s="32">
        <f>76.0*N1355</f>
        <v/>
      </c>
    </row>
    <row r="1356">
      <c r="A1356" t="inlineStr">
        <is>
          <t>U3-04</t>
        </is>
      </c>
      <c r="B1356" t="n">
        <v>3</v>
      </c>
      <c r="C1356" t="n">
        <v>9</v>
      </c>
      <c r="D1356" t="inlineStr">
        <is>
          <t>BAF20</t>
        </is>
      </c>
      <c r="E1356" t="inlineStr">
        <is>
          <t>IC</t>
        </is>
      </c>
      <c r="F1356" t="n">
        <v>17.9</v>
      </c>
      <c r="G1356" t="n">
        <v>69</v>
      </c>
      <c r="H1356" t="n">
        <v>4</v>
      </c>
      <c r="I1356" t="inlineStr">
        <is>
          <t>L</t>
        </is>
      </c>
      <c r="J1356" t="inlineStr">
        <is>
          <t>I</t>
        </is>
      </c>
      <c r="K1356" t="inlineStr"/>
      <c r="L1356" t="inlineStr"/>
      <c r="M1356" s="30">
        <f>0.005454*F1356^2</f>
        <v/>
      </c>
      <c r="N1356" s="31">
        <f>IF(D1356="BAF20",20/M1356,100)</f>
        <v/>
      </c>
      <c r="O1356" s="31">
        <f>M1356*N1356</f>
        <v/>
      </c>
      <c r="P1356" s="32">
        <f>197.4*N1356</f>
        <v/>
      </c>
    </row>
    <row r="1357">
      <c r="A1357" t="inlineStr">
        <is>
          <t>U3-04</t>
        </is>
      </c>
      <c r="B1357" t="n">
        <v>3</v>
      </c>
      <c r="C1357" t="n">
        <v>10</v>
      </c>
      <c r="D1357" t="inlineStr">
        <is>
          <t>BAF20</t>
        </is>
      </c>
      <c r="E1357" t="inlineStr">
        <is>
          <t>DF</t>
        </is>
      </c>
      <c r="F1357" t="n">
        <v>19.2</v>
      </c>
      <c r="G1357" t="n">
        <v>90</v>
      </c>
      <c r="H1357" t="n">
        <v>0</v>
      </c>
      <c r="I1357" t="inlineStr">
        <is>
          <t>L</t>
        </is>
      </c>
      <c r="J1357" t="inlineStr">
        <is>
          <t>I</t>
        </is>
      </c>
      <c r="K1357" t="inlineStr"/>
      <c r="L1357" t="inlineStr"/>
      <c r="M1357" s="30">
        <f>0.005454*F1357^2</f>
        <v/>
      </c>
      <c r="N1357" s="31">
        <f>IF(D1357="BAF20",20/M1357,100)</f>
        <v/>
      </c>
      <c r="O1357" s="31">
        <f>M1357*N1357</f>
        <v/>
      </c>
      <c r="P1357" s="32">
        <f>316.6*N1357</f>
        <v/>
      </c>
    </row>
    <row r="1358">
      <c r="A1358" t="inlineStr">
        <is>
          <t>U3-04</t>
        </is>
      </c>
      <c r="B1358" t="n">
        <v>3</v>
      </c>
      <c r="C1358" t="n">
        <v>11</v>
      </c>
      <c r="D1358" t="inlineStr">
        <is>
          <t>BAF20</t>
        </is>
      </c>
      <c r="E1358" t="inlineStr">
        <is>
          <t>IC</t>
        </is>
      </c>
      <c r="F1358" t="n">
        <v>15.6</v>
      </c>
      <c r="G1358" t="n">
        <v>69</v>
      </c>
      <c r="H1358" t="n">
        <v>1</v>
      </c>
      <c r="I1358" t="inlineStr">
        <is>
          <t>L</t>
        </is>
      </c>
      <c r="J1358" t="inlineStr">
        <is>
          <t>I</t>
        </is>
      </c>
      <c r="K1358" t="inlineStr"/>
      <c r="L1358" t="inlineStr"/>
      <c r="M1358" s="30">
        <f>0.005454*F1358^2</f>
        <v/>
      </c>
      <c r="N1358" s="31">
        <f>IF(D1358="BAF20",20/M1358,100)</f>
        <v/>
      </c>
      <c r="O1358" s="31">
        <f>M1358*N1358</f>
        <v/>
      </c>
      <c r="P1358" s="32">
        <f>147.5*N1358</f>
        <v/>
      </c>
    </row>
    <row r="1359">
      <c r="A1359" t="inlineStr">
        <is>
          <t>U3-04</t>
        </is>
      </c>
      <c r="B1359" t="n">
        <v>3</v>
      </c>
      <c r="C1359" t="n">
        <v>12</v>
      </c>
      <c r="D1359" t="inlineStr">
        <is>
          <t>BAF20</t>
        </is>
      </c>
      <c r="E1359" t="inlineStr">
        <is>
          <t>SP</t>
        </is>
      </c>
      <c r="F1359" t="n">
        <v>26.9</v>
      </c>
      <c r="G1359" t="n">
        <v>115</v>
      </c>
      <c r="H1359" t="n">
        <v>5</v>
      </c>
      <c r="I1359" t="inlineStr">
        <is>
          <t>L</t>
        </is>
      </c>
      <c r="J1359" t="inlineStr">
        <is>
          <t>D</t>
        </is>
      </c>
      <c r="K1359" t="inlineStr"/>
      <c r="L1359" t="inlineStr"/>
      <c r="M1359" s="30">
        <f>0.005454*F1359^2</f>
        <v/>
      </c>
      <c r="N1359" s="31">
        <f>IF(D1359="BAF20",20/M1359,100)</f>
        <v/>
      </c>
      <c r="O1359" s="31">
        <f>M1359*N1359</f>
        <v/>
      </c>
      <c r="P1359" s="32">
        <f>867.2*N1359</f>
        <v/>
      </c>
    </row>
    <row r="1360">
      <c r="A1360" t="inlineStr">
        <is>
          <t>U3-04</t>
        </is>
      </c>
      <c r="B1360" t="n">
        <v>3</v>
      </c>
      <c r="C1360" t="n">
        <v>13</v>
      </c>
      <c r="D1360" t="inlineStr">
        <is>
          <t>BAF20</t>
        </is>
      </c>
      <c r="E1360" t="inlineStr">
        <is>
          <t>PP</t>
        </is>
      </c>
      <c r="F1360" t="n">
        <v>31.1</v>
      </c>
      <c r="G1360" t="n">
        <v>116</v>
      </c>
      <c r="H1360" t="n">
        <v>7</v>
      </c>
      <c r="I1360" t="inlineStr">
        <is>
          <t>L</t>
        </is>
      </c>
      <c r="J1360" t="inlineStr">
        <is>
          <t>D</t>
        </is>
      </c>
      <c r="K1360" t="inlineStr"/>
      <c r="L1360" t="inlineStr"/>
      <c r="M1360" s="30">
        <f>0.005454*F1360^2</f>
        <v/>
      </c>
      <c r="N1360" s="31">
        <f>IF(D1360="BAF20",20/M1360,100)</f>
        <v/>
      </c>
      <c r="O1360" s="31">
        <f>M1360*N1360</f>
        <v/>
      </c>
      <c r="P1360" s="32">
        <f>1225.9*N1360</f>
        <v/>
      </c>
    </row>
    <row r="1361">
      <c r="A1361" t="inlineStr">
        <is>
          <t>U3-04</t>
        </is>
      </c>
      <c r="B1361" t="n">
        <v>3</v>
      </c>
      <c r="C1361" t="n">
        <v>14</v>
      </c>
      <c r="D1361" t="inlineStr">
        <is>
          <t>BAF20</t>
        </is>
      </c>
      <c r="E1361" t="inlineStr">
        <is>
          <t>WF</t>
        </is>
      </c>
      <c r="F1361" t="n">
        <v>24.6</v>
      </c>
      <c r="G1361" t="n">
        <v>108</v>
      </c>
      <c r="H1361" t="n">
        <v>2</v>
      </c>
      <c r="I1361" t="inlineStr">
        <is>
          <t>L</t>
        </is>
      </c>
      <c r="J1361" t="inlineStr">
        <is>
          <t>C</t>
        </is>
      </c>
      <c r="K1361" t="inlineStr"/>
      <c r="L1361" t="inlineStr"/>
      <c r="M1361" s="30">
        <f>0.005454*F1361^2</f>
        <v/>
      </c>
      <c r="N1361" s="31">
        <f>IF(D1361="BAF20",20/M1361,100)</f>
        <v/>
      </c>
      <c r="O1361" s="31">
        <f>M1361*N1361</f>
        <v/>
      </c>
      <c r="P1361" s="32">
        <f>675.3*N1361</f>
        <v/>
      </c>
    </row>
    <row r="1362">
      <c r="A1362" t="inlineStr">
        <is>
          <t>U3-04</t>
        </is>
      </c>
      <c r="B1362" t="n">
        <v>3</v>
      </c>
      <c r="C1362" t="n">
        <v>15</v>
      </c>
      <c r="D1362" t="inlineStr">
        <is>
          <t>BAF20</t>
        </is>
      </c>
      <c r="E1362" t="inlineStr">
        <is>
          <t>BO</t>
        </is>
      </c>
      <c r="F1362" t="n">
        <v>9.9</v>
      </c>
      <c r="G1362" t="n">
        <v>42</v>
      </c>
      <c r="H1362" t="n">
        <v>1</v>
      </c>
      <c r="I1362" t="inlineStr">
        <is>
          <t>L</t>
        </is>
      </c>
      <c r="J1362" t="inlineStr">
        <is>
          <t>S</t>
        </is>
      </c>
      <c r="K1362" t="inlineStr">
        <is>
          <t>Y</t>
        </is>
      </c>
      <c r="L1362" t="inlineStr"/>
      <c r="M1362" s="30">
        <f>0.005454*F1362^2</f>
        <v/>
      </c>
      <c r="N1362" s="31">
        <f>IF(D1362="BAF20",20/M1362,100)</f>
        <v/>
      </c>
      <c r="O1362" s="31">
        <f>M1362*N1362</f>
        <v/>
      </c>
      <c r="P1362" s="32">
        <f>0.0*N1362</f>
        <v/>
      </c>
    </row>
    <row r="1363">
      <c r="A1363" t="inlineStr">
        <is>
          <t>U3-04</t>
        </is>
      </c>
      <c r="B1363" t="n">
        <v>3</v>
      </c>
      <c r="C1363" t="n">
        <v>16</v>
      </c>
      <c r="D1363" t="inlineStr">
        <is>
          <t>BAF20</t>
        </is>
      </c>
      <c r="E1363" t="inlineStr">
        <is>
          <t>DF</t>
        </is>
      </c>
      <c r="F1363" t="n">
        <v>14.7</v>
      </c>
      <c r="G1363" t="n">
        <v>69</v>
      </c>
      <c r="H1363" t="n">
        <v>3</v>
      </c>
      <c r="I1363" t="inlineStr">
        <is>
          <t>L</t>
        </is>
      </c>
      <c r="J1363" t="inlineStr">
        <is>
          <t>I</t>
        </is>
      </c>
      <c r="K1363" t="inlineStr"/>
      <c r="L1363" t="inlineStr"/>
      <c r="M1363" s="30">
        <f>0.005454*F1363^2</f>
        <v/>
      </c>
      <c r="N1363" s="31">
        <f>IF(D1363="BAF20",20/M1363,100)</f>
        <v/>
      </c>
      <c r="O1363" s="31">
        <f>M1363*N1363</f>
        <v/>
      </c>
      <c r="P1363" s="32">
        <f>125.9*N1363</f>
        <v/>
      </c>
    </row>
    <row r="1364">
      <c r="A1364" t="inlineStr">
        <is>
          <t>U3-04</t>
        </is>
      </c>
      <c r="B1364" t="n">
        <v>3</v>
      </c>
      <c r="C1364" t="n">
        <v>17</v>
      </c>
      <c r="D1364" t="inlineStr">
        <is>
          <t>BAF20</t>
        </is>
      </c>
      <c r="E1364" t="inlineStr">
        <is>
          <t>IC</t>
        </is>
      </c>
      <c r="F1364" t="n">
        <v>14.5</v>
      </c>
      <c r="G1364" t="n">
        <v>55</v>
      </c>
      <c r="H1364" t="n">
        <v>2</v>
      </c>
      <c r="I1364" t="inlineStr">
        <is>
          <t>L</t>
        </is>
      </c>
      <c r="J1364" t="inlineStr">
        <is>
          <t>I</t>
        </is>
      </c>
      <c r="K1364" t="inlineStr"/>
      <c r="L1364" t="inlineStr"/>
      <c r="M1364" s="30">
        <f>0.005454*F1364^2</f>
        <v/>
      </c>
      <c r="N1364" s="31">
        <f>IF(D1364="BAF20",20/M1364,100)</f>
        <v/>
      </c>
      <c r="O1364" s="31">
        <f>M1364*N1364</f>
        <v/>
      </c>
      <c r="P1364" s="32">
        <f>98.2*N1364</f>
        <v/>
      </c>
    </row>
    <row r="1365">
      <c r="A1365" t="inlineStr">
        <is>
          <t>U3-04</t>
        </is>
      </c>
      <c r="B1365" t="n">
        <v>3</v>
      </c>
      <c r="C1365" t="n">
        <v>18</v>
      </c>
      <c r="D1365" t="inlineStr">
        <is>
          <t>BAF20</t>
        </is>
      </c>
      <c r="E1365" t="inlineStr">
        <is>
          <t>BO</t>
        </is>
      </c>
      <c r="F1365" t="n">
        <v>13.1</v>
      </c>
      <c r="G1365" t="n">
        <v>54</v>
      </c>
      <c r="H1365" t="n">
        <v>16</v>
      </c>
      <c r="I1365" t="inlineStr">
        <is>
          <t>L</t>
        </is>
      </c>
      <c r="J1365" t="inlineStr">
        <is>
          <t>S</t>
        </is>
      </c>
      <c r="K1365" t="inlineStr">
        <is>
          <t>Y</t>
        </is>
      </c>
      <c r="L1365" t="inlineStr"/>
      <c r="M1365" s="30">
        <f>0.005454*F1365^2</f>
        <v/>
      </c>
      <c r="N1365" s="31">
        <f>IF(D1365="BAF20",20/M1365,100)</f>
        <v/>
      </c>
      <c r="O1365" s="31">
        <f>M1365*N1365</f>
        <v/>
      </c>
      <c r="P1365" s="32">
        <f>59.2*N1365</f>
        <v/>
      </c>
    </row>
    <row r="1366">
      <c r="A1366" t="inlineStr">
        <is>
          <t>U3-04</t>
        </is>
      </c>
      <c r="B1366" t="n">
        <v>3</v>
      </c>
      <c r="C1366" t="n">
        <v>19</v>
      </c>
      <c r="D1366" t="inlineStr">
        <is>
          <t>FIX100</t>
        </is>
      </c>
      <c r="E1366" t="inlineStr">
        <is>
          <t>IC</t>
        </is>
      </c>
      <c r="F1366" t="n">
        <v>4.7</v>
      </c>
      <c r="G1366" t="n">
        <v>20</v>
      </c>
      <c r="H1366" t="n">
        <v>0</v>
      </c>
      <c r="I1366" t="inlineStr">
        <is>
          <t>L</t>
        </is>
      </c>
      <c r="J1366" t="inlineStr">
        <is>
          <t>S</t>
        </is>
      </c>
      <c r="K1366" t="inlineStr"/>
      <c r="L1366" t="inlineStr"/>
      <c r="M1366" s="30">
        <f>0.005454*F1366^2</f>
        <v/>
      </c>
      <c r="N1366" s="31">
        <f>IF(D1366="BAF20",20/M1366,100)</f>
        <v/>
      </c>
      <c r="O1366" s="31">
        <f>M1366*N1366</f>
        <v/>
      </c>
      <c r="P1366" s="32">
        <f>0.0*N1366</f>
        <v/>
      </c>
    </row>
    <row r="1367">
      <c r="A1367" t="inlineStr">
        <is>
          <t>U3-04</t>
        </is>
      </c>
      <c r="B1367" t="n">
        <v>3</v>
      </c>
      <c r="C1367" t="n">
        <v>20</v>
      </c>
      <c r="D1367" t="inlineStr">
        <is>
          <t>FIX100</t>
        </is>
      </c>
      <c r="E1367" t="inlineStr">
        <is>
          <t>DF</t>
        </is>
      </c>
      <c r="F1367" t="n">
        <v>4.7</v>
      </c>
      <c r="G1367" t="n">
        <v>30</v>
      </c>
      <c r="H1367" t="n">
        <v>0</v>
      </c>
      <c r="I1367" t="inlineStr">
        <is>
          <t>L</t>
        </is>
      </c>
      <c r="J1367" t="inlineStr">
        <is>
          <t>S</t>
        </is>
      </c>
      <c r="K1367" t="inlineStr"/>
      <c r="L1367" t="inlineStr"/>
      <c r="M1367" s="30">
        <f>0.005454*F1367^2</f>
        <v/>
      </c>
      <c r="N1367" s="31">
        <f>IF(D1367="BAF20",20/M1367,100)</f>
        <v/>
      </c>
      <c r="O1367" s="31">
        <f>M1367*N1367</f>
        <v/>
      </c>
      <c r="P1367" s="32">
        <f>0.0*N1367</f>
        <v/>
      </c>
    </row>
    <row r="1368">
      <c r="A1368" t="inlineStr">
        <is>
          <t>U3-05</t>
        </is>
      </c>
      <c r="B1368" t="n">
        <v>3</v>
      </c>
      <c r="C1368" t="n">
        <v>1</v>
      </c>
      <c r="D1368" t="inlineStr">
        <is>
          <t>BAF20</t>
        </is>
      </c>
      <c r="E1368" t="inlineStr">
        <is>
          <t>BO</t>
        </is>
      </c>
      <c r="F1368" t="n">
        <v>22.3</v>
      </c>
      <c r="G1368" t="n">
        <v>60</v>
      </c>
      <c r="H1368" t="n">
        <v>24</v>
      </c>
      <c r="I1368" t="inlineStr">
        <is>
          <t>L</t>
        </is>
      </c>
      <c r="J1368" t="inlineStr">
        <is>
          <t>C</t>
        </is>
      </c>
      <c r="K1368" t="inlineStr"/>
      <c r="L1368" t="inlineStr"/>
      <c r="M1368" s="30">
        <f>0.005454*F1368^2</f>
        <v/>
      </c>
      <c r="N1368" s="31">
        <f>IF(D1368="BAF20",20/M1368,100)</f>
        <v/>
      </c>
      <c r="O1368" s="31">
        <f>M1368*N1368</f>
        <v/>
      </c>
      <c r="P1368" s="32">
        <f>207.6*N1368</f>
        <v/>
      </c>
    </row>
    <row r="1369">
      <c r="A1369" t="inlineStr">
        <is>
          <t>U3-05</t>
        </is>
      </c>
      <c r="B1369" t="n">
        <v>3</v>
      </c>
      <c r="C1369" t="n">
        <v>2</v>
      </c>
      <c r="D1369" t="inlineStr">
        <is>
          <t>BAF20</t>
        </is>
      </c>
      <c r="E1369" t="inlineStr">
        <is>
          <t>PP</t>
        </is>
      </c>
      <c r="F1369" t="n">
        <v>37.6</v>
      </c>
      <c r="G1369" t="n">
        <v>135</v>
      </c>
      <c r="H1369" t="n">
        <v>3</v>
      </c>
      <c r="I1369" t="inlineStr">
        <is>
          <t>L</t>
        </is>
      </c>
      <c r="J1369" t="inlineStr">
        <is>
          <t>D</t>
        </is>
      </c>
      <c r="K1369" t="inlineStr"/>
      <c r="L1369" t="inlineStr"/>
      <c r="M1369" s="30">
        <f>0.005454*F1369^2</f>
        <v/>
      </c>
      <c r="N1369" s="31">
        <f>IF(D1369="BAF20",20/M1369,100)</f>
        <v/>
      </c>
      <c r="O1369" s="31">
        <f>M1369*N1369</f>
        <v/>
      </c>
      <c r="P1369" s="32">
        <f>2366.4*N1369</f>
        <v/>
      </c>
    </row>
    <row r="1370">
      <c r="A1370" t="inlineStr">
        <is>
          <t>U3-05</t>
        </is>
      </c>
      <c r="B1370" t="n">
        <v>3</v>
      </c>
      <c r="C1370" t="n">
        <v>3</v>
      </c>
      <c r="D1370" t="inlineStr">
        <is>
          <t>BAF20</t>
        </is>
      </c>
      <c r="E1370" t="inlineStr">
        <is>
          <t>PP</t>
        </is>
      </c>
      <c r="F1370" t="n">
        <v>19.1</v>
      </c>
      <c r="G1370" t="n">
        <v>87</v>
      </c>
      <c r="H1370" t="n">
        <v>4</v>
      </c>
      <c r="I1370" t="inlineStr">
        <is>
          <t>L</t>
        </is>
      </c>
      <c r="J1370" t="inlineStr">
        <is>
          <t>I</t>
        </is>
      </c>
      <c r="K1370" t="inlineStr"/>
      <c r="L1370" t="inlineStr"/>
      <c r="M1370" s="30">
        <f>0.005454*F1370^2</f>
        <v/>
      </c>
      <c r="N1370" s="31">
        <f>IF(D1370="BAF20",20/M1370,100)</f>
        <v/>
      </c>
      <c r="O1370" s="31">
        <f>M1370*N1370</f>
        <v/>
      </c>
      <c r="P1370" s="32">
        <f>290.1*N1370</f>
        <v/>
      </c>
    </row>
    <row r="1371">
      <c r="A1371" t="inlineStr">
        <is>
          <t>U3-05</t>
        </is>
      </c>
      <c r="B1371" t="n">
        <v>3</v>
      </c>
      <c r="C1371" t="n">
        <v>4</v>
      </c>
      <c r="D1371" t="inlineStr">
        <is>
          <t>BAF20</t>
        </is>
      </c>
      <c r="E1371" t="inlineStr">
        <is>
          <t>WF</t>
        </is>
      </c>
      <c r="F1371" t="n">
        <v>27.2</v>
      </c>
      <c r="G1371" t="n">
        <v>105</v>
      </c>
      <c r="H1371" t="n">
        <v>4</v>
      </c>
      <c r="I1371" t="inlineStr">
        <is>
          <t>L</t>
        </is>
      </c>
      <c r="J1371" t="inlineStr">
        <is>
          <t>D</t>
        </is>
      </c>
      <c r="K1371" t="inlineStr"/>
      <c r="L1371" t="inlineStr"/>
      <c r="M1371" s="30">
        <f>0.005454*F1371^2</f>
        <v/>
      </c>
      <c r="N1371" s="31">
        <f>IF(D1371="BAF20",20/M1371,100)</f>
        <v/>
      </c>
      <c r="O1371" s="31">
        <f>M1371*N1371</f>
        <v/>
      </c>
      <c r="P1371" s="32">
        <f>822.2*N1371</f>
        <v/>
      </c>
    </row>
    <row r="1372">
      <c r="A1372" t="inlineStr">
        <is>
          <t>U3-05</t>
        </is>
      </c>
      <c r="B1372" t="n">
        <v>3</v>
      </c>
      <c r="C1372" t="n">
        <v>5</v>
      </c>
      <c r="D1372" t="inlineStr">
        <is>
          <t>BAF20</t>
        </is>
      </c>
      <c r="E1372" t="inlineStr">
        <is>
          <t>IC</t>
        </is>
      </c>
      <c r="F1372" t="n">
        <v>15.2</v>
      </c>
      <c r="G1372" t="n">
        <v>62</v>
      </c>
      <c r="H1372" t="n">
        <v>9</v>
      </c>
      <c r="I1372" t="inlineStr">
        <is>
          <t>L</t>
        </is>
      </c>
      <c r="J1372" t="inlineStr">
        <is>
          <t>I</t>
        </is>
      </c>
      <c r="K1372" t="inlineStr"/>
      <c r="L1372" t="inlineStr"/>
      <c r="M1372" s="30">
        <f>0.005454*F1372^2</f>
        <v/>
      </c>
      <c r="N1372" s="31">
        <f>IF(D1372="BAF20",20/M1372,100)</f>
        <v/>
      </c>
      <c r="O1372" s="31">
        <f>M1372*N1372</f>
        <v/>
      </c>
      <c r="P1372" s="32">
        <f>114.7*N1372</f>
        <v/>
      </c>
    </row>
    <row r="1373">
      <c r="A1373" t="inlineStr">
        <is>
          <t>U3-05</t>
        </is>
      </c>
      <c r="B1373" t="n">
        <v>3</v>
      </c>
      <c r="C1373" t="n">
        <v>6</v>
      </c>
      <c r="D1373" t="inlineStr">
        <is>
          <t>BAF20</t>
        </is>
      </c>
      <c r="E1373" t="inlineStr">
        <is>
          <t>WF</t>
        </is>
      </c>
      <c r="F1373" t="n">
        <v>28.9</v>
      </c>
      <c r="G1373" t="n">
        <v>112</v>
      </c>
      <c r="H1373" t="n">
        <v>9</v>
      </c>
      <c r="I1373" t="inlineStr">
        <is>
          <t>L</t>
        </is>
      </c>
      <c r="J1373" t="inlineStr">
        <is>
          <t>D</t>
        </is>
      </c>
      <c r="K1373" t="inlineStr"/>
      <c r="L1373" t="inlineStr"/>
      <c r="M1373" s="30">
        <f>0.005454*F1373^2</f>
        <v/>
      </c>
      <c r="N1373" s="31">
        <f>IF(D1373="BAF20",20/M1373,100)</f>
        <v/>
      </c>
      <c r="O1373" s="31">
        <f>M1373*N1373</f>
        <v/>
      </c>
      <c r="P1373" s="32">
        <f>965.4*N1373</f>
        <v/>
      </c>
    </row>
    <row r="1374">
      <c r="A1374" t="inlineStr">
        <is>
          <t>U3-05</t>
        </is>
      </c>
      <c r="B1374" t="n">
        <v>3</v>
      </c>
      <c r="C1374" t="n">
        <v>7</v>
      </c>
      <c r="D1374" t="inlineStr">
        <is>
          <t>BAF20</t>
        </is>
      </c>
      <c r="E1374" t="inlineStr">
        <is>
          <t>SP</t>
        </is>
      </c>
      <c r="F1374" t="n">
        <v>38.1</v>
      </c>
      <c r="G1374" t="n">
        <v>141</v>
      </c>
      <c r="H1374" t="n">
        <v>10</v>
      </c>
      <c r="I1374" t="inlineStr">
        <is>
          <t>L</t>
        </is>
      </c>
      <c r="J1374" t="inlineStr">
        <is>
          <t>D</t>
        </is>
      </c>
      <c r="K1374" t="inlineStr"/>
      <c r="L1374" t="inlineStr"/>
      <c r="M1374" s="30">
        <f>0.005454*F1374^2</f>
        <v/>
      </c>
      <c r="N1374" s="31">
        <f>IF(D1374="BAF20",20/M1374,100)</f>
        <v/>
      </c>
      <c r="O1374" s="31">
        <f>M1374*N1374</f>
        <v/>
      </c>
      <c r="P1374" s="32">
        <f>2354.6*N1374</f>
        <v/>
      </c>
    </row>
    <row r="1375">
      <c r="A1375" t="inlineStr">
        <is>
          <t>U3-05</t>
        </is>
      </c>
      <c r="B1375" t="n">
        <v>3</v>
      </c>
      <c r="C1375" t="n">
        <v>8</v>
      </c>
      <c r="D1375" t="inlineStr">
        <is>
          <t>BAF20</t>
        </is>
      </c>
      <c r="E1375" t="inlineStr">
        <is>
          <t>BO</t>
        </is>
      </c>
      <c r="F1375" t="n">
        <v>15.4</v>
      </c>
      <c r="G1375" t="n">
        <v>54</v>
      </c>
      <c r="H1375" t="n">
        <v>60</v>
      </c>
      <c r="I1375" t="inlineStr">
        <is>
          <t>L</t>
        </is>
      </c>
      <c r="J1375" t="inlineStr">
        <is>
          <t>I</t>
        </is>
      </c>
      <c r="K1375" t="inlineStr"/>
      <c r="L1375" t="inlineStr"/>
      <c r="M1375" s="30">
        <f>0.005454*F1375^2</f>
        <v/>
      </c>
      <c r="N1375" s="31">
        <f>IF(D1375="BAF20",20/M1375,100)</f>
        <v/>
      </c>
      <c r="O1375" s="31">
        <f>M1375*N1375</f>
        <v/>
      </c>
      <c r="P1375" s="32">
        <f>41.0*N1375</f>
        <v/>
      </c>
    </row>
    <row r="1376">
      <c r="A1376" t="inlineStr">
        <is>
          <t>U3-05</t>
        </is>
      </c>
      <c r="B1376" t="n">
        <v>3</v>
      </c>
      <c r="C1376" t="n">
        <v>9</v>
      </c>
      <c r="D1376" t="inlineStr">
        <is>
          <t>BAF20</t>
        </is>
      </c>
      <c r="E1376" t="inlineStr">
        <is>
          <t>WF</t>
        </is>
      </c>
      <c r="F1376" t="n">
        <v>5</v>
      </c>
      <c r="G1376" t="n">
        <v>25</v>
      </c>
      <c r="H1376" t="n">
        <v>11</v>
      </c>
      <c r="I1376" t="inlineStr">
        <is>
          <t>L</t>
        </is>
      </c>
      <c r="J1376" t="inlineStr">
        <is>
          <t>S</t>
        </is>
      </c>
      <c r="K1376" t="inlineStr">
        <is>
          <t>Y</t>
        </is>
      </c>
      <c r="L1376" t="inlineStr"/>
      <c r="M1376" s="30">
        <f>0.005454*F1376^2</f>
        <v/>
      </c>
      <c r="N1376" s="31">
        <f>IF(D1376="BAF20",20/M1376,100)</f>
        <v/>
      </c>
      <c r="O1376" s="31">
        <f>M1376*N1376</f>
        <v/>
      </c>
      <c r="P1376" s="32">
        <f>0.0*N1376</f>
        <v/>
      </c>
    </row>
    <row r="1377">
      <c r="A1377" t="inlineStr">
        <is>
          <t>U3-05</t>
        </is>
      </c>
      <c r="B1377" t="n">
        <v>3</v>
      </c>
      <c r="C1377" t="n">
        <v>10</v>
      </c>
      <c r="D1377" t="inlineStr">
        <is>
          <t>BAF20</t>
        </is>
      </c>
      <c r="E1377" t="inlineStr">
        <is>
          <t>DF</t>
        </is>
      </c>
      <c r="F1377" t="n">
        <v>8.199999999999999</v>
      </c>
      <c r="G1377" t="n">
        <v>50</v>
      </c>
      <c r="H1377" t="n">
        <v>4</v>
      </c>
      <c r="I1377" t="inlineStr">
        <is>
          <t>L</t>
        </is>
      </c>
      <c r="J1377" t="inlineStr">
        <is>
          <t>S</t>
        </is>
      </c>
      <c r="K1377" t="inlineStr">
        <is>
          <t>Y</t>
        </is>
      </c>
      <c r="L1377" t="inlineStr"/>
      <c r="M1377" s="30">
        <f>0.005454*F1377^2</f>
        <v/>
      </c>
      <c r="N1377" s="31">
        <f>IF(D1377="BAF20",20/M1377,100)</f>
        <v/>
      </c>
      <c r="O1377" s="31">
        <f>M1377*N1377</f>
        <v/>
      </c>
      <c r="P1377" s="32">
        <f>0.0*N1377</f>
        <v/>
      </c>
    </row>
    <row r="1378">
      <c r="A1378" t="inlineStr">
        <is>
          <t>U3-05</t>
        </is>
      </c>
      <c r="B1378" t="n">
        <v>3</v>
      </c>
      <c r="C1378" t="n">
        <v>11</v>
      </c>
      <c r="D1378" t="inlineStr">
        <is>
          <t>BAF20</t>
        </is>
      </c>
      <c r="E1378" t="inlineStr">
        <is>
          <t>PP</t>
        </is>
      </c>
      <c r="F1378" t="n">
        <v>11</v>
      </c>
      <c r="G1378" t="n">
        <v>66</v>
      </c>
      <c r="H1378" t="n">
        <v>1</v>
      </c>
      <c r="I1378" t="inlineStr">
        <is>
          <t>L</t>
        </is>
      </c>
      <c r="J1378" t="inlineStr">
        <is>
          <t>S</t>
        </is>
      </c>
      <c r="K1378" t="inlineStr">
        <is>
          <t>Y</t>
        </is>
      </c>
      <c r="L1378" t="inlineStr"/>
      <c r="M1378" s="30">
        <f>0.005454*F1378^2</f>
        <v/>
      </c>
      <c r="N1378" s="31">
        <f>IF(D1378="BAF20",20/M1378,100)</f>
        <v/>
      </c>
      <c r="O1378" s="31">
        <f>M1378*N1378</f>
        <v/>
      </c>
      <c r="P1378" s="32">
        <f>63.4*N1378</f>
        <v/>
      </c>
    </row>
    <row r="1379">
      <c r="A1379" t="inlineStr">
        <is>
          <t>U3-05</t>
        </is>
      </c>
      <c r="B1379" t="n">
        <v>3</v>
      </c>
      <c r="C1379" t="n">
        <v>12</v>
      </c>
      <c r="D1379" t="inlineStr">
        <is>
          <t>BAF20</t>
        </is>
      </c>
      <c r="E1379" t="inlineStr">
        <is>
          <t>PP</t>
        </is>
      </c>
      <c r="F1379" t="n">
        <v>19</v>
      </c>
      <c r="G1379" t="n">
        <v>83</v>
      </c>
      <c r="H1379" t="n">
        <v>3</v>
      </c>
      <c r="I1379" t="inlineStr">
        <is>
          <t>L</t>
        </is>
      </c>
      <c r="J1379" t="inlineStr">
        <is>
          <t>I</t>
        </is>
      </c>
      <c r="K1379" t="inlineStr"/>
      <c r="L1379" t="inlineStr"/>
      <c r="M1379" s="30">
        <f>0.005454*F1379^2</f>
        <v/>
      </c>
      <c r="N1379" s="31">
        <f>IF(D1379="BAF20",20/M1379,100)</f>
        <v/>
      </c>
      <c r="O1379" s="31">
        <f>M1379*N1379</f>
        <v/>
      </c>
      <c r="P1379" s="32">
        <f>276.2*N1379</f>
        <v/>
      </c>
    </row>
    <row r="1380">
      <c r="A1380" t="inlineStr">
        <is>
          <t>U3-05</t>
        </is>
      </c>
      <c r="B1380" t="n">
        <v>3</v>
      </c>
      <c r="C1380" t="n">
        <v>13</v>
      </c>
      <c r="D1380" t="inlineStr">
        <is>
          <t>FIX100</t>
        </is>
      </c>
      <c r="E1380" t="inlineStr">
        <is>
          <t>SP</t>
        </is>
      </c>
      <c r="F1380" t="n">
        <v>2.9</v>
      </c>
      <c r="G1380" t="n">
        <v>16</v>
      </c>
      <c r="H1380" t="n">
        <v>0</v>
      </c>
      <c r="I1380" t="inlineStr">
        <is>
          <t>L</t>
        </is>
      </c>
      <c r="J1380" t="inlineStr">
        <is>
          <t>S</t>
        </is>
      </c>
      <c r="K1380" t="inlineStr"/>
      <c r="L1380" t="inlineStr"/>
      <c r="M1380" s="30">
        <f>0.005454*F1380^2</f>
        <v/>
      </c>
      <c r="N1380" s="31">
        <f>IF(D1380="BAF20",20/M1380,100)</f>
        <v/>
      </c>
      <c r="O1380" s="31">
        <f>M1380*N1380</f>
        <v/>
      </c>
      <c r="P1380" s="32">
        <f>0.0*N1380</f>
        <v/>
      </c>
    </row>
    <row r="1381">
      <c r="A1381" t="inlineStr">
        <is>
          <t>U3-05</t>
        </is>
      </c>
      <c r="B1381" t="n">
        <v>3</v>
      </c>
      <c r="C1381" t="n">
        <v>14</v>
      </c>
      <c r="D1381" t="inlineStr">
        <is>
          <t>FIX100</t>
        </is>
      </c>
      <c r="E1381" t="inlineStr">
        <is>
          <t>BO</t>
        </is>
      </c>
      <c r="F1381" t="n">
        <v>4.3</v>
      </c>
      <c r="G1381" t="n">
        <v>19</v>
      </c>
      <c r="H1381" t="n">
        <v>0</v>
      </c>
      <c r="I1381" t="inlineStr">
        <is>
          <t>L</t>
        </is>
      </c>
      <c r="J1381" t="inlineStr">
        <is>
          <t>S</t>
        </is>
      </c>
      <c r="K1381" t="inlineStr"/>
      <c r="L1381" t="inlineStr"/>
      <c r="M1381" s="30">
        <f>0.005454*F1381^2</f>
        <v/>
      </c>
      <c r="N1381" s="31">
        <f>IF(D1381="BAF20",20/M1381,100)</f>
        <v/>
      </c>
      <c r="O1381" s="31">
        <f>M1381*N1381</f>
        <v/>
      </c>
      <c r="P1381" s="32">
        <f>0.0*N1381</f>
        <v/>
      </c>
    </row>
    <row r="1382">
      <c r="A1382" t="inlineStr">
        <is>
          <t>U3-06</t>
        </is>
      </c>
      <c r="B1382" t="n">
        <v>3</v>
      </c>
      <c r="C1382" t="n">
        <v>1</v>
      </c>
      <c r="D1382" t="inlineStr">
        <is>
          <t>BAF20</t>
        </is>
      </c>
      <c r="E1382" t="inlineStr">
        <is>
          <t>DF</t>
        </is>
      </c>
      <c r="F1382" t="n">
        <v>20</v>
      </c>
      <c r="G1382" t="n">
        <v>95</v>
      </c>
      <c r="H1382" t="n">
        <v>9</v>
      </c>
      <c r="I1382" t="inlineStr">
        <is>
          <t>L</t>
        </is>
      </c>
      <c r="J1382" t="inlineStr">
        <is>
          <t>I</t>
        </is>
      </c>
      <c r="K1382" t="inlineStr"/>
      <c r="L1382" t="inlineStr"/>
      <c r="M1382" s="30">
        <f>0.005454*F1382^2</f>
        <v/>
      </c>
      <c r="N1382" s="31">
        <f>IF(D1382="BAF20",20/M1382,100)</f>
        <v/>
      </c>
      <c r="O1382" s="31">
        <f>M1382*N1382</f>
        <v/>
      </c>
      <c r="P1382" s="32">
        <f>335.1*N1382</f>
        <v/>
      </c>
    </row>
    <row r="1383">
      <c r="A1383" t="inlineStr">
        <is>
          <t>U3-06</t>
        </is>
      </c>
      <c r="B1383" t="n">
        <v>3</v>
      </c>
      <c r="C1383" t="n">
        <v>2</v>
      </c>
      <c r="D1383" t="inlineStr">
        <is>
          <t>BAF20</t>
        </is>
      </c>
      <c r="E1383" t="inlineStr">
        <is>
          <t>PP</t>
        </is>
      </c>
      <c r="F1383" t="n">
        <v>25.7</v>
      </c>
      <c r="G1383" t="n">
        <v>107</v>
      </c>
      <c r="H1383" t="n">
        <v>3</v>
      </c>
      <c r="I1383" t="inlineStr">
        <is>
          <t>L</t>
        </is>
      </c>
      <c r="J1383" t="inlineStr">
        <is>
          <t>C</t>
        </is>
      </c>
      <c r="K1383" t="inlineStr"/>
      <c r="L1383" t="inlineStr"/>
      <c r="M1383" s="30">
        <f>0.005454*F1383^2</f>
        <v/>
      </c>
      <c r="N1383" s="31">
        <f>IF(D1383="BAF20",20/M1383,100)</f>
        <v/>
      </c>
      <c r="O1383" s="31">
        <f>M1383*N1383</f>
        <v/>
      </c>
      <c r="P1383" s="32">
        <f>736.7*N1383</f>
        <v/>
      </c>
    </row>
    <row r="1384">
      <c r="A1384" t="inlineStr">
        <is>
          <t>U3-06</t>
        </is>
      </c>
      <c r="B1384" t="n">
        <v>3</v>
      </c>
      <c r="C1384" t="n">
        <v>3</v>
      </c>
      <c r="D1384" t="inlineStr">
        <is>
          <t>BAF20</t>
        </is>
      </c>
      <c r="E1384" t="inlineStr">
        <is>
          <t>WF</t>
        </is>
      </c>
      <c r="F1384" t="n">
        <v>21.4</v>
      </c>
      <c r="G1384" t="n">
        <v>101</v>
      </c>
      <c r="H1384" t="n">
        <v>11</v>
      </c>
      <c r="I1384" t="inlineStr">
        <is>
          <t>L</t>
        </is>
      </c>
      <c r="J1384" t="inlineStr">
        <is>
          <t>C</t>
        </is>
      </c>
      <c r="K1384" t="inlineStr"/>
      <c r="L1384" t="inlineStr"/>
      <c r="M1384" s="30">
        <f>0.005454*F1384^2</f>
        <v/>
      </c>
      <c r="N1384" s="31">
        <f>IF(D1384="BAF20",20/M1384,100)</f>
        <v/>
      </c>
      <c r="O1384" s="31">
        <f>M1384*N1384</f>
        <v/>
      </c>
      <c r="P1384" s="32">
        <f>409.6*N1384</f>
        <v/>
      </c>
    </row>
    <row r="1385">
      <c r="A1385" t="inlineStr">
        <is>
          <t>U3-06</t>
        </is>
      </c>
      <c r="B1385" t="n">
        <v>3</v>
      </c>
      <c r="C1385" t="n">
        <v>4</v>
      </c>
      <c r="D1385" t="inlineStr">
        <is>
          <t>BAF20</t>
        </is>
      </c>
      <c r="E1385" t="inlineStr">
        <is>
          <t>WF</t>
        </is>
      </c>
      <c r="F1385" t="n">
        <v>16.9</v>
      </c>
      <c r="G1385" t="n">
        <v>83</v>
      </c>
      <c r="H1385" t="n">
        <v>100</v>
      </c>
      <c r="I1385" t="inlineStr">
        <is>
          <t>D</t>
        </is>
      </c>
      <c r="J1385" t="inlineStr">
        <is>
          <t>I</t>
        </is>
      </c>
      <c r="K1385" t="inlineStr"/>
      <c r="L1385" t="inlineStr"/>
      <c r="M1385" s="30">
        <f>0.005454*F1385^2</f>
        <v/>
      </c>
      <c r="N1385" s="31">
        <f>IF(D1385="BAF20",20/M1385,100)</f>
        <v/>
      </c>
      <c r="O1385" s="31">
        <f>M1385*N1385</f>
        <v/>
      </c>
      <c r="P1385" s="32">
        <f>0.0*N1385</f>
        <v/>
      </c>
    </row>
    <row r="1386">
      <c r="A1386" t="inlineStr">
        <is>
          <t>U3-06</t>
        </is>
      </c>
      <c r="B1386" t="n">
        <v>3</v>
      </c>
      <c r="C1386" t="n">
        <v>5</v>
      </c>
      <c r="D1386" t="inlineStr">
        <is>
          <t>BAF20</t>
        </is>
      </c>
      <c r="E1386" t="inlineStr">
        <is>
          <t>PP</t>
        </is>
      </c>
      <c r="F1386" t="n">
        <v>19.6</v>
      </c>
      <c r="G1386" t="n">
        <v>87</v>
      </c>
      <c r="H1386" t="n">
        <v>1</v>
      </c>
      <c r="I1386" t="inlineStr">
        <is>
          <t>L</t>
        </is>
      </c>
      <c r="J1386" t="inlineStr">
        <is>
          <t>I</t>
        </is>
      </c>
      <c r="K1386" t="inlineStr"/>
      <c r="L1386" t="inlineStr"/>
      <c r="M1386" s="30">
        <f>0.005454*F1386^2</f>
        <v/>
      </c>
      <c r="N1386" s="31">
        <f>IF(D1386="BAF20",20/M1386,100)</f>
        <v/>
      </c>
      <c r="O1386" s="31">
        <f>M1386*N1386</f>
        <v/>
      </c>
      <c r="P1386" s="32">
        <f>318.2*N1386</f>
        <v/>
      </c>
    </row>
    <row r="1387">
      <c r="A1387" t="inlineStr">
        <is>
          <t>U3-06</t>
        </is>
      </c>
      <c r="B1387" t="n">
        <v>3</v>
      </c>
      <c r="C1387" t="n">
        <v>6</v>
      </c>
      <c r="D1387" t="inlineStr">
        <is>
          <t>BAF20</t>
        </is>
      </c>
      <c r="E1387" t="inlineStr">
        <is>
          <t>DF</t>
        </is>
      </c>
      <c r="F1387" t="n">
        <v>12.7</v>
      </c>
      <c r="G1387" t="n">
        <v>66</v>
      </c>
      <c r="H1387" t="n">
        <v>2</v>
      </c>
      <c r="I1387" t="inlineStr">
        <is>
          <t>L</t>
        </is>
      </c>
      <c r="J1387" t="inlineStr">
        <is>
          <t>S</t>
        </is>
      </c>
      <c r="K1387" t="inlineStr">
        <is>
          <t>Y</t>
        </is>
      </c>
      <c r="L1387" t="inlineStr"/>
      <c r="M1387" s="30">
        <f>0.005454*F1387^2</f>
        <v/>
      </c>
      <c r="N1387" s="31">
        <f>IF(D1387="BAF20",20/M1387,100)</f>
        <v/>
      </c>
      <c r="O1387" s="31">
        <f>M1387*N1387</f>
        <v/>
      </c>
      <c r="P1387" s="32">
        <f>87.0*N1387</f>
        <v/>
      </c>
    </row>
    <row r="1388">
      <c r="A1388" t="inlineStr">
        <is>
          <t>U3-06</t>
        </is>
      </c>
      <c r="B1388" t="n">
        <v>3</v>
      </c>
      <c r="C1388" t="n">
        <v>7</v>
      </c>
      <c r="D1388" t="inlineStr">
        <is>
          <t>BAF20</t>
        </is>
      </c>
      <c r="E1388" t="inlineStr">
        <is>
          <t>PP</t>
        </is>
      </c>
      <c r="F1388" t="n">
        <v>11.9</v>
      </c>
      <c r="G1388" t="n">
        <v>60</v>
      </c>
      <c r="H1388" t="n">
        <v>3</v>
      </c>
      <c r="I1388" t="inlineStr">
        <is>
          <t>L</t>
        </is>
      </c>
      <c r="J1388" t="inlineStr">
        <is>
          <t>S</t>
        </is>
      </c>
      <c r="K1388" t="inlineStr">
        <is>
          <t>Y</t>
        </is>
      </c>
      <c r="L1388" t="inlineStr"/>
      <c r="M1388" s="30">
        <f>0.005454*F1388^2</f>
        <v/>
      </c>
      <c r="N1388" s="31">
        <f>IF(D1388="BAF20",20/M1388,100)</f>
        <v/>
      </c>
      <c r="O1388" s="31">
        <f>M1388*N1388</f>
        <v/>
      </c>
      <c r="P1388" s="32">
        <f>67.5*N1388</f>
        <v/>
      </c>
    </row>
    <row r="1389">
      <c r="A1389" t="inlineStr">
        <is>
          <t>U3-06</t>
        </is>
      </c>
      <c r="B1389" t="n">
        <v>3</v>
      </c>
      <c r="C1389" t="n">
        <v>8</v>
      </c>
      <c r="D1389" t="inlineStr">
        <is>
          <t>BAF20</t>
        </is>
      </c>
      <c r="E1389" t="inlineStr">
        <is>
          <t>DF</t>
        </is>
      </c>
      <c r="F1389" t="n">
        <v>20.2</v>
      </c>
      <c r="G1389" t="n">
        <v>97</v>
      </c>
      <c r="H1389" t="n">
        <v>100</v>
      </c>
      <c r="I1389" t="inlineStr">
        <is>
          <t>D</t>
        </is>
      </c>
      <c r="J1389" t="inlineStr">
        <is>
          <t>C</t>
        </is>
      </c>
      <c r="K1389" t="inlineStr"/>
      <c r="L1389" t="inlineStr"/>
      <c r="M1389" s="30">
        <f>0.005454*F1389^2</f>
        <v/>
      </c>
      <c r="N1389" s="31">
        <f>IF(D1389="BAF20",20/M1389,100)</f>
        <v/>
      </c>
      <c r="O1389" s="31">
        <f>M1389*N1389</f>
        <v/>
      </c>
      <c r="P1389" s="32">
        <f>0.0*N1389</f>
        <v/>
      </c>
    </row>
    <row r="1390">
      <c r="A1390" t="inlineStr">
        <is>
          <t>U3-06</t>
        </is>
      </c>
      <c r="B1390" t="n">
        <v>3</v>
      </c>
      <c r="C1390" t="n">
        <v>9</v>
      </c>
      <c r="D1390" t="inlineStr">
        <is>
          <t>FIX100</t>
        </is>
      </c>
      <c r="E1390" t="inlineStr">
        <is>
          <t>IC</t>
        </is>
      </c>
      <c r="F1390" t="n">
        <v>4.8</v>
      </c>
      <c r="G1390" t="n">
        <v>19</v>
      </c>
      <c r="H1390" t="n">
        <v>0</v>
      </c>
      <c r="I1390" t="inlineStr">
        <is>
          <t>L</t>
        </is>
      </c>
      <c r="J1390" t="inlineStr">
        <is>
          <t>S</t>
        </is>
      </c>
      <c r="K1390" t="inlineStr"/>
      <c r="L1390" t="inlineStr"/>
      <c r="M1390" s="30">
        <f>0.005454*F1390^2</f>
        <v/>
      </c>
      <c r="N1390" s="31">
        <f>IF(D1390="BAF20",20/M1390,100)</f>
        <v/>
      </c>
      <c r="O1390" s="31">
        <f>M1390*N1390</f>
        <v/>
      </c>
      <c r="P1390" s="32">
        <f>0.0*N1390</f>
        <v/>
      </c>
    </row>
    <row r="1391">
      <c r="A1391" t="inlineStr">
        <is>
          <t>U4-01</t>
        </is>
      </c>
      <c r="B1391" t="n">
        <v>4</v>
      </c>
      <c r="C1391" t="n">
        <v>1</v>
      </c>
      <c r="D1391" t="inlineStr">
        <is>
          <t>BAF20</t>
        </is>
      </c>
      <c r="E1391" t="inlineStr">
        <is>
          <t>WF</t>
        </is>
      </c>
      <c r="F1391" t="n">
        <v>20.1</v>
      </c>
      <c r="G1391" t="n">
        <v>100</v>
      </c>
      <c r="H1391" t="n">
        <v>3</v>
      </c>
      <c r="I1391" t="inlineStr">
        <is>
          <t>L</t>
        </is>
      </c>
      <c r="J1391" t="inlineStr">
        <is>
          <t>C</t>
        </is>
      </c>
      <c r="K1391" t="inlineStr"/>
      <c r="L1391" t="inlineStr"/>
      <c r="M1391" s="30">
        <f>0.005454*F1391^2</f>
        <v/>
      </c>
      <c r="N1391" s="31">
        <f>IF(D1391="BAF20",20/M1391,100)</f>
        <v/>
      </c>
      <c r="O1391" s="31">
        <f>M1391*N1391</f>
        <v/>
      </c>
      <c r="P1391" s="32">
        <f>380.5*N1391</f>
        <v/>
      </c>
    </row>
    <row r="1392">
      <c r="A1392" t="inlineStr">
        <is>
          <t>U4-01</t>
        </is>
      </c>
      <c r="B1392" t="n">
        <v>4</v>
      </c>
      <c r="C1392" t="n">
        <v>2</v>
      </c>
      <c r="D1392" t="inlineStr">
        <is>
          <t>BAF20</t>
        </is>
      </c>
      <c r="E1392" t="inlineStr">
        <is>
          <t>WF</t>
        </is>
      </c>
      <c r="F1392" t="n">
        <v>5.8</v>
      </c>
      <c r="G1392" t="n">
        <v>31</v>
      </c>
      <c r="H1392" t="n">
        <v>1</v>
      </c>
      <c r="I1392" t="inlineStr">
        <is>
          <t>L</t>
        </is>
      </c>
      <c r="J1392" t="inlineStr">
        <is>
          <t>S</t>
        </is>
      </c>
      <c r="K1392" t="inlineStr">
        <is>
          <t>Y</t>
        </is>
      </c>
      <c r="L1392" t="inlineStr"/>
      <c r="M1392" s="30">
        <f>0.005454*F1392^2</f>
        <v/>
      </c>
      <c r="N1392" s="31">
        <f>IF(D1392="BAF20",20/M1392,100)</f>
        <v/>
      </c>
      <c r="O1392" s="31">
        <f>M1392*N1392</f>
        <v/>
      </c>
      <c r="P1392" s="32">
        <f>0.0*N1392</f>
        <v/>
      </c>
    </row>
    <row r="1393">
      <c r="A1393" t="inlineStr">
        <is>
          <t>U4-01</t>
        </is>
      </c>
      <c r="B1393" t="n">
        <v>4</v>
      </c>
      <c r="C1393" t="n">
        <v>3</v>
      </c>
      <c r="D1393" t="inlineStr">
        <is>
          <t>BAF20</t>
        </is>
      </c>
      <c r="E1393" t="inlineStr">
        <is>
          <t>IC</t>
        </is>
      </c>
      <c r="F1393" t="n">
        <v>24.2</v>
      </c>
      <c r="G1393" t="n">
        <v>77</v>
      </c>
      <c r="H1393" t="n">
        <v>9</v>
      </c>
      <c r="I1393" t="inlineStr">
        <is>
          <t>L</t>
        </is>
      </c>
      <c r="J1393" t="inlineStr">
        <is>
          <t>D</t>
        </is>
      </c>
      <c r="K1393" t="inlineStr"/>
      <c r="L1393" t="inlineStr"/>
      <c r="M1393" s="30">
        <f>0.005454*F1393^2</f>
        <v/>
      </c>
      <c r="N1393" s="31">
        <f>IF(D1393="BAF20",20/M1393,100)</f>
        <v/>
      </c>
      <c r="O1393" s="31">
        <f>M1393*N1393</f>
        <v/>
      </c>
      <c r="P1393" s="32">
        <f>429.6*N1393</f>
        <v/>
      </c>
    </row>
    <row r="1394">
      <c r="A1394" t="inlineStr">
        <is>
          <t>U4-01</t>
        </is>
      </c>
      <c r="B1394" t="n">
        <v>4</v>
      </c>
      <c r="C1394" t="n">
        <v>4</v>
      </c>
      <c r="D1394" t="inlineStr">
        <is>
          <t>BAF20</t>
        </is>
      </c>
      <c r="E1394" t="inlineStr">
        <is>
          <t>DF</t>
        </is>
      </c>
      <c r="F1394" t="n">
        <v>5.8</v>
      </c>
      <c r="G1394" t="n">
        <v>31</v>
      </c>
      <c r="H1394" t="n">
        <v>4</v>
      </c>
      <c r="I1394" t="inlineStr">
        <is>
          <t>L</t>
        </is>
      </c>
      <c r="J1394" t="inlineStr">
        <is>
          <t>S</t>
        </is>
      </c>
      <c r="K1394" t="inlineStr">
        <is>
          <t>Y</t>
        </is>
      </c>
      <c r="L1394" t="inlineStr"/>
      <c r="M1394" s="30">
        <f>0.005454*F1394^2</f>
        <v/>
      </c>
      <c r="N1394" s="31">
        <f>IF(D1394="BAF20",20/M1394,100)</f>
        <v/>
      </c>
      <c r="O1394" s="31">
        <f>M1394*N1394</f>
        <v/>
      </c>
      <c r="P1394" s="32">
        <f>0.0*N1394</f>
        <v/>
      </c>
    </row>
    <row r="1395">
      <c r="A1395" t="inlineStr">
        <is>
          <t>U4-01</t>
        </is>
      </c>
      <c r="B1395" t="n">
        <v>4</v>
      </c>
      <c r="C1395" t="n">
        <v>5</v>
      </c>
      <c r="D1395" t="inlineStr">
        <is>
          <t>BAF20</t>
        </is>
      </c>
      <c r="E1395" t="inlineStr">
        <is>
          <t>WF</t>
        </is>
      </c>
      <c r="F1395" t="n">
        <v>9</v>
      </c>
      <c r="G1395" t="n">
        <v>49</v>
      </c>
      <c r="H1395" t="n">
        <v>4</v>
      </c>
      <c r="I1395" t="inlineStr">
        <is>
          <t>L</t>
        </is>
      </c>
      <c r="J1395" t="inlineStr">
        <is>
          <t>S</t>
        </is>
      </c>
      <c r="K1395" t="inlineStr">
        <is>
          <t>Y</t>
        </is>
      </c>
      <c r="L1395" t="inlineStr"/>
      <c r="M1395" s="30">
        <f>0.005454*F1395^2</f>
        <v/>
      </c>
      <c r="N1395" s="31">
        <f>IF(D1395="BAF20",20/M1395,100)</f>
        <v/>
      </c>
      <c r="O1395" s="31">
        <f>M1395*N1395</f>
        <v/>
      </c>
      <c r="P1395" s="32">
        <f>0.0*N1395</f>
        <v/>
      </c>
    </row>
    <row r="1396">
      <c r="A1396" t="inlineStr">
        <is>
          <t>U4-01</t>
        </is>
      </c>
      <c r="B1396" t="n">
        <v>4</v>
      </c>
      <c r="C1396" t="n">
        <v>6</v>
      </c>
      <c r="D1396" t="inlineStr">
        <is>
          <t>BAF20</t>
        </is>
      </c>
      <c r="E1396" t="inlineStr">
        <is>
          <t>WF</t>
        </is>
      </c>
      <c r="F1396" t="n">
        <v>5</v>
      </c>
      <c r="G1396" t="n">
        <v>26</v>
      </c>
      <c r="H1396" t="n">
        <v>4</v>
      </c>
      <c r="I1396" t="inlineStr">
        <is>
          <t>L</t>
        </is>
      </c>
      <c r="J1396" t="inlineStr">
        <is>
          <t>S</t>
        </is>
      </c>
      <c r="K1396" t="inlineStr">
        <is>
          <t>Y</t>
        </is>
      </c>
      <c r="L1396" t="inlineStr"/>
      <c r="M1396" s="30">
        <f>0.005454*F1396^2</f>
        <v/>
      </c>
      <c r="N1396" s="31">
        <f>IF(D1396="BAF20",20/M1396,100)</f>
        <v/>
      </c>
      <c r="O1396" s="31">
        <f>M1396*N1396</f>
        <v/>
      </c>
      <c r="P1396" s="32">
        <f>0.0*N1396</f>
        <v/>
      </c>
    </row>
    <row r="1397">
      <c r="A1397" t="inlineStr">
        <is>
          <t>U4-01</t>
        </is>
      </c>
      <c r="B1397" t="n">
        <v>4</v>
      </c>
      <c r="C1397" t="n">
        <v>7</v>
      </c>
      <c r="D1397" t="inlineStr">
        <is>
          <t>BAF20</t>
        </is>
      </c>
      <c r="E1397" t="inlineStr">
        <is>
          <t>PP</t>
        </is>
      </c>
      <c r="F1397" t="n">
        <v>43.6</v>
      </c>
      <c r="G1397" t="n">
        <v>129</v>
      </c>
      <c r="H1397" t="n">
        <v>0</v>
      </c>
      <c r="I1397" t="inlineStr">
        <is>
          <t>L</t>
        </is>
      </c>
      <c r="J1397" t="inlineStr">
        <is>
          <t>D</t>
        </is>
      </c>
      <c r="K1397" t="inlineStr"/>
      <c r="L1397" t="inlineStr"/>
      <c r="M1397" s="30">
        <f>0.005454*F1397^2</f>
        <v/>
      </c>
      <c r="N1397" s="31">
        <f>IF(D1397="BAF20",20/M1397,100)</f>
        <v/>
      </c>
      <c r="O1397" s="31">
        <f>M1397*N1397</f>
        <v/>
      </c>
      <c r="P1397" s="32">
        <f>3134.4*N1397</f>
        <v/>
      </c>
    </row>
    <row r="1398">
      <c r="A1398" t="inlineStr">
        <is>
          <t>U4-01</t>
        </is>
      </c>
      <c r="B1398" t="n">
        <v>4</v>
      </c>
      <c r="C1398" t="n">
        <v>8</v>
      </c>
      <c r="D1398" t="inlineStr">
        <is>
          <t>BAF20</t>
        </is>
      </c>
      <c r="E1398" t="inlineStr">
        <is>
          <t>IC</t>
        </is>
      </c>
      <c r="F1398" t="n">
        <v>6.2</v>
      </c>
      <c r="G1398" t="n">
        <v>26</v>
      </c>
      <c r="H1398" t="n">
        <v>3</v>
      </c>
      <c r="I1398" t="inlineStr">
        <is>
          <t>L</t>
        </is>
      </c>
      <c r="J1398" t="inlineStr">
        <is>
          <t>S</t>
        </is>
      </c>
      <c r="K1398" t="inlineStr">
        <is>
          <t>Y</t>
        </is>
      </c>
      <c r="L1398" t="inlineStr"/>
      <c r="M1398" s="30">
        <f>0.005454*F1398^2</f>
        <v/>
      </c>
      <c r="N1398" s="31">
        <f>IF(D1398="BAF20",20/M1398,100)</f>
        <v/>
      </c>
      <c r="O1398" s="31">
        <f>M1398*N1398</f>
        <v/>
      </c>
      <c r="P1398" s="32">
        <f>0.0*N1398</f>
        <v/>
      </c>
    </row>
    <row r="1399">
      <c r="A1399" t="inlineStr">
        <is>
          <t>U4-01</t>
        </is>
      </c>
      <c r="B1399" t="n">
        <v>4</v>
      </c>
      <c r="C1399" t="n">
        <v>9</v>
      </c>
      <c r="D1399" t="inlineStr">
        <is>
          <t>BAF20</t>
        </is>
      </c>
      <c r="E1399" t="inlineStr">
        <is>
          <t>IC</t>
        </is>
      </c>
      <c r="F1399" t="n">
        <v>8.199999999999999</v>
      </c>
      <c r="G1399" t="n">
        <v>38</v>
      </c>
      <c r="H1399" t="n">
        <v>1</v>
      </c>
      <c r="I1399" t="inlineStr">
        <is>
          <t>L</t>
        </is>
      </c>
      <c r="J1399" t="inlineStr">
        <is>
          <t>S</t>
        </is>
      </c>
      <c r="K1399" t="inlineStr">
        <is>
          <t>Y</t>
        </is>
      </c>
      <c r="L1399" t="inlineStr"/>
      <c r="M1399" s="30">
        <f>0.005454*F1399^2</f>
        <v/>
      </c>
      <c r="N1399" s="31">
        <f>IF(D1399="BAF20",20/M1399,100)</f>
        <v/>
      </c>
      <c r="O1399" s="31">
        <f>M1399*N1399</f>
        <v/>
      </c>
      <c r="P1399" s="32">
        <f>0.0*N1399</f>
        <v/>
      </c>
    </row>
    <row r="1400">
      <c r="A1400" t="inlineStr">
        <is>
          <t>U4-01</t>
        </is>
      </c>
      <c r="B1400" t="n">
        <v>4</v>
      </c>
      <c r="C1400" t="n">
        <v>10</v>
      </c>
      <c r="D1400" t="inlineStr">
        <is>
          <t>BAF20</t>
        </is>
      </c>
      <c r="E1400" t="inlineStr">
        <is>
          <t>PP</t>
        </is>
      </c>
      <c r="F1400" t="n">
        <v>7.7</v>
      </c>
      <c r="G1400" t="n">
        <v>44</v>
      </c>
      <c r="H1400" t="n">
        <v>100</v>
      </c>
      <c r="I1400" t="inlineStr">
        <is>
          <t>D</t>
        </is>
      </c>
      <c r="J1400" t="inlineStr">
        <is>
          <t>S</t>
        </is>
      </c>
      <c r="K1400" t="inlineStr"/>
      <c r="L1400" t="inlineStr"/>
      <c r="M1400" s="30">
        <f>0.005454*F1400^2</f>
        <v/>
      </c>
      <c r="N1400" s="31">
        <f>IF(D1400="BAF20",20/M1400,100)</f>
        <v/>
      </c>
      <c r="O1400" s="31">
        <f>M1400*N1400</f>
        <v/>
      </c>
      <c r="P1400" s="32">
        <f>0.0*N1400</f>
        <v/>
      </c>
    </row>
    <row r="1401">
      <c r="A1401" t="inlineStr">
        <is>
          <t>U4-01</t>
        </is>
      </c>
      <c r="B1401" t="n">
        <v>4</v>
      </c>
      <c r="C1401" t="n">
        <v>11</v>
      </c>
      <c r="D1401" t="inlineStr">
        <is>
          <t>BAF20</t>
        </is>
      </c>
      <c r="E1401" t="inlineStr">
        <is>
          <t>DF</t>
        </is>
      </c>
      <c r="F1401" t="n">
        <v>16</v>
      </c>
      <c r="G1401" t="n">
        <v>78</v>
      </c>
      <c r="H1401" t="n">
        <v>1</v>
      </c>
      <c r="I1401" t="inlineStr">
        <is>
          <t>L</t>
        </is>
      </c>
      <c r="J1401" t="inlineStr">
        <is>
          <t>I</t>
        </is>
      </c>
      <c r="K1401" t="inlineStr"/>
      <c r="L1401" t="inlineStr"/>
      <c r="M1401" s="30">
        <f>0.005454*F1401^2</f>
        <v/>
      </c>
      <c r="N1401" s="31">
        <f>IF(D1401="BAF20",20/M1401,100)</f>
        <v/>
      </c>
      <c r="O1401" s="31">
        <f>M1401*N1401</f>
        <v/>
      </c>
      <c r="P1401" s="32">
        <f>176.9*N1401</f>
        <v/>
      </c>
    </row>
    <row r="1402">
      <c r="A1402" t="inlineStr">
        <is>
          <t>U4-01</t>
        </is>
      </c>
      <c r="B1402" t="n">
        <v>4</v>
      </c>
      <c r="C1402" t="n">
        <v>12</v>
      </c>
      <c r="D1402" t="inlineStr">
        <is>
          <t>BAF20</t>
        </is>
      </c>
      <c r="E1402" t="inlineStr">
        <is>
          <t>SP</t>
        </is>
      </c>
      <c r="F1402" t="n">
        <v>31.4</v>
      </c>
      <c r="G1402" t="n">
        <v>127</v>
      </c>
      <c r="H1402" t="n">
        <v>7</v>
      </c>
      <c r="I1402" t="inlineStr">
        <is>
          <t>L</t>
        </is>
      </c>
      <c r="J1402" t="inlineStr">
        <is>
          <t>D</t>
        </is>
      </c>
      <c r="K1402" t="inlineStr"/>
      <c r="L1402" t="inlineStr"/>
      <c r="M1402" s="30">
        <f>0.005454*F1402^2</f>
        <v/>
      </c>
      <c r="N1402" s="31">
        <f>IF(D1402="BAF20",20/M1402,100)</f>
        <v/>
      </c>
      <c r="O1402" s="31">
        <f>M1402*N1402</f>
        <v/>
      </c>
      <c r="P1402" s="32">
        <f>1374.7*N1402</f>
        <v/>
      </c>
    </row>
    <row r="1403">
      <c r="A1403" t="inlineStr">
        <is>
          <t>U4-01</t>
        </is>
      </c>
      <c r="B1403" t="n">
        <v>4</v>
      </c>
      <c r="C1403" t="n">
        <v>13</v>
      </c>
      <c r="D1403" t="inlineStr">
        <is>
          <t>FIX100</t>
        </is>
      </c>
      <c r="E1403" t="inlineStr">
        <is>
          <t>WF</t>
        </is>
      </c>
      <c r="F1403" t="n">
        <v>4.4</v>
      </c>
      <c r="G1403" t="n">
        <v>30</v>
      </c>
      <c r="H1403" t="n">
        <v>0</v>
      </c>
      <c r="I1403" t="inlineStr">
        <is>
          <t>L</t>
        </is>
      </c>
      <c r="J1403" t="inlineStr">
        <is>
          <t>S</t>
        </is>
      </c>
      <c r="K1403" t="inlineStr"/>
      <c r="L1403" t="inlineStr"/>
      <c r="M1403" s="30">
        <f>0.005454*F1403^2</f>
        <v/>
      </c>
      <c r="N1403" s="31">
        <f>IF(D1403="BAF20",20/M1403,100)</f>
        <v/>
      </c>
      <c r="O1403" s="31">
        <f>M1403*N1403</f>
        <v/>
      </c>
      <c r="P1403" s="32">
        <f>0.0*N1403</f>
        <v/>
      </c>
    </row>
    <row r="1404">
      <c r="A1404" t="inlineStr">
        <is>
          <t>U4-01</t>
        </is>
      </c>
      <c r="B1404" t="n">
        <v>4</v>
      </c>
      <c r="C1404" t="n">
        <v>14</v>
      </c>
      <c r="D1404" t="inlineStr">
        <is>
          <t>FIX100</t>
        </is>
      </c>
      <c r="E1404" t="inlineStr">
        <is>
          <t>SP</t>
        </is>
      </c>
      <c r="F1404" t="n">
        <v>4.3</v>
      </c>
      <c r="G1404" t="n">
        <v>26</v>
      </c>
      <c r="H1404" t="n">
        <v>0</v>
      </c>
      <c r="I1404" t="inlineStr">
        <is>
          <t>L</t>
        </is>
      </c>
      <c r="J1404" t="inlineStr">
        <is>
          <t>S</t>
        </is>
      </c>
      <c r="K1404" t="inlineStr"/>
      <c r="L1404" t="inlineStr"/>
      <c r="M1404" s="30">
        <f>0.005454*F1404^2</f>
        <v/>
      </c>
      <c r="N1404" s="31">
        <f>IF(D1404="BAF20",20/M1404,100)</f>
        <v/>
      </c>
      <c r="O1404" s="31">
        <f>M1404*N1404</f>
        <v/>
      </c>
      <c r="P1404" s="32">
        <f>0.0*N1404</f>
        <v/>
      </c>
    </row>
    <row r="1405">
      <c r="A1405" t="inlineStr">
        <is>
          <t>U4-02</t>
        </is>
      </c>
      <c r="B1405" t="n">
        <v>4</v>
      </c>
      <c r="C1405" t="n">
        <v>1</v>
      </c>
      <c r="D1405" t="inlineStr">
        <is>
          <t>BAF20</t>
        </is>
      </c>
      <c r="E1405" t="inlineStr">
        <is>
          <t>WF</t>
        </is>
      </c>
      <c r="F1405" t="n">
        <v>17.7</v>
      </c>
      <c r="G1405" t="n">
        <v>82</v>
      </c>
      <c r="H1405" t="n">
        <v>4</v>
      </c>
      <c r="I1405" t="inlineStr">
        <is>
          <t>L</t>
        </is>
      </c>
      <c r="J1405" t="inlineStr">
        <is>
          <t>I</t>
        </is>
      </c>
      <c r="K1405" t="inlineStr"/>
      <c r="L1405" t="inlineStr"/>
      <c r="M1405" s="30">
        <f>0.005454*F1405^2</f>
        <v/>
      </c>
      <c r="N1405" s="31">
        <f>IF(D1405="BAF20",20/M1405,100)</f>
        <v/>
      </c>
      <c r="O1405" s="31">
        <f>M1405*N1405</f>
        <v/>
      </c>
      <c r="P1405" s="32">
        <f>228.4*N1405</f>
        <v/>
      </c>
    </row>
    <row r="1406">
      <c r="A1406" t="inlineStr">
        <is>
          <t>U4-02</t>
        </is>
      </c>
      <c r="B1406" t="n">
        <v>4</v>
      </c>
      <c r="C1406" t="n">
        <v>2</v>
      </c>
      <c r="D1406" t="inlineStr">
        <is>
          <t>BAF20</t>
        </is>
      </c>
      <c r="E1406" t="inlineStr">
        <is>
          <t>DF</t>
        </is>
      </c>
      <c r="F1406" t="n">
        <v>21</v>
      </c>
      <c r="G1406" t="n">
        <v>91</v>
      </c>
      <c r="H1406" t="n">
        <v>4</v>
      </c>
      <c r="I1406" t="inlineStr">
        <is>
          <t>L</t>
        </is>
      </c>
      <c r="J1406" t="inlineStr">
        <is>
          <t>C</t>
        </is>
      </c>
      <c r="K1406" t="inlineStr"/>
      <c r="L1406" t="inlineStr"/>
      <c r="M1406" s="30">
        <f>0.005454*F1406^2</f>
        <v/>
      </c>
      <c r="N1406" s="31">
        <f>IF(D1406="BAF20",20/M1406,100)</f>
        <v/>
      </c>
      <c r="O1406" s="31">
        <f>M1406*N1406</f>
        <v/>
      </c>
      <c r="P1406" s="32">
        <f>380.4*N1406</f>
        <v/>
      </c>
    </row>
    <row r="1407">
      <c r="A1407" t="inlineStr">
        <is>
          <t>U4-02</t>
        </is>
      </c>
      <c r="B1407" t="n">
        <v>4</v>
      </c>
      <c r="C1407" t="n">
        <v>3</v>
      </c>
      <c r="D1407" t="inlineStr">
        <is>
          <t>BAF20</t>
        </is>
      </c>
      <c r="E1407" t="inlineStr">
        <is>
          <t>IC</t>
        </is>
      </c>
      <c r="F1407" t="n">
        <v>11.1</v>
      </c>
      <c r="G1407" t="n">
        <v>47</v>
      </c>
      <c r="H1407" t="n">
        <v>16</v>
      </c>
      <c r="I1407" t="inlineStr">
        <is>
          <t>L</t>
        </is>
      </c>
      <c r="J1407" t="inlineStr">
        <is>
          <t>S</t>
        </is>
      </c>
      <c r="K1407" t="inlineStr">
        <is>
          <t>Y</t>
        </is>
      </c>
      <c r="L1407" t="inlineStr"/>
      <c r="M1407" s="30">
        <f>0.005454*F1407^2</f>
        <v/>
      </c>
      <c r="N1407" s="31">
        <f>IF(D1407="BAF20",20/M1407,100)</f>
        <v/>
      </c>
      <c r="O1407" s="31">
        <f>M1407*N1407</f>
        <v/>
      </c>
      <c r="P1407" s="32">
        <f>39.1*N1407</f>
        <v/>
      </c>
    </row>
    <row r="1408">
      <c r="A1408" t="inlineStr">
        <is>
          <t>U4-02</t>
        </is>
      </c>
      <c r="B1408" t="n">
        <v>4</v>
      </c>
      <c r="C1408" t="n">
        <v>4</v>
      </c>
      <c r="D1408" t="inlineStr">
        <is>
          <t>BAF20</t>
        </is>
      </c>
      <c r="E1408" t="inlineStr">
        <is>
          <t>DF</t>
        </is>
      </c>
      <c r="F1408" t="n">
        <v>31.2</v>
      </c>
      <c r="G1408" t="n">
        <v>132</v>
      </c>
      <c r="H1408" t="n">
        <v>4</v>
      </c>
      <c r="I1408" t="inlineStr">
        <is>
          <t>L</t>
        </is>
      </c>
      <c r="J1408" t="inlineStr">
        <is>
          <t>D</t>
        </is>
      </c>
      <c r="K1408" t="inlineStr"/>
      <c r="L1408" t="inlineStr"/>
      <c r="M1408" s="30">
        <f>0.005454*F1408^2</f>
        <v/>
      </c>
      <c r="N1408" s="31">
        <f>IF(D1408="BAF20",20/M1408,100)</f>
        <v/>
      </c>
      <c r="O1408" s="31">
        <f>M1408*N1408</f>
        <v/>
      </c>
      <c r="P1408" s="32">
        <f>1451.6*N1408</f>
        <v/>
      </c>
    </row>
    <row r="1409">
      <c r="A1409" t="inlineStr">
        <is>
          <t>U4-02</t>
        </is>
      </c>
      <c r="B1409" t="n">
        <v>4</v>
      </c>
      <c r="C1409" t="n">
        <v>5</v>
      </c>
      <c r="D1409" t="inlineStr">
        <is>
          <t>BAF20</t>
        </is>
      </c>
      <c r="E1409" t="inlineStr">
        <is>
          <t>DF</t>
        </is>
      </c>
      <c r="F1409" t="n">
        <v>26.2</v>
      </c>
      <c r="G1409" t="n">
        <v>118</v>
      </c>
      <c r="H1409" t="n">
        <v>3</v>
      </c>
      <c r="I1409" t="inlineStr">
        <is>
          <t>L</t>
        </is>
      </c>
      <c r="J1409" t="inlineStr">
        <is>
          <t>D</t>
        </is>
      </c>
      <c r="K1409" t="inlineStr"/>
      <c r="L1409" t="inlineStr"/>
      <c r="M1409" s="30">
        <f>0.005454*F1409^2</f>
        <v/>
      </c>
      <c r="N1409" s="31">
        <f>IF(D1409="BAF20",20/M1409,100)</f>
        <v/>
      </c>
      <c r="O1409" s="31">
        <f>M1409*N1409</f>
        <v/>
      </c>
      <c r="P1409" s="32">
        <f>851.7*N1409</f>
        <v/>
      </c>
    </row>
    <row r="1410">
      <c r="A1410" t="inlineStr">
        <is>
          <t>U4-02</t>
        </is>
      </c>
      <c r="B1410" t="n">
        <v>4</v>
      </c>
      <c r="C1410" t="n">
        <v>6</v>
      </c>
      <c r="D1410" t="inlineStr">
        <is>
          <t>BAF20</t>
        </is>
      </c>
      <c r="E1410" t="inlineStr">
        <is>
          <t>PP</t>
        </is>
      </c>
      <c r="F1410" t="n">
        <v>35.1</v>
      </c>
      <c r="G1410" t="n">
        <v>127</v>
      </c>
      <c r="H1410" t="n">
        <v>1</v>
      </c>
      <c r="I1410" t="inlineStr">
        <is>
          <t>L</t>
        </is>
      </c>
      <c r="J1410" t="inlineStr">
        <is>
          <t>D</t>
        </is>
      </c>
      <c r="K1410" t="inlineStr"/>
      <c r="L1410" t="inlineStr"/>
      <c r="M1410" s="30">
        <f>0.005454*F1410^2</f>
        <v/>
      </c>
      <c r="N1410" s="31">
        <f>IF(D1410="BAF20",20/M1410,100)</f>
        <v/>
      </c>
      <c r="O1410" s="31">
        <f>M1410*N1410</f>
        <v/>
      </c>
      <c r="P1410" s="32">
        <f>1934.9*N1410</f>
        <v/>
      </c>
    </row>
    <row r="1411">
      <c r="A1411" t="inlineStr">
        <is>
          <t>U4-02</t>
        </is>
      </c>
      <c r="B1411" t="n">
        <v>4</v>
      </c>
      <c r="C1411" t="n">
        <v>7</v>
      </c>
      <c r="D1411" t="inlineStr">
        <is>
          <t>BAF20</t>
        </is>
      </c>
      <c r="E1411" t="inlineStr">
        <is>
          <t>WF</t>
        </is>
      </c>
      <c r="F1411" t="n">
        <v>18</v>
      </c>
      <c r="G1411" t="n">
        <v>91</v>
      </c>
      <c r="H1411" t="n">
        <v>39</v>
      </c>
      <c r="I1411" t="inlineStr">
        <is>
          <t>L</t>
        </is>
      </c>
      <c r="J1411" t="inlineStr">
        <is>
          <t>I</t>
        </is>
      </c>
      <c r="K1411" t="inlineStr"/>
      <c r="L1411" t="inlineStr"/>
      <c r="M1411" s="30">
        <f>0.005454*F1411^2</f>
        <v/>
      </c>
      <c r="N1411" s="31">
        <f>IF(D1411="BAF20",20/M1411,100)</f>
        <v/>
      </c>
      <c r="O1411" s="31">
        <f>M1411*N1411</f>
        <v/>
      </c>
      <c r="P1411" s="32">
        <f>167.6*N1411</f>
        <v/>
      </c>
    </row>
    <row r="1412">
      <c r="A1412" t="inlineStr">
        <is>
          <t>U4-02</t>
        </is>
      </c>
      <c r="B1412" t="n">
        <v>4</v>
      </c>
      <c r="C1412" t="n">
        <v>8</v>
      </c>
      <c r="D1412" t="inlineStr">
        <is>
          <t>BAF20</t>
        </is>
      </c>
      <c r="E1412" t="inlineStr">
        <is>
          <t>DF</t>
        </is>
      </c>
      <c r="F1412" t="n">
        <v>27.2</v>
      </c>
      <c r="G1412" t="n">
        <v>102</v>
      </c>
      <c r="H1412" t="n">
        <v>5</v>
      </c>
      <c r="I1412" t="inlineStr">
        <is>
          <t>L</t>
        </is>
      </c>
      <c r="J1412" t="inlineStr">
        <is>
          <t>D</t>
        </is>
      </c>
      <c r="K1412" t="inlineStr"/>
      <c r="L1412" t="inlineStr"/>
      <c r="M1412" s="30">
        <f>0.005454*F1412^2</f>
        <v/>
      </c>
      <c r="N1412" s="31">
        <f>IF(D1412="BAF20",20/M1412,100)</f>
        <v/>
      </c>
      <c r="O1412" s="31">
        <f>M1412*N1412</f>
        <v/>
      </c>
      <c r="P1412" s="32">
        <f>790.4*N1412</f>
        <v/>
      </c>
    </row>
    <row r="1413">
      <c r="A1413" t="inlineStr">
        <is>
          <t>U4-02</t>
        </is>
      </c>
      <c r="B1413" t="n">
        <v>4</v>
      </c>
      <c r="C1413" t="n">
        <v>9</v>
      </c>
      <c r="D1413" t="inlineStr">
        <is>
          <t>BAF20</t>
        </is>
      </c>
      <c r="E1413" t="inlineStr">
        <is>
          <t>SP</t>
        </is>
      </c>
      <c r="F1413" t="n">
        <v>35.6</v>
      </c>
      <c r="G1413" t="n">
        <v>135</v>
      </c>
      <c r="H1413" t="n">
        <v>5</v>
      </c>
      <c r="I1413" t="inlineStr">
        <is>
          <t>L</t>
        </is>
      </c>
      <c r="J1413" t="inlineStr">
        <is>
          <t>D</t>
        </is>
      </c>
      <c r="K1413" t="inlineStr"/>
      <c r="L1413" t="inlineStr"/>
      <c r="M1413" s="30">
        <f>0.005454*F1413^2</f>
        <v/>
      </c>
      <c r="N1413" s="31">
        <f>IF(D1413="BAF20",20/M1413,100)</f>
        <v/>
      </c>
      <c r="O1413" s="31">
        <f>M1413*N1413</f>
        <v/>
      </c>
      <c r="P1413" s="32">
        <f>2045.4*N1413</f>
        <v/>
      </c>
    </row>
    <row r="1414">
      <c r="A1414" t="inlineStr">
        <is>
          <t>U4-02</t>
        </is>
      </c>
      <c r="B1414" t="n">
        <v>4</v>
      </c>
      <c r="C1414" t="n">
        <v>10</v>
      </c>
      <c r="D1414" t="inlineStr">
        <is>
          <t>BAF20</t>
        </is>
      </c>
      <c r="E1414" t="inlineStr">
        <is>
          <t>WF</t>
        </is>
      </c>
      <c r="F1414" t="n">
        <v>12.3</v>
      </c>
      <c r="G1414" t="n">
        <v>65</v>
      </c>
      <c r="H1414" t="n">
        <v>2</v>
      </c>
      <c r="I1414" t="inlineStr">
        <is>
          <t>L</t>
        </is>
      </c>
      <c r="J1414" t="inlineStr">
        <is>
          <t>S</t>
        </is>
      </c>
      <c r="K1414" t="inlineStr">
        <is>
          <t>Y</t>
        </is>
      </c>
      <c r="L1414" t="inlineStr"/>
      <c r="M1414" s="30">
        <f>0.005454*F1414^2</f>
        <v/>
      </c>
      <c r="N1414" s="31">
        <f>IF(D1414="BAF20",20/M1414,100)</f>
        <v/>
      </c>
      <c r="O1414" s="31">
        <f>M1414*N1414</f>
        <v/>
      </c>
      <c r="P1414" s="32">
        <f>79.6*N1414</f>
        <v/>
      </c>
    </row>
    <row r="1415">
      <c r="A1415" t="inlineStr">
        <is>
          <t>U4-02</t>
        </is>
      </c>
      <c r="B1415" t="n">
        <v>4</v>
      </c>
      <c r="C1415" t="n">
        <v>11</v>
      </c>
      <c r="D1415" t="inlineStr">
        <is>
          <t>BAF20</t>
        </is>
      </c>
      <c r="E1415" t="inlineStr">
        <is>
          <t>IC</t>
        </is>
      </c>
      <c r="F1415" t="n">
        <v>5.3</v>
      </c>
      <c r="G1415" t="n">
        <v>28</v>
      </c>
      <c r="H1415" t="n">
        <v>8</v>
      </c>
      <c r="I1415" t="inlineStr">
        <is>
          <t>L</t>
        </is>
      </c>
      <c r="J1415" t="inlineStr">
        <is>
          <t>S</t>
        </is>
      </c>
      <c r="K1415" t="inlineStr">
        <is>
          <t>Y</t>
        </is>
      </c>
      <c r="L1415" t="inlineStr"/>
      <c r="M1415" s="30">
        <f>0.005454*F1415^2</f>
        <v/>
      </c>
      <c r="N1415" s="31">
        <f>IF(D1415="BAF20",20/M1415,100)</f>
        <v/>
      </c>
      <c r="O1415" s="31">
        <f>M1415*N1415</f>
        <v/>
      </c>
      <c r="P1415" s="32">
        <f>0.0*N1415</f>
        <v/>
      </c>
    </row>
    <row r="1416">
      <c r="A1416" t="inlineStr">
        <is>
          <t>U4-02</t>
        </is>
      </c>
      <c r="B1416" t="n">
        <v>4</v>
      </c>
      <c r="C1416" t="n">
        <v>12</v>
      </c>
      <c r="D1416" t="inlineStr">
        <is>
          <t>BAF20</t>
        </is>
      </c>
      <c r="E1416" t="inlineStr">
        <is>
          <t>DF</t>
        </is>
      </c>
      <c r="F1416" t="n">
        <v>22.1</v>
      </c>
      <c r="G1416" t="n">
        <v>94</v>
      </c>
      <c r="H1416" t="n">
        <v>5</v>
      </c>
      <c r="I1416" t="inlineStr">
        <is>
          <t>L</t>
        </is>
      </c>
      <c r="J1416" t="inlineStr">
        <is>
          <t>C</t>
        </is>
      </c>
      <c r="K1416" t="inlineStr"/>
      <c r="L1416" t="inlineStr"/>
      <c r="M1416" s="30">
        <f>0.005454*F1416^2</f>
        <v/>
      </c>
      <c r="N1416" s="31">
        <f>IF(D1416="BAF20",20/M1416,100)</f>
        <v/>
      </c>
      <c r="O1416" s="31">
        <f>M1416*N1416</f>
        <v/>
      </c>
      <c r="P1416" s="32">
        <f>439.6*N1416</f>
        <v/>
      </c>
    </row>
    <row r="1417">
      <c r="A1417" t="inlineStr">
        <is>
          <t>U4-02</t>
        </is>
      </c>
      <c r="B1417" t="n">
        <v>4</v>
      </c>
      <c r="C1417" t="n">
        <v>13</v>
      </c>
      <c r="D1417" t="inlineStr">
        <is>
          <t>FIX100</t>
        </is>
      </c>
      <c r="E1417" t="inlineStr">
        <is>
          <t>DF</t>
        </is>
      </c>
      <c r="F1417" t="n">
        <v>4.8</v>
      </c>
      <c r="G1417" t="n">
        <v>30</v>
      </c>
      <c r="H1417" t="n">
        <v>0</v>
      </c>
      <c r="I1417" t="inlineStr">
        <is>
          <t>L</t>
        </is>
      </c>
      <c r="J1417" t="inlineStr">
        <is>
          <t>S</t>
        </is>
      </c>
      <c r="K1417" t="inlineStr"/>
      <c r="L1417" t="inlineStr"/>
      <c r="M1417" s="30">
        <f>0.005454*F1417^2</f>
        <v/>
      </c>
      <c r="N1417" s="31">
        <f>IF(D1417="BAF20",20/M1417,100)</f>
        <v/>
      </c>
      <c r="O1417" s="31">
        <f>M1417*N1417</f>
        <v/>
      </c>
      <c r="P1417" s="32">
        <f>0.0*N1417</f>
        <v/>
      </c>
    </row>
    <row r="1418">
      <c r="A1418" t="inlineStr">
        <is>
          <t>U4-03</t>
        </is>
      </c>
      <c r="B1418" t="n">
        <v>4</v>
      </c>
      <c r="C1418" t="n">
        <v>1</v>
      </c>
      <c r="D1418" t="inlineStr">
        <is>
          <t>BAF20</t>
        </is>
      </c>
      <c r="E1418" t="inlineStr">
        <is>
          <t>PP</t>
        </is>
      </c>
      <c r="F1418" t="n">
        <v>6.1</v>
      </c>
      <c r="G1418" t="n">
        <v>30</v>
      </c>
      <c r="H1418" t="n">
        <v>10</v>
      </c>
      <c r="I1418" t="inlineStr">
        <is>
          <t>L</t>
        </is>
      </c>
      <c r="J1418" t="inlineStr">
        <is>
          <t>S</t>
        </is>
      </c>
      <c r="K1418" t="inlineStr">
        <is>
          <t>Y</t>
        </is>
      </c>
      <c r="L1418" t="inlineStr"/>
      <c r="M1418" s="30">
        <f>0.005454*F1418^2</f>
        <v/>
      </c>
      <c r="N1418" s="31">
        <f>IF(D1418="BAF20",20/M1418,100)</f>
        <v/>
      </c>
      <c r="O1418" s="31">
        <f>M1418*N1418</f>
        <v/>
      </c>
      <c r="P1418" s="32">
        <f>0.0*N1418</f>
        <v/>
      </c>
    </row>
    <row r="1419">
      <c r="A1419" t="inlineStr">
        <is>
          <t>U4-03</t>
        </is>
      </c>
      <c r="B1419" t="n">
        <v>4</v>
      </c>
      <c r="C1419" t="n">
        <v>2</v>
      </c>
      <c r="D1419" t="inlineStr">
        <is>
          <t>BAF20</t>
        </is>
      </c>
      <c r="E1419" t="inlineStr">
        <is>
          <t>IC</t>
        </is>
      </c>
      <c r="F1419" t="n">
        <v>14</v>
      </c>
      <c r="G1419" t="n">
        <v>60</v>
      </c>
      <c r="H1419" t="n">
        <v>1</v>
      </c>
      <c r="I1419" t="inlineStr">
        <is>
          <t>L</t>
        </is>
      </c>
      <c r="J1419" t="inlineStr">
        <is>
          <t>I</t>
        </is>
      </c>
      <c r="K1419" t="inlineStr">
        <is>
          <t>Y</t>
        </is>
      </c>
      <c r="L1419" t="inlineStr"/>
      <c r="M1419" s="30">
        <f>0.005454*F1419^2</f>
        <v/>
      </c>
      <c r="N1419" s="31">
        <f>IF(D1419="BAF20",20/M1419,100)</f>
        <v/>
      </c>
      <c r="O1419" s="31">
        <f>M1419*N1419</f>
        <v/>
      </c>
      <c r="P1419" s="32">
        <f>99.8*N1419</f>
        <v/>
      </c>
    </row>
    <row r="1420">
      <c r="A1420" t="inlineStr">
        <is>
          <t>U4-03</t>
        </is>
      </c>
      <c r="B1420" t="n">
        <v>4</v>
      </c>
      <c r="C1420" t="n">
        <v>3</v>
      </c>
      <c r="D1420" t="inlineStr">
        <is>
          <t>BAF20</t>
        </is>
      </c>
      <c r="E1420" t="inlineStr">
        <is>
          <t>IC</t>
        </is>
      </c>
      <c r="F1420" t="n">
        <v>10.7</v>
      </c>
      <c r="G1420" t="n">
        <v>40</v>
      </c>
      <c r="H1420" t="n">
        <v>8</v>
      </c>
      <c r="I1420" t="inlineStr">
        <is>
          <t>L</t>
        </is>
      </c>
      <c r="J1420" t="inlineStr">
        <is>
          <t>S</t>
        </is>
      </c>
      <c r="K1420" t="inlineStr">
        <is>
          <t>Y</t>
        </is>
      </c>
      <c r="L1420" t="inlineStr"/>
      <c r="M1420" s="30">
        <f>0.005454*F1420^2</f>
        <v/>
      </c>
      <c r="N1420" s="31">
        <f>IF(D1420="BAF20",20/M1420,100)</f>
        <v/>
      </c>
      <c r="O1420" s="31">
        <f>M1420*N1420</f>
        <v/>
      </c>
      <c r="P1420" s="32">
        <f>33.6*N1420</f>
        <v/>
      </c>
    </row>
    <row r="1421">
      <c r="A1421" t="inlineStr">
        <is>
          <t>U4-03</t>
        </is>
      </c>
      <c r="B1421" t="n">
        <v>4</v>
      </c>
      <c r="C1421" t="n">
        <v>4</v>
      </c>
      <c r="D1421" t="inlineStr">
        <is>
          <t>BAF20</t>
        </is>
      </c>
      <c r="E1421" t="inlineStr">
        <is>
          <t>BO</t>
        </is>
      </c>
      <c r="F1421" t="n">
        <v>16.1</v>
      </c>
      <c r="G1421" t="n">
        <v>53</v>
      </c>
      <c r="H1421" t="n">
        <v>5</v>
      </c>
      <c r="I1421" t="inlineStr">
        <is>
          <t>L</t>
        </is>
      </c>
      <c r="J1421" t="inlineStr">
        <is>
          <t>I</t>
        </is>
      </c>
      <c r="K1421" t="inlineStr"/>
      <c r="L1421" t="inlineStr"/>
      <c r="M1421" s="30">
        <f>0.005454*F1421^2</f>
        <v/>
      </c>
      <c r="N1421" s="31">
        <f>IF(D1421="BAF20",20/M1421,100)</f>
        <v/>
      </c>
      <c r="O1421" s="31">
        <f>M1421*N1421</f>
        <v/>
      </c>
      <c r="P1421" s="32">
        <f>105.9*N1421</f>
        <v/>
      </c>
    </row>
    <row r="1422">
      <c r="A1422" t="inlineStr">
        <is>
          <t>U4-03</t>
        </is>
      </c>
      <c r="B1422" t="n">
        <v>4</v>
      </c>
      <c r="C1422" t="n">
        <v>5</v>
      </c>
      <c r="D1422" t="inlineStr">
        <is>
          <t>BAF20</t>
        </is>
      </c>
      <c r="E1422" t="inlineStr">
        <is>
          <t>PP</t>
        </is>
      </c>
      <c r="F1422" t="n">
        <v>15.4</v>
      </c>
      <c r="G1422" t="n">
        <v>71</v>
      </c>
      <c r="H1422" t="n">
        <v>0</v>
      </c>
      <c r="I1422" t="inlineStr">
        <is>
          <t>L</t>
        </is>
      </c>
      <c r="J1422" t="inlineStr">
        <is>
          <t>I</t>
        </is>
      </c>
      <c r="K1422" t="inlineStr"/>
      <c r="L1422" t="inlineStr"/>
      <c r="M1422" s="30">
        <f>0.005454*F1422^2</f>
        <v/>
      </c>
      <c r="N1422" s="31">
        <f>IF(D1422="BAF20",20/M1422,100)</f>
        <v/>
      </c>
      <c r="O1422" s="31">
        <f>M1422*N1422</f>
        <v/>
      </c>
      <c r="P1422" s="32">
        <f>148.8*N1422</f>
        <v/>
      </c>
    </row>
    <row r="1423">
      <c r="A1423" t="inlineStr">
        <is>
          <t>U4-03</t>
        </is>
      </c>
      <c r="B1423" t="n">
        <v>4</v>
      </c>
      <c r="C1423" t="n">
        <v>6</v>
      </c>
      <c r="D1423" t="inlineStr">
        <is>
          <t>BAF20</t>
        </is>
      </c>
      <c r="E1423" t="inlineStr">
        <is>
          <t>WF</t>
        </is>
      </c>
      <c r="F1423" t="n">
        <v>19.2</v>
      </c>
      <c r="G1423" t="n">
        <v>88</v>
      </c>
      <c r="H1423" t="n">
        <v>11</v>
      </c>
      <c r="I1423" t="inlineStr">
        <is>
          <t>L</t>
        </is>
      </c>
      <c r="J1423" t="inlineStr">
        <is>
          <t>C</t>
        </is>
      </c>
      <c r="K1423" t="inlineStr"/>
      <c r="L1423" t="inlineStr"/>
      <c r="M1423" s="30">
        <f>0.005454*F1423^2</f>
        <v/>
      </c>
      <c r="N1423" s="31">
        <f>IF(D1423="BAF20",20/M1423,100)</f>
        <v/>
      </c>
      <c r="O1423" s="31">
        <f>M1423*N1423</f>
        <v/>
      </c>
      <c r="P1423" s="32">
        <f>275.5*N1423</f>
        <v/>
      </c>
    </row>
    <row r="1424">
      <c r="A1424" t="inlineStr">
        <is>
          <t>U4-03</t>
        </is>
      </c>
      <c r="B1424" t="n">
        <v>4</v>
      </c>
      <c r="C1424" t="n">
        <v>7</v>
      </c>
      <c r="D1424" t="inlineStr">
        <is>
          <t>BAF20</t>
        </is>
      </c>
      <c r="E1424" t="inlineStr">
        <is>
          <t>DF</t>
        </is>
      </c>
      <c r="F1424" t="n">
        <v>11.7</v>
      </c>
      <c r="G1424" t="n">
        <v>58</v>
      </c>
      <c r="H1424" t="n">
        <v>2</v>
      </c>
      <c r="I1424" t="inlineStr">
        <is>
          <t>L</t>
        </is>
      </c>
      <c r="J1424" t="inlineStr">
        <is>
          <t>S</t>
        </is>
      </c>
      <c r="K1424" t="inlineStr">
        <is>
          <t>Y</t>
        </is>
      </c>
      <c r="L1424" t="inlineStr"/>
      <c r="M1424" s="30">
        <f>0.005454*F1424^2</f>
        <v/>
      </c>
      <c r="N1424" s="31">
        <f>IF(D1424="BAF20",20/M1424,100)</f>
        <v/>
      </c>
      <c r="O1424" s="31">
        <f>M1424*N1424</f>
        <v/>
      </c>
      <c r="P1424" s="32">
        <f>63.4*N1424</f>
        <v/>
      </c>
    </row>
    <row r="1425">
      <c r="A1425" t="inlineStr">
        <is>
          <t>U4-03</t>
        </is>
      </c>
      <c r="B1425" t="n">
        <v>4</v>
      </c>
      <c r="C1425" t="n">
        <v>8</v>
      </c>
      <c r="D1425" t="inlineStr">
        <is>
          <t>BAF20</t>
        </is>
      </c>
      <c r="E1425" t="inlineStr">
        <is>
          <t>WF</t>
        </is>
      </c>
      <c r="F1425" t="n">
        <v>27.4</v>
      </c>
      <c r="G1425" t="n">
        <v>107</v>
      </c>
      <c r="H1425" t="n">
        <v>6</v>
      </c>
      <c r="I1425" t="inlineStr">
        <is>
          <t>L</t>
        </is>
      </c>
      <c r="J1425" t="inlineStr">
        <is>
          <t>D</t>
        </is>
      </c>
      <c r="K1425" t="inlineStr"/>
      <c r="L1425" t="inlineStr"/>
      <c r="M1425" s="30">
        <f>0.005454*F1425^2</f>
        <v/>
      </c>
      <c r="N1425" s="31">
        <f>IF(D1425="BAF20",20/M1425,100)</f>
        <v/>
      </c>
      <c r="O1425" s="31">
        <f>M1425*N1425</f>
        <v/>
      </c>
      <c r="P1425" s="32">
        <f>835.4*N1425</f>
        <v/>
      </c>
    </row>
    <row r="1426">
      <c r="A1426" t="inlineStr">
        <is>
          <t>U4-03</t>
        </is>
      </c>
      <c r="B1426" t="n">
        <v>4</v>
      </c>
      <c r="C1426" t="n">
        <v>9</v>
      </c>
      <c r="D1426" t="inlineStr">
        <is>
          <t>BAF20</t>
        </is>
      </c>
      <c r="E1426" t="inlineStr">
        <is>
          <t>DF</t>
        </is>
      </c>
      <c r="F1426" t="n">
        <v>21.6</v>
      </c>
      <c r="G1426" t="n">
        <v>103</v>
      </c>
      <c r="H1426" t="n">
        <v>3</v>
      </c>
      <c r="I1426" t="inlineStr">
        <is>
          <t>L</t>
        </is>
      </c>
      <c r="J1426" t="inlineStr">
        <is>
          <t>C</t>
        </is>
      </c>
      <c r="K1426" t="inlineStr"/>
      <c r="L1426" t="inlineStr"/>
      <c r="M1426" s="30">
        <f>0.005454*F1426^2</f>
        <v/>
      </c>
      <c r="N1426" s="31">
        <f>IF(D1426="BAF20",20/M1426,100)</f>
        <v/>
      </c>
      <c r="O1426" s="31">
        <f>M1426*N1426</f>
        <v/>
      </c>
      <c r="P1426" s="32">
        <f>465.5*N1426</f>
        <v/>
      </c>
    </row>
    <row r="1427">
      <c r="A1427" t="inlineStr">
        <is>
          <t>U4-03</t>
        </is>
      </c>
      <c r="B1427" t="n">
        <v>4</v>
      </c>
      <c r="C1427" t="n">
        <v>10</v>
      </c>
      <c r="D1427" t="inlineStr">
        <is>
          <t>BAF20</t>
        </is>
      </c>
      <c r="E1427" t="inlineStr">
        <is>
          <t>WF</t>
        </is>
      </c>
      <c r="F1427" t="n">
        <v>26.3</v>
      </c>
      <c r="G1427" t="n">
        <v>113</v>
      </c>
      <c r="H1427" t="n">
        <v>15</v>
      </c>
      <c r="I1427" t="inlineStr">
        <is>
          <t>L</t>
        </is>
      </c>
      <c r="J1427" t="inlineStr">
        <is>
          <t>D</t>
        </is>
      </c>
      <c r="K1427" t="inlineStr"/>
      <c r="L1427" t="inlineStr"/>
      <c r="M1427" s="30">
        <f>0.005454*F1427^2</f>
        <v/>
      </c>
      <c r="N1427" s="31">
        <f>IF(D1427="BAF20",20/M1427,100)</f>
        <v/>
      </c>
      <c r="O1427" s="31">
        <f>M1427*N1427</f>
        <v/>
      </c>
      <c r="P1427" s="32">
        <f>721.4*N1427</f>
        <v/>
      </c>
    </row>
    <row r="1428">
      <c r="A1428" t="inlineStr">
        <is>
          <t>U4-03</t>
        </is>
      </c>
      <c r="B1428" t="n">
        <v>4</v>
      </c>
      <c r="C1428" t="n">
        <v>11</v>
      </c>
      <c r="D1428" t="inlineStr">
        <is>
          <t>BAF20</t>
        </is>
      </c>
      <c r="E1428" t="inlineStr">
        <is>
          <t>BO</t>
        </is>
      </c>
      <c r="F1428" t="n">
        <v>13.1</v>
      </c>
      <c r="G1428" t="n">
        <v>44</v>
      </c>
      <c r="H1428" t="n">
        <v>5</v>
      </c>
      <c r="I1428" t="inlineStr">
        <is>
          <t>L</t>
        </is>
      </c>
      <c r="J1428" t="inlineStr">
        <is>
          <t>I</t>
        </is>
      </c>
      <c r="K1428" t="inlineStr">
        <is>
          <t>Y</t>
        </is>
      </c>
      <c r="L1428" t="inlineStr"/>
      <c r="M1428" s="30">
        <f>0.005454*F1428^2</f>
        <v/>
      </c>
      <c r="N1428" s="31">
        <f>IF(D1428="BAF20",20/M1428,100)</f>
        <v/>
      </c>
      <c r="O1428" s="31">
        <f>M1428*N1428</f>
        <v/>
      </c>
      <c r="P1428" s="32">
        <f>54.6*N1428</f>
        <v/>
      </c>
    </row>
    <row r="1429">
      <c r="A1429" t="inlineStr">
        <is>
          <t>U4-03</t>
        </is>
      </c>
      <c r="B1429" t="n">
        <v>4</v>
      </c>
      <c r="C1429" t="n">
        <v>12</v>
      </c>
      <c r="D1429" t="inlineStr">
        <is>
          <t>FIX100</t>
        </is>
      </c>
      <c r="E1429" t="inlineStr">
        <is>
          <t>WF</t>
        </is>
      </c>
      <c r="F1429" t="n">
        <v>4.3</v>
      </c>
      <c r="G1429" t="n">
        <v>25</v>
      </c>
      <c r="H1429" t="n">
        <v>0</v>
      </c>
      <c r="I1429" t="inlineStr">
        <is>
          <t>L</t>
        </is>
      </c>
      <c r="J1429" t="inlineStr">
        <is>
          <t>S</t>
        </is>
      </c>
      <c r="K1429" t="inlineStr"/>
      <c r="L1429" t="inlineStr"/>
      <c r="M1429" s="30">
        <f>0.005454*F1429^2</f>
        <v/>
      </c>
      <c r="N1429" s="31">
        <f>IF(D1429="BAF20",20/M1429,100)</f>
        <v/>
      </c>
      <c r="O1429" s="31">
        <f>M1429*N1429</f>
        <v/>
      </c>
      <c r="P1429" s="32">
        <f>0.0*N1429</f>
        <v/>
      </c>
    </row>
    <row r="1430">
      <c r="A1430" t="inlineStr">
        <is>
          <t>U4-03</t>
        </is>
      </c>
      <c r="B1430" t="n">
        <v>4</v>
      </c>
      <c r="C1430" t="n">
        <v>13</v>
      </c>
      <c r="D1430" t="inlineStr">
        <is>
          <t>FIX100</t>
        </is>
      </c>
      <c r="E1430" t="inlineStr">
        <is>
          <t>IC</t>
        </is>
      </c>
      <c r="F1430" t="n">
        <v>1.5</v>
      </c>
      <c r="G1430" t="n">
        <v>8</v>
      </c>
      <c r="H1430" t="n">
        <v>0</v>
      </c>
      <c r="I1430" t="inlineStr">
        <is>
          <t>L</t>
        </is>
      </c>
      <c r="J1430" t="inlineStr">
        <is>
          <t>S</t>
        </is>
      </c>
      <c r="K1430" t="inlineStr"/>
      <c r="L1430" t="inlineStr"/>
      <c r="M1430" s="30">
        <f>0.005454*F1430^2</f>
        <v/>
      </c>
      <c r="N1430" s="31">
        <f>IF(D1430="BAF20",20/M1430,100)</f>
        <v/>
      </c>
      <c r="O1430" s="31">
        <f>M1430*N1430</f>
        <v/>
      </c>
      <c r="P1430" s="32">
        <f>0.0*N1430</f>
        <v/>
      </c>
    </row>
    <row r="1431">
      <c r="A1431" t="inlineStr">
        <is>
          <t>U4-03</t>
        </is>
      </c>
      <c r="B1431" t="n">
        <v>4</v>
      </c>
      <c r="C1431" t="n">
        <v>14</v>
      </c>
      <c r="D1431" t="inlineStr">
        <is>
          <t>FIX100</t>
        </is>
      </c>
      <c r="E1431" t="inlineStr">
        <is>
          <t>IC</t>
        </is>
      </c>
      <c r="F1431" t="n">
        <v>1.9</v>
      </c>
      <c r="G1431" t="n">
        <v>10</v>
      </c>
      <c r="H1431" t="n">
        <v>0</v>
      </c>
      <c r="I1431" t="inlineStr">
        <is>
          <t>L</t>
        </is>
      </c>
      <c r="J1431" t="inlineStr">
        <is>
          <t>S</t>
        </is>
      </c>
      <c r="K1431" t="inlineStr"/>
      <c r="L1431" t="inlineStr"/>
      <c r="M1431" s="30">
        <f>0.005454*F1431^2</f>
        <v/>
      </c>
      <c r="N1431" s="31">
        <f>IF(D1431="BAF20",20/M1431,100)</f>
        <v/>
      </c>
      <c r="O1431" s="31">
        <f>M1431*N1431</f>
        <v/>
      </c>
      <c r="P1431" s="32">
        <f>0.0*N1431</f>
        <v/>
      </c>
    </row>
    <row r="1432">
      <c r="A1432" t="inlineStr">
        <is>
          <t>U4-03</t>
        </is>
      </c>
      <c r="B1432" t="n">
        <v>4</v>
      </c>
      <c r="C1432" t="n">
        <v>15</v>
      </c>
      <c r="D1432" t="inlineStr">
        <is>
          <t>FIX100</t>
        </is>
      </c>
      <c r="E1432" t="inlineStr">
        <is>
          <t>DF</t>
        </is>
      </c>
      <c r="F1432" t="n">
        <v>2.9</v>
      </c>
      <c r="G1432" t="n">
        <v>15</v>
      </c>
      <c r="H1432" t="n">
        <v>0</v>
      </c>
      <c r="I1432" t="inlineStr">
        <is>
          <t>L</t>
        </is>
      </c>
      <c r="J1432" t="inlineStr">
        <is>
          <t>S</t>
        </is>
      </c>
      <c r="K1432" t="inlineStr"/>
      <c r="L1432" t="inlineStr"/>
      <c r="M1432" s="30">
        <f>0.005454*F1432^2</f>
        <v/>
      </c>
      <c r="N1432" s="31">
        <f>IF(D1432="BAF20",20/M1432,100)</f>
        <v/>
      </c>
      <c r="O1432" s="31">
        <f>M1432*N1432</f>
        <v/>
      </c>
      <c r="P1432" s="32">
        <f>0.0*N1432</f>
        <v/>
      </c>
    </row>
    <row r="1433">
      <c r="A1433" t="inlineStr">
        <is>
          <t>U4-03</t>
        </is>
      </c>
      <c r="B1433" t="n">
        <v>4</v>
      </c>
      <c r="C1433" t="n">
        <v>16</v>
      </c>
      <c r="D1433" t="inlineStr">
        <is>
          <t>FIX100</t>
        </is>
      </c>
      <c r="E1433" t="inlineStr">
        <is>
          <t>BO</t>
        </is>
      </c>
      <c r="F1433" t="n">
        <v>3.8</v>
      </c>
      <c r="G1433" t="n">
        <v>17</v>
      </c>
      <c r="H1433" t="n">
        <v>0</v>
      </c>
      <c r="I1433" t="inlineStr">
        <is>
          <t>L</t>
        </is>
      </c>
      <c r="J1433" t="inlineStr">
        <is>
          <t>S</t>
        </is>
      </c>
      <c r="K1433" t="inlineStr"/>
      <c r="L1433" t="inlineStr"/>
      <c r="M1433" s="30">
        <f>0.005454*F1433^2</f>
        <v/>
      </c>
      <c r="N1433" s="31">
        <f>IF(D1433="BAF20",20/M1433,100)</f>
        <v/>
      </c>
      <c r="O1433" s="31">
        <f>M1433*N1433</f>
        <v/>
      </c>
      <c r="P1433" s="32">
        <f>0.0*N1433</f>
        <v/>
      </c>
    </row>
    <row r="1434">
      <c r="A1434" t="inlineStr">
        <is>
          <t>U4-03</t>
        </is>
      </c>
      <c r="B1434" t="n">
        <v>4</v>
      </c>
      <c r="C1434" t="n">
        <v>17</v>
      </c>
      <c r="D1434" t="inlineStr">
        <is>
          <t>FIX100</t>
        </is>
      </c>
      <c r="E1434" t="inlineStr">
        <is>
          <t>PP</t>
        </is>
      </c>
      <c r="F1434" t="n">
        <v>2</v>
      </c>
      <c r="G1434" t="n">
        <v>14</v>
      </c>
      <c r="H1434" t="n">
        <v>0</v>
      </c>
      <c r="I1434" t="inlineStr">
        <is>
          <t>L</t>
        </is>
      </c>
      <c r="J1434" t="inlineStr">
        <is>
          <t>S</t>
        </is>
      </c>
      <c r="K1434" t="inlineStr"/>
      <c r="L1434" t="inlineStr"/>
      <c r="M1434" s="30">
        <f>0.005454*F1434^2</f>
        <v/>
      </c>
      <c r="N1434" s="31">
        <f>IF(D1434="BAF20",20/M1434,100)</f>
        <v/>
      </c>
      <c r="O1434" s="31">
        <f>M1434*N1434</f>
        <v/>
      </c>
      <c r="P1434" s="32">
        <f>0.0*N1434</f>
        <v/>
      </c>
    </row>
    <row r="1435">
      <c r="A1435" t="inlineStr">
        <is>
          <t>U4-04</t>
        </is>
      </c>
      <c r="B1435" t="n">
        <v>4</v>
      </c>
      <c r="C1435" t="n">
        <v>1</v>
      </c>
      <c r="D1435" t="inlineStr">
        <is>
          <t>BAF20</t>
        </is>
      </c>
      <c r="E1435" t="inlineStr">
        <is>
          <t>WF</t>
        </is>
      </c>
      <c r="F1435" t="n">
        <v>12.9</v>
      </c>
      <c r="G1435" t="n">
        <v>63</v>
      </c>
      <c r="H1435" t="n">
        <v>16</v>
      </c>
      <c r="I1435" t="inlineStr">
        <is>
          <t>L</t>
        </is>
      </c>
      <c r="J1435" t="inlineStr">
        <is>
          <t>I</t>
        </is>
      </c>
      <c r="K1435" t="inlineStr">
        <is>
          <t>Y</t>
        </is>
      </c>
      <c r="L1435" t="inlineStr"/>
      <c r="M1435" s="30">
        <f>0.005454*F1435^2</f>
        <v/>
      </c>
      <c r="N1435" s="31">
        <f>IF(D1435="BAF20",20/M1435,100)</f>
        <v/>
      </c>
      <c r="O1435" s="31">
        <f>M1435*N1435</f>
        <v/>
      </c>
      <c r="P1435" s="32">
        <f>73.7*N1435</f>
        <v/>
      </c>
    </row>
    <row r="1436">
      <c r="A1436" t="inlineStr">
        <is>
          <t>U4-04</t>
        </is>
      </c>
      <c r="B1436" t="n">
        <v>4</v>
      </c>
      <c r="C1436" t="n">
        <v>2</v>
      </c>
      <c r="D1436" t="inlineStr">
        <is>
          <t>BAF20</t>
        </is>
      </c>
      <c r="E1436" t="inlineStr">
        <is>
          <t>WF</t>
        </is>
      </c>
      <c r="F1436" t="n">
        <v>6.8</v>
      </c>
      <c r="G1436" t="n">
        <v>39</v>
      </c>
      <c r="H1436" t="n">
        <v>7</v>
      </c>
      <c r="I1436" t="inlineStr">
        <is>
          <t>L</t>
        </is>
      </c>
      <c r="J1436" t="inlineStr">
        <is>
          <t>S</t>
        </is>
      </c>
      <c r="K1436" t="inlineStr">
        <is>
          <t>Y</t>
        </is>
      </c>
      <c r="L1436" t="inlineStr"/>
      <c r="M1436" s="30">
        <f>0.005454*F1436^2</f>
        <v/>
      </c>
      <c r="N1436" s="31">
        <f>IF(D1436="BAF20",20/M1436,100)</f>
        <v/>
      </c>
      <c r="O1436" s="31">
        <f>M1436*N1436</f>
        <v/>
      </c>
      <c r="P1436" s="32">
        <f>0.0*N1436</f>
        <v/>
      </c>
    </row>
    <row r="1437">
      <c r="A1437" t="inlineStr">
        <is>
          <t>U4-04</t>
        </is>
      </c>
      <c r="B1437" t="n">
        <v>4</v>
      </c>
      <c r="C1437" t="n">
        <v>3</v>
      </c>
      <c r="D1437" t="inlineStr">
        <is>
          <t>BAF20</t>
        </is>
      </c>
      <c r="E1437" t="inlineStr">
        <is>
          <t>IC</t>
        </is>
      </c>
      <c r="F1437" t="n">
        <v>20.5</v>
      </c>
      <c r="G1437" t="n">
        <v>77</v>
      </c>
      <c r="H1437" t="n">
        <v>8</v>
      </c>
      <c r="I1437" t="inlineStr">
        <is>
          <t>L</t>
        </is>
      </c>
      <c r="J1437" t="inlineStr">
        <is>
          <t>C</t>
        </is>
      </c>
      <c r="K1437" t="inlineStr"/>
      <c r="L1437" t="inlineStr"/>
      <c r="M1437" s="30">
        <f>0.005454*F1437^2</f>
        <v/>
      </c>
      <c r="N1437" s="31">
        <f>IF(D1437="BAF20",20/M1437,100)</f>
        <v/>
      </c>
      <c r="O1437" s="31">
        <f>M1437*N1437</f>
        <v/>
      </c>
      <c r="P1437" s="32">
        <f>291.2*N1437</f>
        <v/>
      </c>
    </row>
    <row r="1438">
      <c r="A1438" t="inlineStr">
        <is>
          <t>U4-04</t>
        </is>
      </c>
      <c r="B1438" t="n">
        <v>4</v>
      </c>
      <c r="C1438" t="n">
        <v>4</v>
      </c>
      <c r="D1438" t="inlineStr">
        <is>
          <t>BAF20</t>
        </is>
      </c>
      <c r="E1438" t="inlineStr">
        <is>
          <t>PP</t>
        </is>
      </c>
      <c r="F1438" t="n">
        <v>22</v>
      </c>
      <c r="G1438" t="n">
        <v>102</v>
      </c>
      <c r="H1438" t="n">
        <v>1</v>
      </c>
      <c r="I1438" t="inlineStr">
        <is>
          <t>L</t>
        </is>
      </c>
      <c r="J1438" t="inlineStr">
        <is>
          <t>C</t>
        </is>
      </c>
      <c r="K1438" t="inlineStr"/>
      <c r="L1438" t="inlineStr"/>
      <c r="M1438" s="30">
        <f>0.005454*F1438^2</f>
        <v/>
      </c>
      <c r="N1438" s="31">
        <f>IF(D1438="BAF20",20/M1438,100)</f>
        <v/>
      </c>
      <c r="O1438" s="31">
        <f>M1438*N1438</f>
        <v/>
      </c>
      <c r="P1438" s="32">
        <f>491.7*N1438</f>
        <v/>
      </c>
    </row>
    <row r="1439">
      <c r="A1439" t="inlineStr">
        <is>
          <t>U4-04</t>
        </is>
      </c>
      <c r="B1439" t="n">
        <v>4</v>
      </c>
      <c r="C1439" t="n">
        <v>5</v>
      </c>
      <c r="D1439" t="inlineStr">
        <is>
          <t>BAF20</t>
        </is>
      </c>
      <c r="E1439" t="inlineStr">
        <is>
          <t>DF</t>
        </is>
      </c>
      <c r="F1439" t="n">
        <v>15.5</v>
      </c>
      <c r="G1439" t="n">
        <v>81</v>
      </c>
      <c r="H1439" t="n">
        <v>2</v>
      </c>
      <c r="I1439" t="inlineStr">
        <is>
          <t>L</t>
        </is>
      </c>
      <c r="J1439" t="inlineStr">
        <is>
          <t>I</t>
        </is>
      </c>
      <c r="K1439" t="inlineStr"/>
      <c r="L1439" t="inlineStr"/>
      <c r="M1439" s="30">
        <f>0.005454*F1439^2</f>
        <v/>
      </c>
      <c r="N1439" s="31">
        <f>IF(D1439="BAF20",20/M1439,100)</f>
        <v/>
      </c>
      <c r="O1439" s="31">
        <f>M1439*N1439</f>
        <v/>
      </c>
      <c r="P1439" s="32">
        <f>168.9*N1439</f>
        <v/>
      </c>
    </row>
    <row r="1440">
      <c r="A1440" t="inlineStr">
        <is>
          <t>U4-04</t>
        </is>
      </c>
      <c r="B1440" t="n">
        <v>4</v>
      </c>
      <c r="C1440" t="n">
        <v>6</v>
      </c>
      <c r="D1440" t="inlineStr">
        <is>
          <t>BAF20</t>
        </is>
      </c>
      <c r="E1440" t="inlineStr">
        <is>
          <t>WF</t>
        </is>
      </c>
      <c r="F1440" t="n">
        <v>14.9</v>
      </c>
      <c r="G1440" t="n">
        <v>69</v>
      </c>
      <c r="H1440" t="n">
        <v>11</v>
      </c>
      <c r="I1440" t="inlineStr">
        <is>
          <t>L</t>
        </is>
      </c>
      <c r="J1440" t="inlineStr">
        <is>
          <t>I</t>
        </is>
      </c>
      <c r="K1440" t="inlineStr"/>
      <c r="L1440" t="inlineStr"/>
      <c r="M1440" s="30">
        <f>0.005454*F1440^2</f>
        <v/>
      </c>
      <c r="N1440" s="31">
        <f>IF(D1440="BAF20",20/M1440,100)</f>
        <v/>
      </c>
      <c r="O1440" s="31">
        <f>M1440*N1440</f>
        <v/>
      </c>
      <c r="P1440" s="32">
        <f>119.2*N1440</f>
        <v/>
      </c>
    </row>
    <row r="1441">
      <c r="A1441" t="inlineStr">
        <is>
          <t>U4-04</t>
        </is>
      </c>
      <c r="B1441" t="n">
        <v>4</v>
      </c>
      <c r="C1441" t="n">
        <v>7</v>
      </c>
      <c r="D1441" t="inlineStr">
        <is>
          <t>BAF20</t>
        </is>
      </c>
      <c r="E1441" t="inlineStr">
        <is>
          <t>WF</t>
        </is>
      </c>
      <c r="F1441" t="n">
        <v>17.7</v>
      </c>
      <c r="G1441" t="n">
        <v>90</v>
      </c>
      <c r="H1441" t="n">
        <v>11</v>
      </c>
      <c r="I1441" t="inlineStr">
        <is>
          <t>L</t>
        </is>
      </c>
      <c r="J1441" t="inlineStr">
        <is>
          <t>I</t>
        </is>
      </c>
      <c r="K1441" t="inlineStr"/>
      <c r="L1441" t="inlineStr"/>
      <c r="M1441" s="30">
        <f>0.005454*F1441^2</f>
        <v/>
      </c>
      <c r="N1441" s="31">
        <f>IF(D1441="BAF20",20/M1441,100)</f>
        <v/>
      </c>
      <c r="O1441" s="31">
        <f>M1441*N1441</f>
        <v/>
      </c>
      <c r="P1441" s="32">
        <f>232.4*N1441</f>
        <v/>
      </c>
    </row>
    <row r="1442">
      <c r="A1442" t="inlineStr">
        <is>
          <t>U4-04</t>
        </is>
      </c>
      <c r="B1442" t="n">
        <v>4</v>
      </c>
      <c r="C1442" t="n">
        <v>8</v>
      </c>
      <c r="D1442" t="inlineStr">
        <is>
          <t>BAF20</t>
        </is>
      </c>
      <c r="E1442" t="inlineStr">
        <is>
          <t>IC</t>
        </is>
      </c>
      <c r="F1442" t="n">
        <v>20.4</v>
      </c>
      <c r="G1442" t="n">
        <v>72</v>
      </c>
      <c r="H1442" t="n">
        <v>13</v>
      </c>
      <c r="I1442" t="inlineStr">
        <is>
          <t>L</t>
        </is>
      </c>
      <c r="J1442" t="inlineStr">
        <is>
          <t>C</t>
        </is>
      </c>
      <c r="K1442" t="inlineStr"/>
      <c r="L1442" t="inlineStr"/>
      <c r="M1442" s="30">
        <f>0.005454*F1442^2</f>
        <v/>
      </c>
      <c r="N1442" s="31">
        <f>IF(D1442="BAF20",20/M1442,100)</f>
        <v/>
      </c>
      <c r="O1442" s="31">
        <f>M1442*N1442</f>
        <v/>
      </c>
      <c r="P1442" s="32">
        <f>254.5*N1442</f>
        <v/>
      </c>
    </row>
    <row r="1443">
      <c r="A1443" t="inlineStr">
        <is>
          <t>U4-04</t>
        </is>
      </c>
      <c r="B1443" t="n">
        <v>4</v>
      </c>
      <c r="C1443" t="n">
        <v>9</v>
      </c>
      <c r="D1443" t="inlineStr">
        <is>
          <t>BAF20</t>
        </is>
      </c>
      <c r="E1443" t="inlineStr">
        <is>
          <t>BO</t>
        </is>
      </c>
      <c r="F1443" t="n">
        <v>6.9</v>
      </c>
      <c r="G1443" t="n">
        <v>31</v>
      </c>
      <c r="H1443" t="n">
        <v>9</v>
      </c>
      <c r="I1443" t="inlineStr">
        <is>
          <t>L</t>
        </is>
      </c>
      <c r="J1443" t="inlineStr">
        <is>
          <t>S</t>
        </is>
      </c>
      <c r="K1443" t="inlineStr">
        <is>
          <t>Y</t>
        </is>
      </c>
      <c r="L1443" t="inlineStr"/>
      <c r="M1443" s="30">
        <f>0.005454*F1443^2</f>
        <v/>
      </c>
      <c r="N1443" s="31">
        <f>IF(D1443="BAF20",20/M1443,100)</f>
        <v/>
      </c>
      <c r="O1443" s="31">
        <f>M1443*N1443</f>
        <v/>
      </c>
      <c r="P1443" s="32">
        <f>0.0*N1443</f>
        <v/>
      </c>
    </row>
    <row r="1444">
      <c r="A1444" t="inlineStr">
        <is>
          <t>U4-04</t>
        </is>
      </c>
      <c r="B1444" t="n">
        <v>4</v>
      </c>
      <c r="C1444" t="n">
        <v>10</v>
      </c>
      <c r="D1444" t="inlineStr">
        <is>
          <t>BAF20</t>
        </is>
      </c>
      <c r="E1444" t="inlineStr">
        <is>
          <t>DF</t>
        </is>
      </c>
      <c r="F1444" t="n">
        <v>20.8</v>
      </c>
      <c r="G1444" t="n">
        <v>101</v>
      </c>
      <c r="H1444" t="n">
        <v>10</v>
      </c>
      <c r="I1444" t="inlineStr">
        <is>
          <t>L</t>
        </is>
      </c>
      <c r="J1444" t="inlineStr">
        <is>
          <t>C</t>
        </is>
      </c>
      <c r="K1444" t="inlineStr"/>
      <c r="L1444" t="inlineStr"/>
      <c r="M1444" s="30">
        <f>0.005454*F1444^2</f>
        <v/>
      </c>
      <c r="N1444" s="31">
        <f>IF(D1444="BAF20",20/M1444,100)</f>
        <v/>
      </c>
      <c r="O1444" s="31">
        <f>M1444*N1444</f>
        <v/>
      </c>
      <c r="P1444" s="32">
        <f>386.9*N1444</f>
        <v/>
      </c>
    </row>
    <row r="1445">
      <c r="A1445" t="inlineStr">
        <is>
          <t>U4-04</t>
        </is>
      </c>
      <c r="B1445" t="n">
        <v>4</v>
      </c>
      <c r="C1445" t="n">
        <v>11</v>
      </c>
      <c r="D1445" t="inlineStr">
        <is>
          <t>BAF20</t>
        </is>
      </c>
      <c r="E1445" t="inlineStr">
        <is>
          <t>DF</t>
        </is>
      </c>
      <c r="F1445" t="n">
        <v>23.9</v>
      </c>
      <c r="G1445" t="n">
        <v>112</v>
      </c>
      <c r="H1445" t="n">
        <v>3</v>
      </c>
      <c r="I1445" t="inlineStr">
        <is>
          <t>L</t>
        </is>
      </c>
      <c r="J1445" t="inlineStr">
        <is>
          <t>D</t>
        </is>
      </c>
      <c r="K1445" t="inlineStr"/>
      <c r="L1445" t="inlineStr"/>
      <c r="M1445" s="30">
        <f>0.005454*F1445^2</f>
        <v/>
      </c>
      <c r="N1445" s="31">
        <f>IF(D1445="BAF20",20/M1445,100)</f>
        <v/>
      </c>
      <c r="O1445" s="31">
        <f>M1445*N1445</f>
        <v/>
      </c>
      <c r="P1445" s="32">
        <f>646.2*N1445</f>
        <v/>
      </c>
    </row>
    <row r="1446">
      <c r="A1446" t="inlineStr">
        <is>
          <t>U4-04</t>
        </is>
      </c>
      <c r="B1446" t="n">
        <v>4</v>
      </c>
      <c r="C1446" t="n">
        <v>12</v>
      </c>
      <c r="D1446" t="inlineStr">
        <is>
          <t>BAF20</t>
        </is>
      </c>
      <c r="E1446" t="inlineStr">
        <is>
          <t>PP</t>
        </is>
      </c>
      <c r="F1446" t="n">
        <v>13.8</v>
      </c>
      <c r="G1446" t="n">
        <v>66</v>
      </c>
      <c r="H1446" t="n">
        <v>2</v>
      </c>
      <c r="I1446" t="inlineStr">
        <is>
          <t>L</t>
        </is>
      </c>
      <c r="J1446" t="inlineStr">
        <is>
          <t>I</t>
        </is>
      </c>
      <c r="K1446" t="inlineStr">
        <is>
          <t>Y</t>
        </is>
      </c>
      <c r="L1446" t="inlineStr"/>
      <c r="M1446" s="30">
        <f>0.005454*F1446^2</f>
        <v/>
      </c>
      <c r="N1446" s="31">
        <f>IF(D1446="BAF20",20/M1446,100)</f>
        <v/>
      </c>
      <c r="O1446" s="31">
        <f>M1446*N1446</f>
        <v/>
      </c>
      <c r="P1446" s="32">
        <f>105.2*N1446</f>
        <v/>
      </c>
    </row>
    <row r="1447">
      <c r="A1447" t="inlineStr">
        <is>
          <t>U4-04</t>
        </is>
      </c>
      <c r="B1447" t="n">
        <v>4</v>
      </c>
      <c r="C1447" t="n">
        <v>13</v>
      </c>
      <c r="D1447" t="inlineStr">
        <is>
          <t>BAF20</t>
        </is>
      </c>
      <c r="E1447" t="inlineStr">
        <is>
          <t>DF</t>
        </is>
      </c>
      <c r="F1447" t="n">
        <v>14.9</v>
      </c>
      <c r="G1447" t="n">
        <v>77</v>
      </c>
      <c r="H1447" t="n">
        <v>1</v>
      </c>
      <c r="I1447" t="inlineStr">
        <is>
          <t>L</t>
        </is>
      </c>
      <c r="J1447" t="inlineStr">
        <is>
          <t>I</t>
        </is>
      </c>
      <c r="K1447" t="inlineStr"/>
      <c r="L1447" t="inlineStr"/>
      <c r="M1447" s="30">
        <f>0.005454*F1447^2</f>
        <v/>
      </c>
      <c r="N1447" s="31">
        <f>IF(D1447="BAF20",20/M1447,100)</f>
        <v/>
      </c>
      <c r="O1447" s="31">
        <f>M1447*N1447</f>
        <v/>
      </c>
      <c r="P1447" s="32">
        <f>148.0*N1447</f>
        <v/>
      </c>
    </row>
    <row r="1448">
      <c r="A1448" t="inlineStr">
        <is>
          <t>U4-04</t>
        </is>
      </c>
      <c r="B1448" t="n">
        <v>4</v>
      </c>
      <c r="C1448" t="n">
        <v>14</v>
      </c>
      <c r="D1448" t="inlineStr">
        <is>
          <t>BAF20</t>
        </is>
      </c>
      <c r="E1448" t="inlineStr">
        <is>
          <t>IC</t>
        </is>
      </c>
      <c r="F1448" t="n">
        <v>16.6</v>
      </c>
      <c r="G1448" t="n">
        <v>71</v>
      </c>
      <c r="H1448" t="n">
        <v>7</v>
      </c>
      <c r="I1448" t="inlineStr">
        <is>
          <t>L</t>
        </is>
      </c>
      <c r="J1448" t="inlineStr">
        <is>
          <t>I</t>
        </is>
      </c>
      <c r="K1448" t="inlineStr"/>
      <c r="L1448" t="inlineStr"/>
      <c r="M1448" s="30">
        <f>0.005454*F1448^2</f>
        <v/>
      </c>
      <c r="N1448" s="31">
        <f>IF(D1448="BAF20",20/M1448,100)</f>
        <v/>
      </c>
      <c r="O1448" s="31">
        <f>M1448*N1448</f>
        <v/>
      </c>
      <c r="P1448" s="32">
        <f>164.8*N1448</f>
        <v/>
      </c>
    </row>
    <row r="1449">
      <c r="A1449" t="inlineStr">
        <is>
          <t>U4-04</t>
        </is>
      </c>
      <c r="B1449" t="n">
        <v>4</v>
      </c>
      <c r="C1449" t="n">
        <v>15</v>
      </c>
      <c r="D1449" t="inlineStr">
        <is>
          <t>FIX100</t>
        </is>
      </c>
      <c r="E1449" t="inlineStr">
        <is>
          <t>DF</t>
        </is>
      </c>
      <c r="F1449" t="n">
        <v>1.2</v>
      </c>
      <c r="G1449" t="n">
        <v>10</v>
      </c>
      <c r="H1449" t="n">
        <v>0</v>
      </c>
      <c r="I1449" t="inlineStr">
        <is>
          <t>L</t>
        </is>
      </c>
      <c r="J1449" t="inlineStr">
        <is>
          <t>S</t>
        </is>
      </c>
      <c r="K1449" t="inlineStr"/>
      <c r="L1449" t="inlineStr"/>
      <c r="M1449" s="30">
        <f>0.005454*F1449^2</f>
        <v/>
      </c>
      <c r="N1449" s="31">
        <f>IF(D1449="BAF20",20/M1449,100)</f>
        <v/>
      </c>
      <c r="O1449" s="31">
        <f>M1449*N1449</f>
        <v/>
      </c>
      <c r="P1449" s="32">
        <f>0.0*N1449</f>
        <v/>
      </c>
    </row>
    <row r="1450">
      <c r="A1450" t="inlineStr">
        <is>
          <t>U4-04</t>
        </is>
      </c>
      <c r="B1450" t="n">
        <v>4</v>
      </c>
      <c r="C1450" t="n">
        <v>16</v>
      </c>
      <c r="D1450" t="inlineStr">
        <is>
          <t>FIX100</t>
        </is>
      </c>
      <c r="E1450" t="inlineStr">
        <is>
          <t>WF</t>
        </is>
      </c>
      <c r="F1450" t="n">
        <v>2.2</v>
      </c>
      <c r="G1450" t="n">
        <v>16</v>
      </c>
      <c r="H1450" t="n">
        <v>0</v>
      </c>
      <c r="I1450" t="inlineStr">
        <is>
          <t>L</t>
        </is>
      </c>
      <c r="J1450" t="inlineStr">
        <is>
          <t>S</t>
        </is>
      </c>
      <c r="K1450" t="inlineStr"/>
      <c r="L1450" t="inlineStr"/>
      <c r="M1450" s="30">
        <f>0.005454*F1450^2</f>
        <v/>
      </c>
      <c r="N1450" s="31">
        <f>IF(D1450="BAF20",20/M1450,100)</f>
        <v/>
      </c>
      <c r="O1450" s="31">
        <f>M1450*N1450</f>
        <v/>
      </c>
      <c r="P1450" s="32">
        <f>0.0*N1450</f>
        <v/>
      </c>
    </row>
    <row r="1451">
      <c r="A1451" t="inlineStr">
        <is>
          <t>U4-04</t>
        </is>
      </c>
      <c r="B1451" t="n">
        <v>4</v>
      </c>
      <c r="C1451" t="n">
        <v>17</v>
      </c>
      <c r="D1451" t="inlineStr">
        <is>
          <t>FIX100</t>
        </is>
      </c>
      <c r="E1451" t="inlineStr">
        <is>
          <t>BO</t>
        </is>
      </c>
      <c r="F1451" t="n">
        <v>2.9</v>
      </c>
      <c r="G1451" t="n">
        <v>17</v>
      </c>
      <c r="H1451" t="n">
        <v>0</v>
      </c>
      <c r="I1451" t="inlineStr">
        <is>
          <t>L</t>
        </is>
      </c>
      <c r="J1451" t="inlineStr">
        <is>
          <t>S</t>
        </is>
      </c>
      <c r="K1451" t="inlineStr"/>
      <c r="L1451" t="inlineStr"/>
      <c r="M1451" s="30">
        <f>0.005454*F1451^2</f>
        <v/>
      </c>
      <c r="N1451" s="31">
        <f>IF(D1451="BAF20",20/M1451,100)</f>
        <v/>
      </c>
      <c r="O1451" s="31">
        <f>M1451*N1451</f>
        <v/>
      </c>
      <c r="P1451" s="32">
        <f>0.0*N1451</f>
        <v/>
      </c>
    </row>
    <row r="1452">
      <c r="A1452" t="inlineStr">
        <is>
          <t>U4-05</t>
        </is>
      </c>
      <c r="B1452" t="n">
        <v>4</v>
      </c>
      <c r="C1452" t="n">
        <v>1</v>
      </c>
      <c r="D1452" t="inlineStr">
        <is>
          <t>BAF20</t>
        </is>
      </c>
      <c r="E1452" t="inlineStr">
        <is>
          <t>DF</t>
        </is>
      </c>
      <c r="F1452" t="n">
        <v>29.4</v>
      </c>
      <c r="G1452" t="n">
        <v>124</v>
      </c>
      <c r="H1452" t="n">
        <v>5</v>
      </c>
      <c r="I1452" t="inlineStr">
        <is>
          <t>L</t>
        </is>
      </c>
      <c r="J1452" t="inlineStr">
        <is>
          <t>D</t>
        </is>
      </c>
      <c r="K1452" t="inlineStr"/>
      <c r="L1452" t="inlineStr"/>
      <c r="M1452" s="30">
        <f>0.005454*F1452^2</f>
        <v/>
      </c>
      <c r="N1452" s="31">
        <f>IF(D1452="BAF20",20/M1452,100)</f>
        <v/>
      </c>
      <c r="O1452" s="31">
        <f>M1452*N1452</f>
        <v/>
      </c>
      <c r="P1452" s="32">
        <f>1164.2*N1452</f>
        <v/>
      </c>
    </row>
    <row r="1453">
      <c r="A1453" t="inlineStr">
        <is>
          <t>U4-05</t>
        </is>
      </c>
      <c r="B1453" t="n">
        <v>4</v>
      </c>
      <c r="C1453" t="n">
        <v>2</v>
      </c>
      <c r="D1453" t="inlineStr">
        <is>
          <t>BAF20</t>
        </is>
      </c>
      <c r="E1453" t="inlineStr">
        <is>
          <t>PP</t>
        </is>
      </c>
      <c r="F1453" t="n">
        <v>26.1</v>
      </c>
      <c r="G1453" t="n">
        <v>94</v>
      </c>
      <c r="H1453" t="n">
        <v>100</v>
      </c>
      <c r="I1453" t="inlineStr">
        <is>
          <t>D</t>
        </is>
      </c>
      <c r="J1453" t="inlineStr">
        <is>
          <t>D</t>
        </is>
      </c>
      <c r="K1453" t="inlineStr"/>
      <c r="L1453" t="inlineStr"/>
      <c r="M1453" s="30">
        <f>0.005454*F1453^2</f>
        <v/>
      </c>
      <c r="N1453" s="31">
        <f>IF(D1453="BAF20",20/M1453,100)</f>
        <v/>
      </c>
      <c r="O1453" s="31">
        <f>M1453*N1453</f>
        <v/>
      </c>
      <c r="P1453" s="32">
        <f>0.0*N1453</f>
        <v/>
      </c>
    </row>
    <row r="1454">
      <c r="A1454" t="inlineStr">
        <is>
          <t>U4-05</t>
        </is>
      </c>
      <c r="B1454" t="n">
        <v>4</v>
      </c>
      <c r="C1454" t="n">
        <v>3</v>
      </c>
      <c r="D1454" t="inlineStr">
        <is>
          <t>BAF20</t>
        </is>
      </c>
      <c r="E1454" t="inlineStr">
        <is>
          <t>PP</t>
        </is>
      </c>
      <c r="F1454" t="n">
        <v>13.6</v>
      </c>
      <c r="G1454" t="n">
        <v>67</v>
      </c>
      <c r="H1454" t="n">
        <v>2</v>
      </c>
      <c r="I1454" t="inlineStr">
        <is>
          <t>L</t>
        </is>
      </c>
      <c r="J1454" t="inlineStr">
        <is>
          <t>I</t>
        </is>
      </c>
      <c r="K1454" t="inlineStr">
        <is>
          <t>Y</t>
        </is>
      </c>
      <c r="L1454" t="inlineStr"/>
      <c r="M1454" s="30">
        <f>0.005454*F1454^2</f>
        <v/>
      </c>
      <c r="N1454" s="31">
        <f>IF(D1454="BAF20",20/M1454,100)</f>
        <v/>
      </c>
      <c r="O1454" s="31">
        <f>M1454*N1454</f>
        <v/>
      </c>
      <c r="P1454" s="32">
        <f>103.3*N1454</f>
        <v/>
      </c>
    </row>
    <row r="1455">
      <c r="A1455" t="inlineStr">
        <is>
          <t>U4-05</t>
        </is>
      </c>
      <c r="B1455" t="n">
        <v>4</v>
      </c>
      <c r="C1455" t="n">
        <v>4</v>
      </c>
      <c r="D1455" t="inlineStr">
        <is>
          <t>BAF20</t>
        </is>
      </c>
      <c r="E1455" t="inlineStr">
        <is>
          <t>WF</t>
        </is>
      </c>
      <c r="F1455" t="n">
        <v>15.5</v>
      </c>
      <c r="G1455" t="n">
        <v>74</v>
      </c>
      <c r="H1455" t="n">
        <v>3</v>
      </c>
      <c r="I1455" t="inlineStr">
        <is>
          <t>L</t>
        </is>
      </c>
      <c r="J1455" t="inlineStr">
        <is>
          <t>I</t>
        </is>
      </c>
      <c r="K1455" t="inlineStr"/>
      <c r="L1455" t="inlineStr"/>
      <c r="M1455" s="30">
        <f>0.005454*F1455^2</f>
        <v/>
      </c>
      <c r="N1455" s="31">
        <f>IF(D1455="BAF20",20/M1455,100)</f>
        <v/>
      </c>
      <c r="O1455" s="31">
        <f>M1455*N1455</f>
        <v/>
      </c>
      <c r="P1455" s="32">
        <f>152.7*N1455</f>
        <v/>
      </c>
    </row>
    <row r="1456">
      <c r="A1456" t="inlineStr">
        <is>
          <t>U4-05</t>
        </is>
      </c>
      <c r="B1456" t="n">
        <v>4</v>
      </c>
      <c r="C1456" t="n">
        <v>5</v>
      </c>
      <c r="D1456" t="inlineStr">
        <is>
          <t>BAF20</t>
        </is>
      </c>
      <c r="E1456" t="inlineStr">
        <is>
          <t>IC</t>
        </is>
      </c>
      <c r="F1456" t="n">
        <v>20.2</v>
      </c>
      <c r="G1456" t="n">
        <v>71</v>
      </c>
      <c r="H1456" t="n">
        <v>9</v>
      </c>
      <c r="I1456" t="inlineStr">
        <is>
          <t>L</t>
        </is>
      </c>
      <c r="J1456" t="inlineStr">
        <is>
          <t>C</t>
        </is>
      </c>
      <c r="K1456" t="inlineStr"/>
      <c r="L1456" t="inlineStr"/>
      <c r="M1456" s="30">
        <f>0.005454*F1456^2</f>
        <v/>
      </c>
      <c r="N1456" s="31">
        <f>IF(D1456="BAF20",20/M1456,100)</f>
        <v/>
      </c>
      <c r="O1456" s="31">
        <f>M1456*N1456</f>
        <v/>
      </c>
      <c r="P1456" s="32">
        <f>256.4*N1456</f>
        <v/>
      </c>
    </row>
    <row r="1457">
      <c r="A1457" t="inlineStr">
        <is>
          <t>U4-05</t>
        </is>
      </c>
      <c r="B1457" t="n">
        <v>4</v>
      </c>
      <c r="C1457" t="n">
        <v>6</v>
      </c>
      <c r="D1457" t="inlineStr">
        <is>
          <t>BAF20</t>
        </is>
      </c>
      <c r="E1457" t="inlineStr">
        <is>
          <t>PP</t>
        </is>
      </c>
      <c r="F1457" t="n">
        <v>21.2</v>
      </c>
      <c r="G1457" t="n">
        <v>93</v>
      </c>
      <c r="H1457" t="n">
        <v>1</v>
      </c>
      <c r="I1457" t="inlineStr">
        <is>
          <t>L</t>
        </is>
      </c>
      <c r="J1457" t="inlineStr">
        <is>
          <t>C</t>
        </is>
      </c>
      <c r="K1457" t="inlineStr"/>
      <c r="L1457" t="inlineStr"/>
      <c r="M1457" s="30">
        <f>0.005454*F1457^2</f>
        <v/>
      </c>
      <c r="N1457" s="31">
        <f>IF(D1457="BAF20",20/M1457,100)</f>
        <v/>
      </c>
      <c r="O1457" s="31">
        <f>M1457*N1457</f>
        <v/>
      </c>
      <c r="P1457" s="32">
        <f>410.2*N1457</f>
        <v/>
      </c>
    </row>
    <row r="1458">
      <c r="A1458" t="inlineStr">
        <is>
          <t>U4-05</t>
        </is>
      </c>
      <c r="B1458" t="n">
        <v>4</v>
      </c>
      <c r="C1458" t="n">
        <v>7</v>
      </c>
      <c r="D1458" t="inlineStr">
        <is>
          <t>BAF20</t>
        </is>
      </c>
      <c r="E1458" t="inlineStr">
        <is>
          <t>IC</t>
        </is>
      </c>
      <c r="F1458" t="n">
        <v>18</v>
      </c>
      <c r="G1458" t="n">
        <v>64</v>
      </c>
      <c r="H1458" t="n">
        <v>11</v>
      </c>
      <c r="I1458" t="inlineStr">
        <is>
          <t>L</t>
        </is>
      </c>
      <c r="J1458" t="inlineStr">
        <is>
          <t>I</t>
        </is>
      </c>
      <c r="K1458" t="inlineStr"/>
      <c r="L1458" t="inlineStr"/>
      <c r="M1458" s="30">
        <f>0.005454*F1458^2</f>
        <v/>
      </c>
      <c r="N1458" s="31">
        <f>IF(D1458="BAF20",20/M1458,100)</f>
        <v/>
      </c>
      <c r="O1458" s="31">
        <f>M1458*N1458</f>
        <v/>
      </c>
      <c r="P1458" s="32">
        <f>172.0*N1458</f>
        <v/>
      </c>
    </row>
    <row r="1459">
      <c r="A1459" t="inlineStr">
        <is>
          <t>U4-05</t>
        </is>
      </c>
      <c r="B1459" t="n">
        <v>4</v>
      </c>
      <c r="C1459" t="n">
        <v>8</v>
      </c>
      <c r="D1459" t="inlineStr">
        <is>
          <t>BAF20</t>
        </is>
      </c>
      <c r="E1459" t="inlineStr">
        <is>
          <t>IC</t>
        </is>
      </c>
      <c r="F1459" t="n">
        <v>15.2</v>
      </c>
      <c r="G1459" t="n">
        <v>68</v>
      </c>
      <c r="H1459" t="n">
        <v>2</v>
      </c>
      <c r="I1459" t="inlineStr">
        <is>
          <t>L</t>
        </is>
      </c>
      <c r="J1459" t="inlineStr">
        <is>
          <t>I</t>
        </is>
      </c>
      <c r="K1459" t="inlineStr"/>
      <c r="L1459" t="inlineStr"/>
      <c r="M1459" s="30">
        <f>0.005454*F1459^2</f>
        <v/>
      </c>
      <c r="N1459" s="31">
        <f>IF(D1459="BAF20",20/M1459,100)</f>
        <v/>
      </c>
      <c r="O1459" s="31">
        <f>M1459*N1459</f>
        <v/>
      </c>
      <c r="P1459" s="32">
        <f>135.5*N1459</f>
        <v/>
      </c>
    </row>
    <row r="1460">
      <c r="A1460" t="inlineStr">
        <is>
          <t>U4-05</t>
        </is>
      </c>
      <c r="B1460" t="n">
        <v>4</v>
      </c>
      <c r="C1460" t="n">
        <v>9</v>
      </c>
      <c r="D1460" t="inlineStr">
        <is>
          <t>BAF20</t>
        </is>
      </c>
      <c r="E1460" t="inlineStr">
        <is>
          <t>WF</t>
        </is>
      </c>
      <c r="F1460" t="n">
        <v>30.9</v>
      </c>
      <c r="G1460" t="n">
        <v>120</v>
      </c>
      <c r="H1460" t="n">
        <v>9</v>
      </c>
      <c r="I1460" t="inlineStr">
        <is>
          <t>L</t>
        </is>
      </c>
      <c r="J1460" t="inlineStr">
        <is>
          <t>D</t>
        </is>
      </c>
      <c r="K1460" t="inlineStr"/>
      <c r="L1460" t="inlineStr"/>
      <c r="M1460" s="30">
        <f>0.005454*F1460^2</f>
        <v/>
      </c>
      <c r="N1460" s="31">
        <f>IF(D1460="BAF20",20/M1460,100)</f>
        <v/>
      </c>
      <c r="O1460" s="31">
        <f>M1460*N1460</f>
        <v/>
      </c>
      <c r="P1460" s="32">
        <f>1221.2*N1460</f>
        <v/>
      </c>
    </row>
    <row r="1461">
      <c r="A1461" t="inlineStr">
        <is>
          <t>U4-05</t>
        </is>
      </c>
      <c r="B1461" t="n">
        <v>4</v>
      </c>
      <c r="C1461" t="n">
        <v>10</v>
      </c>
      <c r="D1461" t="inlineStr">
        <is>
          <t>BAF20</t>
        </is>
      </c>
      <c r="E1461" t="inlineStr">
        <is>
          <t>IC</t>
        </is>
      </c>
      <c r="F1461" t="n">
        <v>16</v>
      </c>
      <c r="G1461" t="n">
        <v>61</v>
      </c>
      <c r="H1461" t="n">
        <v>2</v>
      </c>
      <c r="I1461" t="inlineStr">
        <is>
          <t>L</t>
        </is>
      </c>
      <c r="J1461" t="inlineStr">
        <is>
          <t>I</t>
        </is>
      </c>
      <c r="K1461" t="inlineStr"/>
      <c r="L1461" t="inlineStr"/>
      <c r="M1461" s="30">
        <f>0.005454*F1461^2</f>
        <v/>
      </c>
      <c r="N1461" s="31">
        <f>IF(D1461="BAF20",20/M1461,100)</f>
        <v/>
      </c>
      <c r="O1461" s="31">
        <f>M1461*N1461</f>
        <v/>
      </c>
      <c r="P1461" s="32">
        <f>136.9*N1461</f>
        <v/>
      </c>
    </row>
    <row r="1462">
      <c r="A1462" t="inlineStr">
        <is>
          <t>U4-05</t>
        </is>
      </c>
      <c r="B1462" t="n">
        <v>4</v>
      </c>
      <c r="C1462" t="n">
        <v>11</v>
      </c>
      <c r="D1462" t="inlineStr">
        <is>
          <t>BAF20</t>
        </is>
      </c>
      <c r="E1462" t="inlineStr">
        <is>
          <t>PP</t>
        </is>
      </c>
      <c r="F1462" t="n">
        <v>14.6</v>
      </c>
      <c r="G1462" t="n">
        <v>69</v>
      </c>
      <c r="H1462" t="n">
        <v>8</v>
      </c>
      <c r="I1462" t="inlineStr">
        <is>
          <t>L</t>
        </is>
      </c>
      <c r="J1462" t="inlineStr">
        <is>
          <t>I</t>
        </is>
      </c>
      <c r="K1462" t="inlineStr"/>
      <c r="L1462" t="inlineStr"/>
      <c r="M1462" s="30">
        <f>0.005454*F1462^2</f>
        <v/>
      </c>
      <c r="N1462" s="31">
        <f>IF(D1462="BAF20",20/M1462,100)</f>
        <v/>
      </c>
      <c r="O1462" s="31">
        <f>M1462*N1462</f>
        <v/>
      </c>
      <c r="P1462" s="32">
        <f>117.6*N1462</f>
        <v/>
      </c>
    </row>
    <row r="1463">
      <c r="A1463" t="inlineStr">
        <is>
          <t>U4-05</t>
        </is>
      </c>
      <c r="B1463" t="n">
        <v>4</v>
      </c>
      <c r="C1463" t="n">
        <v>12</v>
      </c>
      <c r="D1463" t="inlineStr">
        <is>
          <t>BAF20</t>
        </is>
      </c>
      <c r="E1463" t="inlineStr">
        <is>
          <t>PP</t>
        </is>
      </c>
      <c r="F1463" t="n">
        <v>7.5</v>
      </c>
      <c r="G1463" t="n">
        <v>36</v>
      </c>
      <c r="H1463" t="n">
        <v>4</v>
      </c>
      <c r="I1463" t="inlineStr">
        <is>
          <t>L</t>
        </is>
      </c>
      <c r="J1463" t="inlineStr">
        <is>
          <t>S</t>
        </is>
      </c>
      <c r="K1463" t="inlineStr">
        <is>
          <t>Y</t>
        </is>
      </c>
      <c r="L1463" t="inlineStr"/>
      <c r="M1463" s="30">
        <f>0.005454*F1463^2</f>
        <v/>
      </c>
      <c r="N1463" s="31">
        <f>IF(D1463="BAF20",20/M1463,100)</f>
        <v/>
      </c>
      <c r="O1463" s="31">
        <f>M1463*N1463</f>
        <v/>
      </c>
      <c r="P1463" s="32">
        <f>0.0*N1463</f>
        <v/>
      </c>
    </row>
    <row r="1464">
      <c r="A1464" t="inlineStr">
        <is>
          <t>U4-05</t>
        </is>
      </c>
      <c r="B1464" t="n">
        <v>4</v>
      </c>
      <c r="C1464" t="n">
        <v>13</v>
      </c>
      <c r="D1464" t="inlineStr">
        <is>
          <t>BAF20</t>
        </is>
      </c>
      <c r="E1464" t="inlineStr">
        <is>
          <t>BO</t>
        </is>
      </c>
      <c r="F1464" t="n">
        <v>18.8</v>
      </c>
      <c r="G1464" t="n">
        <v>55</v>
      </c>
      <c r="H1464" t="n">
        <v>21</v>
      </c>
      <c r="I1464" t="inlineStr">
        <is>
          <t>L</t>
        </is>
      </c>
      <c r="J1464" t="inlineStr">
        <is>
          <t>C</t>
        </is>
      </c>
      <c r="K1464" t="inlineStr"/>
      <c r="L1464" t="inlineStr"/>
      <c r="M1464" s="30">
        <f>0.005454*F1464^2</f>
        <v/>
      </c>
      <c r="N1464" s="31">
        <f>IF(D1464="BAF20",20/M1464,100)</f>
        <v/>
      </c>
      <c r="O1464" s="31">
        <f>M1464*N1464</f>
        <v/>
      </c>
      <c r="P1464" s="32">
        <f>131.5*N1464</f>
        <v/>
      </c>
    </row>
    <row r="1465">
      <c r="A1465" t="inlineStr">
        <is>
          <t>U4-05</t>
        </is>
      </c>
      <c r="B1465" t="n">
        <v>4</v>
      </c>
      <c r="C1465" t="n">
        <v>14</v>
      </c>
      <c r="D1465" t="inlineStr">
        <is>
          <t>BAF20</t>
        </is>
      </c>
      <c r="E1465" t="inlineStr">
        <is>
          <t>WF</t>
        </is>
      </c>
      <c r="F1465" t="n">
        <v>25</v>
      </c>
      <c r="G1465" t="n">
        <v>108</v>
      </c>
      <c r="H1465" t="n">
        <v>8</v>
      </c>
      <c r="I1465" t="inlineStr">
        <is>
          <t>L</t>
        </is>
      </c>
      <c r="J1465" t="inlineStr">
        <is>
          <t>D</t>
        </is>
      </c>
      <c r="K1465" t="inlineStr"/>
      <c r="L1465" t="inlineStr"/>
      <c r="M1465" s="30">
        <f>0.005454*F1465^2</f>
        <v/>
      </c>
      <c r="N1465" s="31">
        <f>IF(D1465="BAF20",20/M1465,100)</f>
        <v/>
      </c>
      <c r="O1465" s="31">
        <f>M1465*N1465</f>
        <v/>
      </c>
      <c r="P1465" s="32">
        <f>659.3*N1465</f>
        <v/>
      </c>
    </row>
    <row r="1466">
      <c r="A1466" t="inlineStr">
        <is>
          <t>U4-05</t>
        </is>
      </c>
      <c r="B1466" t="n">
        <v>4</v>
      </c>
      <c r="C1466" t="n">
        <v>15</v>
      </c>
      <c r="D1466" t="inlineStr">
        <is>
          <t>BAF20</t>
        </is>
      </c>
      <c r="E1466" t="inlineStr">
        <is>
          <t>WF</t>
        </is>
      </c>
      <c r="F1466" t="n">
        <v>15.4</v>
      </c>
      <c r="G1466" t="n">
        <v>72</v>
      </c>
      <c r="H1466" t="n">
        <v>100</v>
      </c>
      <c r="I1466" t="inlineStr">
        <is>
          <t>D</t>
        </is>
      </c>
      <c r="J1466" t="inlineStr">
        <is>
          <t>I</t>
        </is>
      </c>
      <c r="K1466" t="inlineStr"/>
      <c r="L1466" t="inlineStr"/>
      <c r="M1466" s="30">
        <f>0.005454*F1466^2</f>
        <v/>
      </c>
      <c r="N1466" s="31">
        <f>IF(D1466="BAF20",20/M1466,100)</f>
        <v/>
      </c>
      <c r="O1466" s="31">
        <f>M1466*N1466</f>
        <v/>
      </c>
      <c r="P1466" s="32">
        <f>0.0*N1466</f>
        <v/>
      </c>
    </row>
    <row r="1467">
      <c r="A1467" t="inlineStr">
        <is>
          <t>U4-05</t>
        </is>
      </c>
      <c r="B1467" t="n">
        <v>4</v>
      </c>
      <c r="C1467" t="n">
        <v>16</v>
      </c>
      <c r="D1467" t="inlineStr">
        <is>
          <t>BAF20</t>
        </is>
      </c>
      <c r="E1467" t="inlineStr">
        <is>
          <t>IC</t>
        </is>
      </c>
      <c r="F1467" t="n">
        <v>20.9</v>
      </c>
      <c r="G1467" t="n">
        <v>85</v>
      </c>
      <c r="H1467" t="n">
        <v>20</v>
      </c>
      <c r="I1467" t="inlineStr">
        <is>
          <t>L</t>
        </is>
      </c>
      <c r="J1467" t="inlineStr">
        <is>
          <t>C</t>
        </is>
      </c>
      <c r="K1467" t="inlineStr"/>
      <c r="L1467" t="inlineStr"/>
      <c r="M1467" s="30">
        <f>0.005454*F1467^2</f>
        <v/>
      </c>
      <c r="N1467" s="31">
        <f>IF(D1467="BAF20",20/M1467,100)</f>
        <v/>
      </c>
      <c r="O1467" s="31">
        <f>M1467*N1467</f>
        <v/>
      </c>
      <c r="P1467" s="32">
        <f>292.8*N1467</f>
        <v/>
      </c>
    </row>
    <row r="1468">
      <c r="A1468" t="inlineStr">
        <is>
          <t>U4-05</t>
        </is>
      </c>
      <c r="B1468" t="n">
        <v>4</v>
      </c>
      <c r="C1468" t="n">
        <v>17</v>
      </c>
      <c r="D1468" t="inlineStr">
        <is>
          <t>BAF20</t>
        </is>
      </c>
      <c r="E1468" t="inlineStr">
        <is>
          <t>IC</t>
        </is>
      </c>
      <c r="F1468" t="n">
        <v>32</v>
      </c>
      <c r="G1468" t="n">
        <v>87</v>
      </c>
      <c r="H1468" t="n">
        <v>7</v>
      </c>
      <c r="I1468" t="inlineStr">
        <is>
          <t>L</t>
        </is>
      </c>
      <c r="J1468" t="inlineStr">
        <is>
          <t>D</t>
        </is>
      </c>
      <c r="K1468" t="inlineStr"/>
      <c r="L1468" t="inlineStr"/>
      <c r="M1468" s="30">
        <f>0.005454*F1468^2</f>
        <v/>
      </c>
      <c r="N1468" s="31">
        <f>IF(D1468="BAF20",20/M1468,100)</f>
        <v/>
      </c>
      <c r="O1468" s="31">
        <f>M1468*N1468</f>
        <v/>
      </c>
      <c r="P1468" s="32">
        <f>987.3*N1468</f>
        <v/>
      </c>
    </row>
    <row r="1469">
      <c r="A1469" t="inlineStr">
        <is>
          <t>U4-05</t>
        </is>
      </c>
      <c r="B1469" t="n">
        <v>4</v>
      </c>
      <c r="C1469" t="n">
        <v>18</v>
      </c>
      <c r="D1469" t="inlineStr">
        <is>
          <t>FIX100</t>
        </is>
      </c>
      <c r="E1469" t="inlineStr">
        <is>
          <t>BO</t>
        </is>
      </c>
      <c r="F1469" t="n">
        <v>1.6</v>
      </c>
      <c r="G1469" t="n">
        <v>10</v>
      </c>
      <c r="H1469" t="n">
        <v>0</v>
      </c>
      <c r="I1469" t="inlineStr">
        <is>
          <t>L</t>
        </is>
      </c>
      <c r="J1469" t="inlineStr">
        <is>
          <t>S</t>
        </is>
      </c>
      <c r="K1469" t="inlineStr"/>
      <c r="L1469" t="inlineStr"/>
      <c r="M1469" s="30">
        <f>0.005454*F1469^2</f>
        <v/>
      </c>
      <c r="N1469" s="31">
        <f>IF(D1469="BAF20",20/M1469,100)</f>
        <v/>
      </c>
      <c r="O1469" s="31">
        <f>M1469*N1469</f>
        <v/>
      </c>
      <c r="P1469" s="32">
        <f>0.0*N1469</f>
        <v/>
      </c>
    </row>
    <row r="1470">
      <c r="A1470" t="inlineStr">
        <is>
          <t>U4-06</t>
        </is>
      </c>
      <c r="B1470" t="n">
        <v>4</v>
      </c>
      <c r="C1470" t="n">
        <v>1</v>
      </c>
      <c r="D1470" t="inlineStr">
        <is>
          <t>BAF20</t>
        </is>
      </c>
      <c r="E1470" t="inlineStr">
        <is>
          <t>IC</t>
        </is>
      </c>
      <c r="F1470" t="n">
        <v>14.9</v>
      </c>
      <c r="G1470" t="n">
        <v>65</v>
      </c>
      <c r="H1470" t="n">
        <v>10</v>
      </c>
      <c r="I1470" t="inlineStr">
        <is>
          <t>L</t>
        </is>
      </c>
      <c r="J1470" t="inlineStr">
        <is>
          <t>I</t>
        </is>
      </c>
      <c r="K1470" t="inlineStr"/>
      <c r="L1470" t="inlineStr"/>
      <c r="M1470" s="30">
        <f>0.005454*F1470^2</f>
        <v/>
      </c>
      <c r="N1470" s="31">
        <f>IF(D1470="BAF20",20/M1470,100)</f>
        <v/>
      </c>
      <c r="O1470" s="31">
        <f>M1470*N1470</f>
        <v/>
      </c>
      <c r="P1470" s="32">
        <f>113.6*N1470</f>
        <v/>
      </c>
    </row>
    <row r="1471">
      <c r="A1471" t="inlineStr">
        <is>
          <t>U4-06</t>
        </is>
      </c>
      <c r="B1471" t="n">
        <v>4</v>
      </c>
      <c r="C1471" t="n">
        <v>2</v>
      </c>
      <c r="D1471" t="inlineStr">
        <is>
          <t>BAF20</t>
        </is>
      </c>
      <c r="E1471" t="inlineStr">
        <is>
          <t>DF</t>
        </is>
      </c>
      <c r="F1471" t="n">
        <v>24.8</v>
      </c>
      <c r="G1471" t="n">
        <v>112</v>
      </c>
      <c r="H1471" t="n">
        <v>3</v>
      </c>
      <c r="I1471" t="inlineStr">
        <is>
          <t>L</t>
        </is>
      </c>
      <c r="J1471" t="inlineStr">
        <is>
          <t>D</t>
        </is>
      </c>
      <c r="K1471" t="inlineStr"/>
      <c r="L1471" t="inlineStr"/>
      <c r="M1471" s="30">
        <f>0.005454*F1471^2</f>
        <v/>
      </c>
      <c r="N1471" s="31">
        <f>IF(D1471="BAF20",20/M1471,100)</f>
        <v/>
      </c>
      <c r="O1471" s="31">
        <f>M1471*N1471</f>
        <v/>
      </c>
      <c r="P1471" s="32">
        <f>706.9*N1471</f>
        <v/>
      </c>
    </row>
    <row r="1472">
      <c r="A1472" t="inlineStr">
        <is>
          <t>U4-06</t>
        </is>
      </c>
      <c r="B1472" t="n">
        <v>4</v>
      </c>
      <c r="C1472" t="n">
        <v>3</v>
      </c>
      <c r="D1472" t="inlineStr">
        <is>
          <t>BAF20</t>
        </is>
      </c>
      <c r="E1472" t="inlineStr">
        <is>
          <t>DF</t>
        </is>
      </c>
      <c r="F1472" t="n">
        <v>6.4</v>
      </c>
      <c r="G1472" t="n">
        <v>38</v>
      </c>
      <c r="H1472" t="n">
        <v>6</v>
      </c>
      <c r="I1472" t="inlineStr">
        <is>
          <t>L</t>
        </is>
      </c>
      <c r="J1472" t="inlineStr">
        <is>
          <t>S</t>
        </is>
      </c>
      <c r="K1472" t="inlineStr">
        <is>
          <t>Y</t>
        </is>
      </c>
      <c r="L1472" t="inlineStr"/>
      <c r="M1472" s="30">
        <f>0.005454*F1472^2</f>
        <v/>
      </c>
      <c r="N1472" s="31">
        <f>IF(D1472="BAF20",20/M1472,100)</f>
        <v/>
      </c>
      <c r="O1472" s="31">
        <f>M1472*N1472</f>
        <v/>
      </c>
      <c r="P1472" s="32">
        <f>0.0*N1472</f>
        <v/>
      </c>
    </row>
    <row r="1473">
      <c r="A1473" t="inlineStr">
        <is>
          <t>U4-06</t>
        </is>
      </c>
      <c r="B1473" t="n">
        <v>4</v>
      </c>
      <c r="C1473" t="n">
        <v>4</v>
      </c>
      <c r="D1473" t="inlineStr">
        <is>
          <t>BAF20</t>
        </is>
      </c>
      <c r="E1473" t="inlineStr">
        <is>
          <t>DF</t>
        </is>
      </c>
      <c r="F1473" t="n">
        <v>8.800000000000001</v>
      </c>
      <c r="G1473" t="n">
        <v>49</v>
      </c>
      <c r="H1473" t="n">
        <v>6</v>
      </c>
      <c r="I1473" t="inlineStr">
        <is>
          <t>L</t>
        </is>
      </c>
      <c r="J1473" t="inlineStr">
        <is>
          <t>S</t>
        </is>
      </c>
      <c r="K1473" t="inlineStr">
        <is>
          <t>Y</t>
        </is>
      </c>
      <c r="L1473" t="inlineStr"/>
      <c r="M1473" s="30">
        <f>0.005454*F1473^2</f>
        <v/>
      </c>
      <c r="N1473" s="31">
        <f>IF(D1473="BAF20",20/M1473,100)</f>
        <v/>
      </c>
      <c r="O1473" s="31">
        <f>M1473*N1473</f>
        <v/>
      </c>
      <c r="P1473" s="32">
        <f>0.0*N1473</f>
        <v/>
      </c>
    </row>
    <row r="1474">
      <c r="A1474" t="inlineStr">
        <is>
          <t>U4-06</t>
        </is>
      </c>
      <c r="B1474" t="n">
        <v>4</v>
      </c>
      <c r="C1474" t="n">
        <v>5</v>
      </c>
      <c r="D1474" t="inlineStr">
        <is>
          <t>BAF20</t>
        </is>
      </c>
      <c r="E1474" t="inlineStr">
        <is>
          <t>PP</t>
        </is>
      </c>
      <c r="F1474" t="n">
        <v>8.9</v>
      </c>
      <c r="G1474" t="n">
        <v>48</v>
      </c>
      <c r="H1474" t="n">
        <v>0</v>
      </c>
      <c r="I1474" t="inlineStr">
        <is>
          <t>L</t>
        </is>
      </c>
      <c r="J1474" t="inlineStr">
        <is>
          <t>S</t>
        </is>
      </c>
      <c r="K1474" t="inlineStr">
        <is>
          <t>Y</t>
        </is>
      </c>
      <c r="L1474" t="inlineStr"/>
      <c r="M1474" s="30">
        <f>0.005454*F1474^2</f>
        <v/>
      </c>
      <c r="N1474" s="31">
        <f>IF(D1474="BAF20",20/M1474,100)</f>
        <v/>
      </c>
      <c r="O1474" s="31">
        <f>M1474*N1474</f>
        <v/>
      </c>
      <c r="P1474" s="32">
        <f>0.0*N1474</f>
        <v/>
      </c>
    </row>
    <row r="1475">
      <c r="A1475" t="inlineStr">
        <is>
          <t>U4-06</t>
        </is>
      </c>
      <c r="B1475" t="n">
        <v>4</v>
      </c>
      <c r="C1475" t="n">
        <v>6</v>
      </c>
      <c r="D1475" t="inlineStr">
        <is>
          <t>BAF20</t>
        </is>
      </c>
      <c r="E1475" t="inlineStr">
        <is>
          <t>BO</t>
        </is>
      </c>
      <c r="F1475" t="n">
        <v>11</v>
      </c>
      <c r="G1475" t="n">
        <v>47</v>
      </c>
      <c r="H1475" t="n">
        <v>12</v>
      </c>
      <c r="I1475" t="inlineStr">
        <is>
          <t>L</t>
        </is>
      </c>
      <c r="J1475" t="inlineStr">
        <is>
          <t>S</t>
        </is>
      </c>
      <c r="K1475" t="inlineStr">
        <is>
          <t>Y</t>
        </is>
      </c>
      <c r="L1475" t="inlineStr"/>
      <c r="M1475" s="30">
        <f>0.005454*F1475^2</f>
        <v/>
      </c>
      <c r="N1475" s="31">
        <f>IF(D1475="BAF20",20/M1475,100)</f>
        <v/>
      </c>
      <c r="O1475" s="31">
        <f>M1475*N1475</f>
        <v/>
      </c>
      <c r="P1475" s="32">
        <f>36.3*N1475</f>
        <v/>
      </c>
    </row>
    <row r="1476">
      <c r="A1476" t="inlineStr">
        <is>
          <t>U4-06</t>
        </is>
      </c>
      <c r="B1476" t="n">
        <v>4</v>
      </c>
      <c r="C1476" t="n">
        <v>7</v>
      </c>
      <c r="D1476" t="inlineStr">
        <is>
          <t>BAF20</t>
        </is>
      </c>
      <c r="E1476" t="inlineStr">
        <is>
          <t>BO</t>
        </is>
      </c>
      <c r="F1476" t="n">
        <v>15.4</v>
      </c>
      <c r="G1476" t="n">
        <v>50</v>
      </c>
      <c r="H1476" t="n">
        <v>100</v>
      </c>
      <c r="I1476" t="inlineStr">
        <is>
          <t>D</t>
        </is>
      </c>
      <c r="J1476" t="inlineStr">
        <is>
          <t>I</t>
        </is>
      </c>
      <c r="K1476" t="inlineStr"/>
      <c r="L1476" t="inlineStr"/>
      <c r="M1476" s="30">
        <f>0.005454*F1476^2</f>
        <v/>
      </c>
      <c r="N1476" s="31">
        <f>IF(D1476="BAF20",20/M1476,100)</f>
        <v/>
      </c>
      <c r="O1476" s="31">
        <f>M1476*N1476</f>
        <v/>
      </c>
      <c r="P1476" s="32">
        <f>0.0*N1476</f>
        <v/>
      </c>
    </row>
    <row r="1477">
      <c r="A1477" t="inlineStr">
        <is>
          <t>U4-06</t>
        </is>
      </c>
      <c r="B1477" t="n">
        <v>4</v>
      </c>
      <c r="C1477" t="n">
        <v>8</v>
      </c>
      <c r="D1477" t="inlineStr">
        <is>
          <t>BAF20</t>
        </is>
      </c>
      <c r="E1477" t="inlineStr">
        <is>
          <t>IC</t>
        </is>
      </c>
      <c r="F1477" t="n">
        <v>6.6</v>
      </c>
      <c r="G1477" t="n">
        <v>30</v>
      </c>
      <c r="H1477" t="n">
        <v>9</v>
      </c>
      <c r="I1477" t="inlineStr">
        <is>
          <t>L</t>
        </is>
      </c>
      <c r="J1477" t="inlineStr">
        <is>
          <t>S</t>
        </is>
      </c>
      <c r="K1477" t="inlineStr">
        <is>
          <t>Y</t>
        </is>
      </c>
      <c r="L1477" t="inlineStr"/>
      <c r="M1477" s="30">
        <f>0.005454*F1477^2</f>
        <v/>
      </c>
      <c r="N1477" s="31">
        <f>IF(D1477="BAF20",20/M1477,100)</f>
        <v/>
      </c>
      <c r="O1477" s="31">
        <f>M1477*N1477</f>
        <v/>
      </c>
      <c r="P1477" s="32">
        <f>0.0*N1477</f>
        <v/>
      </c>
    </row>
    <row r="1478">
      <c r="A1478" t="inlineStr">
        <is>
          <t>U4-06</t>
        </is>
      </c>
      <c r="B1478" t="n">
        <v>4</v>
      </c>
      <c r="C1478" t="n">
        <v>9</v>
      </c>
      <c r="D1478" t="inlineStr">
        <is>
          <t>BAF20</t>
        </is>
      </c>
      <c r="E1478" t="inlineStr">
        <is>
          <t>PP</t>
        </is>
      </c>
      <c r="F1478" t="n">
        <v>10.4</v>
      </c>
      <c r="G1478" t="n">
        <v>55</v>
      </c>
      <c r="H1478" t="n">
        <v>2</v>
      </c>
      <c r="I1478" t="inlineStr">
        <is>
          <t>L</t>
        </is>
      </c>
      <c r="J1478" t="inlineStr">
        <is>
          <t>S</t>
        </is>
      </c>
      <c r="K1478" t="inlineStr">
        <is>
          <t>Y</t>
        </is>
      </c>
      <c r="L1478" t="inlineStr"/>
      <c r="M1478" s="30">
        <f>0.005454*F1478^2</f>
        <v/>
      </c>
      <c r="N1478" s="31">
        <f>IF(D1478="BAF20",20/M1478,100)</f>
        <v/>
      </c>
      <c r="O1478" s="31">
        <f>M1478*N1478</f>
        <v/>
      </c>
      <c r="P1478" s="32">
        <f>46.1*N1478</f>
        <v/>
      </c>
    </row>
    <row r="1479">
      <c r="A1479" t="inlineStr">
        <is>
          <t>U4-06</t>
        </is>
      </c>
      <c r="B1479" t="n">
        <v>4</v>
      </c>
      <c r="C1479" t="n">
        <v>10</v>
      </c>
      <c r="D1479" t="inlineStr">
        <is>
          <t>BAF20</t>
        </is>
      </c>
      <c r="E1479" t="inlineStr">
        <is>
          <t>SP</t>
        </is>
      </c>
      <c r="F1479" t="n">
        <v>18.4</v>
      </c>
      <c r="G1479" t="n">
        <v>74</v>
      </c>
      <c r="H1479" t="n">
        <v>9</v>
      </c>
      <c r="I1479" t="inlineStr">
        <is>
          <t>L</t>
        </is>
      </c>
      <c r="J1479" t="inlineStr">
        <is>
          <t>C</t>
        </is>
      </c>
      <c r="K1479" t="inlineStr"/>
      <c r="L1479" t="inlineStr"/>
      <c r="M1479" s="30">
        <f>0.005454*F1479^2</f>
        <v/>
      </c>
      <c r="N1479" s="31">
        <f>IF(D1479="BAF20",20/M1479,100)</f>
        <v/>
      </c>
      <c r="O1479" s="31">
        <f>M1479*N1479</f>
        <v/>
      </c>
      <c r="P1479" s="32">
        <f>214.1*N1479</f>
        <v/>
      </c>
    </row>
    <row r="1480">
      <c r="A1480" t="inlineStr">
        <is>
          <t>U4-06</t>
        </is>
      </c>
      <c r="B1480" t="n">
        <v>4</v>
      </c>
      <c r="C1480" t="n">
        <v>11</v>
      </c>
      <c r="D1480" t="inlineStr">
        <is>
          <t>BAF20</t>
        </is>
      </c>
      <c r="E1480" t="inlineStr">
        <is>
          <t>PP</t>
        </is>
      </c>
      <c r="F1480" t="n">
        <v>11.1</v>
      </c>
      <c r="G1480" t="n">
        <v>60</v>
      </c>
      <c r="H1480" t="n">
        <v>7</v>
      </c>
      <c r="I1480" t="inlineStr">
        <is>
          <t>L</t>
        </is>
      </c>
      <c r="J1480" t="inlineStr">
        <is>
          <t>S</t>
        </is>
      </c>
      <c r="K1480" t="inlineStr">
        <is>
          <t>Y</t>
        </is>
      </c>
      <c r="L1480" t="inlineStr"/>
      <c r="M1480" s="30">
        <f>0.005454*F1480^2</f>
        <v/>
      </c>
      <c r="N1480" s="31">
        <f>IF(D1480="BAF20",20/M1480,100)</f>
        <v/>
      </c>
      <c r="O1480" s="31">
        <f>M1480*N1480</f>
        <v/>
      </c>
      <c r="P1480" s="32">
        <f>55.3*N1480</f>
        <v/>
      </c>
    </row>
    <row r="1481">
      <c r="A1481" t="inlineStr">
        <is>
          <t>U4-06</t>
        </is>
      </c>
      <c r="B1481" t="n">
        <v>4</v>
      </c>
      <c r="C1481" t="n">
        <v>12</v>
      </c>
      <c r="D1481" t="inlineStr">
        <is>
          <t>BAF20</t>
        </is>
      </c>
      <c r="E1481" t="inlineStr">
        <is>
          <t>DF</t>
        </is>
      </c>
      <c r="F1481" t="n">
        <v>31.9</v>
      </c>
      <c r="G1481" t="n">
        <v>137</v>
      </c>
      <c r="H1481" t="n">
        <v>6</v>
      </c>
      <c r="I1481" t="inlineStr">
        <is>
          <t>L</t>
        </is>
      </c>
      <c r="J1481" t="inlineStr">
        <is>
          <t>D</t>
        </is>
      </c>
      <c r="K1481" t="inlineStr"/>
      <c r="L1481" t="inlineStr"/>
      <c r="M1481" s="30">
        <f>0.005454*F1481^2</f>
        <v/>
      </c>
      <c r="N1481" s="31">
        <f>IF(D1481="BAF20",20/M1481,100)</f>
        <v/>
      </c>
      <c r="O1481" s="31">
        <f>M1481*N1481</f>
        <v/>
      </c>
      <c r="P1481" s="32">
        <f>1559.1*N1481</f>
        <v/>
      </c>
    </row>
    <row r="1482">
      <c r="A1482" t="inlineStr">
        <is>
          <t>U4-06</t>
        </is>
      </c>
      <c r="B1482" t="n">
        <v>4</v>
      </c>
      <c r="C1482" t="n">
        <v>13</v>
      </c>
      <c r="D1482" t="inlineStr">
        <is>
          <t>BAF20</t>
        </is>
      </c>
      <c r="E1482" t="inlineStr">
        <is>
          <t>DF</t>
        </is>
      </c>
      <c r="F1482" t="n">
        <v>6.3</v>
      </c>
      <c r="G1482" t="n">
        <v>39</v>
      </c>
      <c r="H1482" t="n">
        <v>5</v>
      </c>
      <c r="I1482" t="inlineStr">
        <is>
          <t>L</t>
        </is>
      </c>
      <c r="J1482" t="inlineStr">
        <is>
          <t>S</t>
        </is>
      </c>
      <c r="K1482" t="inlineStr">
        <is>
          <t>Y</t>
        </is>
      </c>
      <c r="L1482" t="inlineStr"/>
      <c r="M1482" s="30">
        <f>0.005454*F1482^2</f>
        <v/>
      </c>
      <c r="N1482" s="31">
        <f>IF(D1482="BAF20",20/M1482,100)</f>
        <v/>
      </c>
      <c r="O1482" s="31">
        <f>M1482*N1482</f>
        <v/>
      </c>
      <c r="P1482" s="32">
        <f>0.0*N1482</f>
        <v/>
      </c>
    </row>
    <row r="1483">
      <c r="A1483" t="inlineStr">
        <is>
          <t>U4-06</t>
        </is>
      </c>
      <c r="B1483" t="n">
        <v>4</v>
      </c>
      <c r="C1483" t="n">
        <v>14</v>
      </c>
      <c r="D1483" t="inlineStr">
        <is>
          <t>BAF20</t>
        </is>
      </c>
      <c r="E1483" t="inlineStr">
        <is>
          <t>IC</t>
        </is>
      </c>
      <c r="F1483" t="n">
        <v>12.6</v>
      </c>
      <c r="G1483" t="n">
        <v>48</v>
      </c>
      <c r="H1483" t="n">
        <v>3</v>
      </c>
      <c r="I1483" t="inlineStr">
        <is>
          <t>L</t>
        </is>
      </c>
      <c r="J1483" t="inlineStr">
        <is>
          <t>S</t>
        </is>
      </c>
      <c r="K1483" t="inlineStr">
        <is>
          <t>Y</t>
        </is>
      </c>
      <c r="L1483" t="inlineStr"/>
      <c r="M1483" s="30">
        <f>0.005454*F1483^2</f>
        <v/>
      </c>
      <c r="N1483" s="31">
        <f>IF(D1483="BAF20",20/M1483,100)</f>
        <v/>
      </c>
      <c r="O1483" s="31">
        <f>M1483*N1483</f>
        <v/>
      </c>
      <c r="P1483" s="32">
        <f>61.5*N1483</f>
        <v/>
      </c>
    </row>
    <row r="1484">
      <c r="A1484" t="inlineStr">
        <is>
          <t>U4-06</t>
        </is>
      </c>
      <c r="B1484" t="n">
        <v>4</v>
      </c>
      <c r="C1484" t="n">
        <v>15</v>
      </c>
      <c r="D1484" t="inlineStr">
        <is>
          <t>BAF20</t>
        </is>
      </c>
      <c r="E1484" t="inlineStr">
        <is>
          <t>DF</t>
        </is>
      </c>
      <c r="F1484" t="n">
        <v>17.1</v>
      </c>
      <c r="G1484" t="n">
        <v>89</v>
      </c>
      <c r="H1484" t="n">
        <v>3</v>
      </c>
      <c r="I1484" t="inlineStr">
        <is>
          <t>L</t>
        </is>
      </c>
      <c r="J1484" t="inlineStr">
        <is>
          <t>I</t>
        </is>
      </c>
      <c r="K1484" t="inlineStr"/>
      <c r="L1484" t="inlineStr"/>
      <c r="M1484" s="30">
        <f>0.005454*F1484^2</f>
        <v/>
      </c>
      <c r="N1484" s="31">
        <f>IF(D1484="BAF20",20/M1484,100)</f>
        <v/>
      </c>
      <c r="O1484" s="31">
        <f>M1484*N1484</f>
        <v/>
      </c>
      <c r="P1484" s="32">
        <f>231.0*N1484</f>
        <v/>
      </c>
    </row>
    <row r="1485">
      <c r="A1485" t="inlineStr">
        <is>
          <t>U4-06</t>
        </is>
      </c>
      <c r="B1485" t="n">
        <v>4</v>
      </c>
      <c r="C1485" t="n">
        <v>16</v>
      </c>
      <c r="D1485" t="inlineStr">
        <is>
          <t>FIX100</t>
        </is>
      </c>
      <c r="E1485" t="inlineStr">
        <is>
          <t>IC</t>
        </is>
      </c>
      <c r="F1485" t="n">
        <v>1.5</v>
      </c>
      <c r="G1485" t="n">
        <v>10</v>
      </c>
      <c r="H1485" t="n">
        <v>0</v>
      </c>
      <c r="I1485" t="inlineStr">
        <is>
          <t>L</t>
        </is>
      </c>
      <c r="J1485" t="inlineStr">
        <is>
          <t>S</t>
        </is>
      </c>
      <c r="K1485" t="inlineStr"/>
      <c r="L1485" t="inlineStr"/>
      <c r="M1485" s="30">
        <f>0.005454*F1485^2</f>
        <v/>
      </c>
      <c r="N1485" s="31">
        <f>IF(D1485="BAF20",20/M1485,100)</f>
        <v/>
      </c>
      <c r="O1485" s="31">
        <f>M1485*N1485</f>
        <v/>
      </c>
      <c r="P1485" s="32">
        <f>0.0*N1485</f>
        <v/>
      </c>
    </row>
    <row r="1486">
      <c r="A1486" t="inlineStr">
        <is>
          <t>U4-06</t>
        </is>
      </c>
      <c r="B1486" t="n">
        <v>4</v>
      </c>
      <c r="C1486" t="n">
        <v>17</v>
      </c>
      <c r="D1486" t="inlineStr">
        <is>
          <t>FIX100</t>
        </is>
      </c>
      <c r="E1486" t="inlineStr">
        <is>
          <t>WF</t>
        </is>
      </c>
      <c r="F1486" t="n">
        <v>1.4</v>
      </c>
      <c r="G1486" t="n">
        <v>10</v>
      </c>
      <c r="H1486" t="n">
        <v>0</v>
      </c>
      <c r="I1486" t="inlineStr">
        <is>
          <t>L</t>
        </is>
      </c>
      <c r="J1486" t="inlineStr">
        <is>
          <t>S</t>
        </is>
      </c>
      <c r="K1486" t="inlineStr"/>
      <c r="L1486" t="inlineStr"/>
      <c r="M1486" s="30">
        <f>0.005454*F1486^2</f>
        <v/>
      </c>
      <c r="N1486" s="31">
        <f>IF(D1486="BAF20",20/M1486,100)</f>
        <v/>
      </c>
      <c r="O1486" s="31">
        <f>M1486*N1486</f>
        <v/>
      </c>
      <c r="P1486" s="32">
        <f>0.0*N1486</f>
        <v/>
      </c>
    </row>
    <row r="1487">
      <c r="A1487" t="inlineStr">
        <is>
          <t>U4-07</t>
        </is>
      </c>
      <c r="B1487" t="n">
        <v>4</v>
      </c>
      <c r="C1487" t="n">
        <v>1</v>
      </c>
      <c r="D1487" t="inlineStr">
        <is>
          <t>BAF20</t>
        </is>
      </c>
      <c r="E1487" t="inlineStr">
        <is>
          <t>WF</t>
        </is>
      </c>
      <c r="F1487" t="n">
        <v>19.9</v>
      </c>
      <c r="G1487" t="n">
        <v>98</v>
      </c>
      <c r="H1487" t="n">
        <v>100</v>
      </c>
      <c r="I1487" t="inlineStr">
        <is>
          <t>D</t>
        </is>
      </c>
      <c r="J1487" t="inlineStr">
        <is>
          <t>C</t>
        </is>
      </c>
      <c r="K1487" t="inlineStr"/>
      <c r="L1487" t="inlineStr"/>
      <c r="M1487" s="30">
        <f>0.005454*F1487^2</f>
        <v/>
      </c>
      <c r="N1487" s="31">
        <f>IF(D1487="BAF20",20/M1487,100)</f>
        <v/>
      </c>
      <c r="O1487" s="31">
        <f>M1487*N1487</f>
        <v/>
      </c>
      <c r="P1487" s="32">
        <f>0.0*N1487</f>
        <v/>
      </c>
    </row>
    <row r="1488">
      <c r="A1488" t="inlineStr">
        <is>
          <t>U4-07</t>
        </is>
      </c>
      <c r="B1488" t="n">
        <v>4</v>
      </c>
      <c r="C1488" t="n">
        <v>2</v>
      </c>
      <c r="D1488" t="inlineStr">
        <is>
          <t>BAF20</t>
        </is>
      </c>
      <c r="E1488" t="inlineStr">
        <is>
          <t>BO</t>
        </is>
      </c>
      <c r="F1488" t="n">
        <v>9.1</v>
      </c>
      <c r="G1488" t="n">
        <v>35</v>
      </c>
      <c r="H1488" t="n">
        <v>3</v>
      </c>
      <c r="I1488" t="inlineStr">
        <is>
          <t>L</t>
        </is>
      </c>
      <c r="J1488" t="inlineStr">
        <is>
          <t>S</t>
        </is>
      </c>
      <c r="K1488" t="inlineStr">
        <is>
          <t>Y</t>
        </is>
      </c>
      <c r="L1488" t="inlineStr"/>
      <c r="M1488" s="30">
        <f>0.005454*F1488^2</f>
        <v/>
      </c>
      <c r="N1488" s="31">
        <f>IF(D1488="BAF20",20/M1488,100)</f>
        <v/>
      </c>
      <c r="O1488" s="31">
        <f>M1488*N1488</f>
        <v/>
      </c>
      <c r="P1488" s="32">
        <f>0.0*N1488</f>
        <v/>
      </c>
    </row>
    <row r="1489">
      <c r="A1489" t="inlineStr">
        <is>
          <t>U4-07</t>
        </is>
      </c>
      <c r="B1489" t="n">
        <v>4</v>
      </c>
      <c r="C1489" t="n">
        <v>3</v>
      </c>
      <c r="D1489" t="inlineStr">
        <is>
          <t>BAF20</t>
        </is>
      </c>
      <c r="E1489" t="inlineStr">
        <is>
          <t>DF</t>
        </is>
      </c>
      <c r="F1489" t="n">
        <v>16</v>
      </c>
      <c r="G1489" t="n">
        <v>72</v>
      </c>
      <c r="H1489" t="n">
        <v>7</v>
      </c>
      <c r="I1489" t="inlineStr">
        <is>
          <t>L</t>
        </is>
      </c>
      <c r="J1489" t="inlineStr">
        <is>
          <t>I</t>
        </is>
      </c>
      <c r="K1489" t="inlineStr"/>
      <c r="L1489" t="inlineStr"/>
      <c r="M1489" s="30">
        <f>0.005454*F1489^2</f>
        <v/>
      </c>
      <c r="N1489" s="31">
        <f>IF(D1489="BAF20",20/M1489,100)</f>
        <v/>
      </c>
      <c r="O1489" s="31">
        <f>M1489*N1489</f>
        <v/>
      </c>
      <c r="P1489" s="32">
        <f>153.4*N1489</f>
        <v/>
      </c>
    </row>
    <row r="1490">
      <c r="A1490" t="inlineStr">
        <is>
          <t>U4-07</t>
        </is>
      </c>
      <c r="B1490" t="n">
        <v>4</v>
      </c>
      <c r="C1490" t="n">
        <v>4</v>
      </c>
      <c r="D1490" t="inlineStr">
        <is>
          <t>BAF20</t>
        </is>
      </c>
      <c r="E1490" t="inlineStr">
        <is>
          <t>PP</t>
        </is>
      </c>
      <c r="F1490" t="n">
        <v>5</v>
      </c>
      <c r="G1490" t="n">
        <v>25</v>
      </c>
      <c r="H1490" t="n">
        <v>7</v>
      </c>
      <c r="I1490" t="inlineStr">
        <is>
          <t>L</t>
        </is>
      </c>
      <c r="J1490" t="inlineStr">
        <is>
          <t>S</t>
        </is>
      </c>
      <c r="K1490" t="inlineStr">
        <is>
          <t>Y</t>
        </is>
      </c>
      <c r="L1490" t="inlineStr"/>
      <c r="M1490" s="30">
        <f>0.005454*F1490^2</f>
        <v/>
      </c>
      <c r="N1490" s="31">
        <f>IF(D1490="BAF20",20/M1490,100)</f>
        <v/>
      </c>
      <c r="O1490" s="31">
        <f>M1490*N1490</f>
        <v/>
      </c>
      <c r="P1490" s="32">
        <f>0.0*N1490</f>
        <v/>
      </c>
    </row>
    <row r="1491">
      <c r="A1491" t="inlineStr">
        <is>
          <t>U4-07</t>
        </is>
      </c>
      <c r="B1491" t="n">
        <v>4</v>
      </c>
      <c r="C1491" t="n">
        <v>5</v>
      </c>
      <c r="D1491" t="inlineStr">
        <is>
          <t>BAF20</t>
        </is>
      </c>
      <c r="E1491" t="inlineStr">
        <is>
          <t>DF</t>
        </is>
      </c>
      <c r="F1491" t="n">
        <v>24.6</v>
      </c>
      <c r="G1491" t="n">
        <v>115</v>
      </c>
      <c r="H1491" t="n">
        <v>10</v>
      </c>
      <c r="I1491" t="inlineStr">
        <is>
          <t>L</t>
        </is>
      </c>
      <c r="J1491" t="inlineStr">
        <is>
          <t>D</t>
        </is>
      </c>
      <c r="K1491" t="inlineStr"/>
      <c r="L1491" t="inlineStr"/>
      <c r="M1491" s="30">
        <f>0.005454*F1491^2</f>
        <v/>
      </c>
      <c r="N1491" s="31">
        <f>IF(D1491="BAF20",20/M1491,100)</f>
        <v/>
      </c>
      <c r="O1491" s="31">
        <f>M1491*N1491</f>
        <v/>
      </c>
      <c r="P1491" s="32">
        <f>660.4*N1491</f>
        <v/>
      </c>
    </row>
    <row r="1492">
      <c r="A1492" t="inlineStr">
        <is>
          <t>U4-07</t>
        </is>
      </c>
      <c r="B1492" t="n">
        <v>4</v>
      </c>
      <c r="C1492" t="n">
        <v>6</v>
      </c>
      <c r="D1492" t="inlineStr">
        <is>
          <t>BAF20</t>
        </is>
      </c>
      <c r="E1492" t="inlineStr">
        <is>
          <t>IC</t>
        </is>
      </c>
      <c r="F1492" t="n">
        <v>19.3</v>
      </c>
      <c r="G1492" t="n">
        <v>70</v>
      </c>
      <c r="H1492" t="n">
        <v>4</v>
      </c>
      <c r="I1492" t="inlineStr">
        <is>
          <t>L</t>
        </is>
      </c>
      <c r="J1492" t="inlineStr">
        <is>
          <t>C</t>
        </is>
      </c>
      <c r="K1492" t="inlineStr"/>
      <c r="L1492" t="inlineStr"/>
      <c r="M1492" s="30">
        <f>0.005454*F1492^2</f>
        <v/>
      </c>
      <c r="N1492" s="31">
        <f>IF(D1492="BAF20",20/M1492,100)</f>
        <v/>
      </c>
      <c r="O1492" s="31">
        <f>M1492*N1492</f>
        <v/>
      </c>
      <c r="P1492" s="32">
        <f>239.3*N1492</f>
        <v/>
      </c>
    </row>
    <row r="1493">
      <c r="A1493" t="inlineStr">
        <is>
          <t>U4-07</t>
        </is>
      </c>
      <c r="B1493" t="n">
        <v>4</v>
      </c>
      <c r="C1493" t="n">
        <v>7</v>
      </c>
      <c r="D1493" t="inlineStr">
        <is>
          <t>BAF20</t>
        </is>
      </c>
      <c r="E1493" t="inlineStr">
        <is>
          <t>PP</t>
        </is>
      </c>
      <c r="F1493" t="n">
        <v>25.5</v>
      </c>
      <c r="G1493" t="n">
        <v>95</v>
      </c>
      <c r="H1493" t="n">
        <v>2</v>
      </c>
      <c r="I1493" t="inlineStr">
        <is>
          <t>L</t>
        </is>
      </c>
      <c r="J1493" t="inlineStr">
        <is>
          <t>D</t>
        </is>
      </c>
      <c r="K1493" t="inlineStr"/>
      <c r="L1493" t="inlineStr"/>
      <c r="M1493" s="30">
        <f>0.005454*F1493^2</f>
        <v/>
      </c>
      <c r="N1493" s="31">
        <f>IF(D1493="BAF20",20/M1493,100)</f>
        <v/>
      </c>
      <c r="O1493" s="31">
        <f>M1493*N1493</f>
        <v/>
      </c>
      <c r="P1493" s="32">
        <f>648.4*N1493</f>
        <v/>
      </c>
    </row>
    <row r="1494">
      <c r="A1494" t="inlineStr">
        <is>
          <t>U4-07</t>
        </is>
      </c>
      <c r="B1494" t="n">
        <v>4</v>
      </c>
      <c r="C1494" t="n">
        <v>8</v>
      </c>
      <c r="D1494" t="inlineStr">
        <is>
          <t>BAF20</t>
        </is>
      </c>
      <c r="E1494" t="inlineStr">
        <is>
          <t>PP</t>
        </is>
      </c>
      <c r="F1494" t="n">
        <v>21.1</v>
      </c>
      <c r="G1494" t="n">
        <v>96</v>
      </c>
      <c r="H1494" t="n">
        <v>7</v>
      </c>
      <c r="I1494" t="inlineStr">
        <is>
          <t>L</t>
        </is>
      </c>
      <c r="J1494" t="inlineStr">
        <is>
          <t>C</t>
        </is>
      </c>
      <c r="K1494" t="inlineStr"/>
      <c r="L1494" t="inlineStr"/>
      <c r="M1494" s="30">
        <f>0.005454*F1494^2</f>
        <v/>
      </c>
      <c r="N1494" s="31">
        <f>IF(D1494="BAF20",20/M1494,100)</f>
        <v/>
      </c>
      <c r="O1494" s="31">
        <f>M1494*N1494</f>
        <v/>
      </c>
      <c r="P1494" s="32">
        <f>393.3*N1494</f>
        <v/>
      </c>
    </row>
    <row r="1495">
      <c r="A1495" t="inlineStr">
        <is>
          <t>U4-07</t>
        </is>
      </c>
      <c r="B1495" t="n">
        <v>4</v>
      </c>
      <c r="C1495" t="n">
        <v>9</v>
      </c>
      <c r="D1495" t="inlineStr">
        <is>
          <t>BAF20</t>
        </is>
      </c>
      <c r="E1495" t="inlineStr">
        <is>
          <t>IC</t>
        </is>
      </c>
      <c r="F1495" t="n">
        <v>8.300000000000001</v>
      </c>
      <c r="G1495" t="n">
        <v>35</v>
      </c>
      <c r="H1495" t="n">
        <v>8</v>
      </c>
      <c r="I1495" t="inlineStr">
        <is>
          <t>L</t>
        </is>
      </c>
      <c r="J1495" t="inlineStr">
        <is>
          <t>S</t>
        </is>
      </c>
      <c r="K1495" t="inlineStr">
        <is>
          <t>Y</t>
        </is>
      </c>
      <c r="L1495" t="inlineStr"/>
      <c r="M1495" s="30">
        <f>0.005454*F1495^2</f>
        <v/>
      </c>
      <c r="N1495" s="31">
        <f>IF(D1495="BAF20",20/M1495,100)</f>
        <v/>
      </c>
      <c r="O1495" s="31">
        <f>M1495*N1495</f>
        <v/>
      </c>
      <c r="P1495" s="32">
        <f>0.0*N1495</f>
        <v/>
      </c>
    </row>
    <row r="1496">
      <c r="A1496" t="inlineStr">
        <is>
          <t>U4-07</t>
        </is>
      </c>
      <c r="B1496" t="n">
        <v>4</v>
      </c>
      <c r="C1496" t="n">
        <v>10</v>
      </c>
      <c r="D1496" t="inlineStr">
        <is>
          <t>BAF20</t>
        </is>
      </c>
      <c r="E1496" t="inlineStr">
        <is>
          <t>SP</t>
        </is>
      </c>
      <c r="F1496" t="n">
        <v>26.3</v>
      </c>
      <c r="G1496" t="n">
        <v>114</v>
      </c>
      <c r="H1496" t="n">
        <v>100</v>
      </c>
      <c r="I1496" t="inlineStr">
        <is>
          <t>D</t>
        </is>
      </c>
      <c r="J1496" t="inlineStr">
        <is>
          <t>D</t>
        </is>
      </c>
      <c r="K1496" t="inlineStr"/>
      <c r="L1496" t="inlineStr"/>
      <c r="M1496" s="30">
        <f>0.005454*F1496^2</f>
        <v/>
      </c>
      <c r="N1496" s="31">
        <f>IF(D1496="BAF20",20/M1496,100)</f>
        <v/>
      </c>
      <c r="O1496" s="31">
        <f>M1496*N1496</f>
        <v/>
      </c>
      <c r="P1496" s="32">
        <f>0.0*N1496</f>
        <v/>
      </c>
    </row>
    <row r="1497">
      <c r="A1497" t="inlineStr">
        <is>
          <t>U4-07</t>
        </is>
      </c>
      <c r="B1497" t="n">
        <v>4</v>
      </c>
      <c r="C1497" t="n">
        <v>11</v>
      </c>
      <c r="D1497" t="inlineStr">
        <is>
          <t>BAF20</t>
        </is>
      </c>
      <c r="E1497" t="inlineStr">
        <is>
          <t>DF</t>
        </is>
      </c>
      <c r="F1497" t="n">
        <v>28.3</v>
      </c>
      <c r="G1497" t="n">
        <v>101</v>
      </c>
      <c r="H1497" t="n">
        <v>1</v>
      </c>
      <c r="I1497" t="inlineStr">
        <is>
          <t>L</t>
        </is>
      </c>
      <c r="J1497" t="inlineStr">
        <is>
          <t>D</t>
        </is>
      </c>
      <c r="K1497" t="inlineStr"/>
      <c r="L1497" t="inlineStr"/>
      <c r="M1497" s="30">
        <f>0.005454*F1497^2</f>
        <v/>
      </c>
      <c r="N1497" s="31">
        <f>IF(D1497="BAF20",20/M1497,100)</f>
        <v/>
      </c>
      <c r="O1497" s="31">
        <f>M1497*N1497</f>
        <v/>
      </c>
      <c r="P1497" s="32">
        <f>899.3*N1497</f>
        <v/>
      </c>
    </row>
    <row r="1498">
      <c r="A1498" t="inlineStr">
        <is>
          <t>U4-07</t>
        </is>
      </c>
      <c r="B1498" t="n">
        <v>4</v>
      </c>
      <c r="C1498" t="n">
        <v>12</v>
      </c>
      <c r="D1498" t="inlineStr">
        <is>
          <t>BAF20</t>
        </is>
      </c>
      <c r="E1498" t="inlineStr">
        <is>
          <t>SP</t>
        </is>
      </c>
      <c r="F1498" t="n">
        <v>24.4</v>
      </c>
      <c r="G1498" t="n">
        <v>93</v>
      </c>
      <c r="H1498" t="n">
        <v>7</v>
      </c>
      <c r="I1498" t="inlineStr">
        <is>
          <t>L</t>
        </is>
      </c>
      <c r="J1498" t="inlineStr">
        <is>
          <t>D</t>
        </is>
      </c>
      <c r="K1498" t="inlineStr"/>
      <c r="L1498" t="inlineStr"/>
      <c r="M1498" s="30">
        <f>0.005454*F1498^2</f>
        <v/>
      </c>
      <c r="N1498" s="31">
        <f>IF(D1498="BAF20",20/M1498,100)</f>
        <v/>
      </c>
      <c r="O1498" s="31">
        <f>M1498*N1498</f>
        <v/>
      </c>
      <c r="P1498" s="32">
        <f>541.0*N1498</f>
        <v/>
      </c>
    </row>
    <row r="1499">
      <c r="A1499" t="inlineStr">
        <is>
          <t>U4-07</t>
        </is>
      </c>
      <c r="B1499" t="n">
        <v>4</v>
      </c>
      <c r="C1499" t="n">
        <v>13</v>
      </c>
      <c r="D1499" t="inlineStr">
        <is>
          <t>BAF20</t>
        </is>
      </c>
      <c r="E1499" t="inlineStr">
        <is>
          <t>DF</t>
        </is>
      </c>
      <c r="F1499" t="n">
        <v>23.7</v>
      </c>
      <c r="G1499" t="n">
        <v>114</v>
      </c>
      <c r="H1499" t="n">
        <v>6</v>
      </c>
      <c r="I1499" t="inlineStr">
        <is>
          <t>L</t>
        </is>
      </c>
      <c r="J1499" t="inlineStr">
        <is>
          <t>D</t>
        </is>
      </c>
      <c r="K1499" t="inlineStr"/>
      <c r="L1499" t="inlineStr"/>
      <c r="M1499" s="30">
        <f>0.005454*F1499^2</f>
        <v/>
      </c>
      <c r="N1499" s="31">
        <f>IF(D1499="BAF20",20/M1499,100)</f>
        <v/>
      </c>
      <c r="O1499" s="31">
        <f>M1499*N1499</f>
        <v/>
      </c>
      <c r="P1499" s="32">
        <f>624.5*N1499</f>
        <v/>
      </c>
    </row>
    <row r="1500">
      <c r="A1500" t="inlineStr">
        <is>
          <t>U4-07</t>
        </is>
      </c>
      <c r="B1500" t="n">
        <v>4</v>
      </c>
      <c r="C1500" t="n">
        <v>14</v>
      </c>
      <c r="D1500" t="inlineStr">
        <is>
          <t>BAF20</t>
        </is>
      </c>
      <c r="E1500" t="inlineStr">
        <is>
          <t>SP</t>
        </is>
      </c>
      <c r="F1500" t="n">
        <v>14.8</v>
      </c>
      <c r="G1500" t="n">
        <v>60</v>
      </c>
      <c r="H1500" t="n">
        <v>2</v>
      </c>
      <c r="I1500" t="inlineStr">
        <is>
          <t>L</t>
        </is>
      </c>
      <c r="J1500" t="inlineStr">
        <is>
          <t>I</t>
        </is>
      </c>
      <c r="K1500" t="inlineStr"/>
      <c r="L1500" t="inlineStr"/>
      <c r="M1500" s="30">
        <f>0.005454*F1500^2</f>
        <v/>
      </c>
      <c r="N1500" s="31">
        <f>IF(D1500="BAF20",20/M1500,100)</f>
        <v/>
      </c>
      <c r="O1500" s="31">
        <f>M1500*N1500</f>
        <v/>
      </c>
      <c r="P1500" s="32">
        <f>112.4*N1500</f>
        <v/>
      </c>
    </row>
    <row r="1501">
      <c r="A1501" t="inlineStr">
        <is>
          <t>U4-07</t>
        </is>
      </c>
      <c r="B1501" t="n">
        <v>4</v>
      </c>
      <c r="C1501" t="n">
        <v>15</v>
      </c>
      <c r="D1501" t="inlineStr">
        <is>
          <t>BAF20</t>
        </is>
      </c>
      <c r="E1501" t="inlineStr">
        <is>
          <t>WF</t>
        </is>
      </c>
      <c r="F1501" t="n">
        <v>12.9</v>
      </c>
      <c r="G1501" t="n">
        <v>62</v>
      </c>
      <c r="H1501" t="n">
        <v>17</v>
      </c>
      <c r="I1501" t="inlineStr">
        <is>
          <t>L</t>
        </is>
      </c>
      <c r="J1501" t="inlineStr">
        <is>
          <t>I</t>
        </is>
      </c>
      <c r="K1501" t="inlineStr">
        <is>
          <t>Y</t>
        </is>
      </c>
      <c r="L1501" t="inlineStr"/>
      <c r="M1501" s="30">
        <f>0.005454*F1501^2</f>
        <v/>
      </c>
      <c r="N1501" s="31">
        <f>IF(D1501="BAF20",20/M1501,100)</f>
        <v/>
      </c>
      <c r="O1501" s="31">
        <f>M1501*N1501</f>
        <v/>
      </c>
      <c r="P1501" s="32">
        <f>71.7*N1501</f>
        <v/>
      </c>
    </row>
    <row r="1502">
      <c r="A1502" t="inlineStr">
        <is>
          <t>U4-07</t>
        </is>
      </c>
      <c r="B1502" t="n">
        <v>4</v>
      </c>
      <c r="C1502" t="n">
        <v>16</v>
      </c>
      <c r="D1502" t="inlineStr">
        <is>
          <t>BAF20</t>
        </is>
      </c>
      <c r="E1502" t="inlineStr">
        <is>
          <t>DF</t>
        </is>
      </c>
      <c r="F1502" t="n">
        <v>20.4</v>
      </c>
      <c r="G1502" t="n">
        <v>90</v>
      </c>
      <c r="H1502" t="n">
        <v>0</v>
      </c>
      <c r="I1502" t="inlineStr">
        <is>
          <t>L</t>
        </is>
      </c>
      <c r="J1502" t="inlineStr">
        <is>
          <t>C</t>
        </is>
      </c>
      <c r="K1502" t="inlineStr"/>
      <c r="L1502" t="inlineStr"/>
      <c r="M1502" s="30">
        <f>0.005454*F1502^2</f>
        <v/>
      </c>
      <c r="N1502" s="31">
        <f>IF(D1502="BAF20",20/M1502,100)</f>
        <v/>
      </c>
      <c r="O1502" s="31">
        <f>M1502*N1502</f>
        <v/>
      </c>
      <c r="P1502" s="32">
        <f>365.7*N1502</f>
        <v/>
      </c>
    </row>
    <row r="1503">
      <c r="A1503" t="inlineStr">
        <is>
          <t>U4-07</t>
        </is>
      </c>
      <c r="B1503" t="n">
        <v>4</v>
      </c>
      <c r="C1503" t="n">
        <v>17</v>
      </c>
      <c r="D1503" t="inlineStr">
        <is>
          <t>BAF20</t>
        </is>
      </c>
      <c r="E1503" t="inlineStr">
        <is>
          <t>PP</t>
        </is>
      </c>
      <c r="F1503" t="n">
        <v>15.5</v>
      </c>
      <c r="G1503" t="n">
        <v>70</v>
      </c>
      <c r="H1503" t="n">
        <v>4</v>
      </c>
      <c r="I1503" t="inlineStr">
        <is>
          <t>L</t>
        </is>
      </c>
      <c r="J1503" t="inlineStr">
        <is>
          <t>I</t>
        </is>
      </c>
      <c r="K1503" t="inlineStr"/>
      <c r="L1503" t="inlineStr"/>
      <c r="M1503" s="30">
        <f>0.005454*F1503^2</f>
        <v/>
      </c>
      <c r="N1503" s="31">
        <f>IF(D1503="BAF20",20/M1503,100)</f>
        <v/>
      </c>
      <c r="O1503" s="31">
        <f>M1503*N1503</f>
        <v/>
      </c>
      <c r="P1503" s="32">
        <f>143.0*N1503</f>
        <v/>
      </c>
    </row>
    <row r="1504">
      <c r="A1504" t="inlineStr">
        <is>
          <t>U4-07</t>
        </is>
      </c>
      <c r="B1504" t="n">
        <v>4</v>
      </c>
      <c r="C1504" t="n">
        <v>18</v>
      </c>
      <c r="D1504" t="inlineStr">
        <is>
          <t>BAF20</t>
        </is>
      </c>
      <c r="E1504" t="inlineStr">
        <is>
          <t>BO</t>
        </is>
      </c>
      <c r="F1504" t="n">
        <v>10.6</v>
      </c>
      <c r="G1504" t="n">
        <v>45</v>
      </c>
      <c r="H1504" t="n">
        <v>32</v>
      </c>
      <c r="I1504" t="inlineStr">
        <is>
          <t>L</t>
        </is>
      </c>
      <c r="J1504" t="inlineStr">
        <is>
          <t>S</t>
        </is>
      </c>
      <c r="K1504" t="inlineStr">
        <is>
          <t>Y</t>
        </is>
      </c>
      <c r="L1504" t="inlineStr"/>
      <c r="M1504" s="30">
        <f>0.005454*F1504^2</f>
        <v/>
      </c>
      <c r="N1504" s="31">
        <f>IF(D1504="BAF20",20/M1504,100)</f>
        <v/>
      </c>
      <c r="O1504" s="31">
        <f>M1504*N1504</f>
        <v/>
      </c>
      <c r="P1504" s="32">
        <f>24.7*N1504</f>
        <v/>
      </c>
    </row>
    <row r="1505">
      <c r="A1505" t="inlineStr">
        <is>
          <t>U4-07</t>
        </is>
      </c>
      <c r="B1505" t="n">
        <v>4</v>
      </c>
      <c r="C1505" t="n">
        <v>19</v>
      </c>
      <c r="D1505" t="inlineStr">
        <is>
          <t>BAF20</t>
        </is>
      </c>
      <c r="E1505" t="inlineStr">
        <is>
          <t>PP</t>
        </is>
      </c>
      <c r="F1505" t="n">
        <v>19.8</v>
      </c>
      <c r="G1505" t="n">
        <v>87</v>
      </c>
      <c r="H1505" t="n">
        <v>1</v>
      </c>
      <c r="I1505" t="inlineStr">
        <is>
          <t>L</t>
        </is>
      </c>
      <c r="J1505" t="inlineStr">
        <is>
          <t>C</t>
        </is>
      </c>
      <c r="K1505" t="inlineStr"/>
      <c r="L1505" t="inlineStr"/>
      <c r="M1505" s="30">
        <f>0.005454*F1505^2</f>
        <v/>
      </c>
      <c r="N1505" s="31">
        <f>IF(D1505="BAF20",20/M1505,100)</f>
        <v/>
      </c>
      <c r="O1505" s="31">
        <f>M1505*N1505</f>
        <v/>
      </c>
      <c r="P1505" s="32">
        <f>325.9*N1505</f>
        <v/>
      </c>
    </row>
    <row r="1506">
      <c r="A1506" t="inlineStr">
        <is>
          <t>U4-07</t>
        </is>
      </c>
      <c r="B1506" t="n">
        <v>4</v>
      </c>
      <c r="C1506" t="n">
        <v>20</v>
      </c>
      <c r="D1506" t="inlineStr">
        <is>
          <t>BAF20</t>
        </is>
      </c>
      <c r="E1506" t="inlineStr">
        <is>
          <t>IC</t>
        </is>
      </c>
      <c r="F1506" t="n">
        <v>34.5</v>
      </c>
      <c r="G1506" t="n">
        <v>105</v>
      </c>
      <c r="H1506" t="n">
        <v>7</v>
      </c>
      <c r="I1506" t="inlineStr">
        <is>
          <t>L</t>
        </is>
      </c>
      <c r="J1506" t="inlineStr">
        <is>
          <t>D</t>
        </is>
      </c>
      <c r="K1506" t="inlineStr"/>
      <c r="L1506" t="inlineStr"/>
      <c r="M1506" s="30">
        <f>0.005454*F1506^2</f>
        <v/>
      </c>
      <c r="N1506" s="31">
        <f>IF(D1506="BAF20",20/M1506,100)</f>
        <v/>
      </c>
      <c r="O1506" s="31">
        <f>M1506*N1506</f>
        <v/>
      </c>
      <c r="P1506" s="32">
        <f>1438.9*N1506</f>
        <v/>
      </c>
    </row>
    <row r="1507">
      <c r="A1507" t="inlineStr">
        <is>
          <t>U4-07</t>
        </is>
      </c>
      <c r="B1507" t="n">
        <v>4</v>
      </c>
      <c r="C1507" t="n">
        <v>21</v>
      </c>
      <c r="D1507" t="inlineStr">
        <is>
          <t>BAF20</t>
        </is>
      </c>
      <c r="E1507" t="inlineStr">
        <is>
          <t>DF</t>
        </is>
      </c>
      <c r="F1507" t="n">
        <v>28.5</v>
      </c>
      <c r="G1507" t="n">
        <v>104</v>
      </c>
      <c r="H1507" t="n">
        <v>2</v>
      </c>
      <c r="I1507" t="inlineStr">
        <is>
          <t>L</t>
        </is>
      </c>
      <c r="J1507" t="inlineStr">
        <is>
          <t>D</t>
        </is>
      </c>
      <c r="K1507" t="inlineStr"/>
      <c r="L1507" t="inlineStr"/>
      <c r="M1507" s="30">
        <f>0.005454*F1507^2</f>
        <v/>
      </c>
      <c r="N1507" s="31">
        <f>IF(D1507="BAF20",20/M1507,100)</f>
        <v/>
      </c>
      <c r="O1507" s="31">
        <f>M1507*N1507</f>
        <v/>
      </c>
      <c r="P1507" s="32">
        <f>932.7*N1507</f>
        <v/>
      </c>
    </row>
    <row r="1508">
      <c r="A1508" t="inlineStr">
        <is>
          <t>U4-07</t>
        </is>
      </c>
      <c r="B1508" t="n">
        <v>4</v>
      </c>
      <c r="C1508" t="n">
        <v>22</v>
      </c>
      <c r="D1508" t="inlineStr">
        <is>
          <t>BAF20</t>
        </is>
      </c>
      <c r="E1508" t="inlineStr">
        <is>
          <t>WF</t>
        </is>
      </c>
      <c r="F1508" t="n">
        <v>40.2</v>
      </c>
      <c r="G1508" t="n">
        <v>148</v>
      </c>
      <c r="H1508" t="n">
        <v>10</v>
      </c>
      <c r="I1508" t="inlineStr">
        <is>
          <t>L</t>
        </is>
      </c>
      <c r="J1508" t="inlineStr">
        <is>
          <t>D</t>
        </is>
      </c>
      <c r="K1508" t="inlineStr"/>
      <c r="L1508" t="inlineStr"/>
      <c r="M1508" s="30">
        <f>0.005454*F1508^2</f>
        <v/>
      </c>
      <c r="N1508" s="31">
        <f>IF(D1508="BAF20",20/M1508,100)</f>
        <v/>
      </c>
      <c r="O1508" s="31">
        <f>M1508*N1508</f>
        <v/>
      </c>
      <c r="P1508" s="32">
        <f>2751.4*N1508</f>
        <v/>
      </c>
    </row>
    <row r="1509">
      <c r="A1509" t="inlineStr">
        <is>
          <t>U4-07</t>
        </is>
      </c>
      <c r="B1509" t="n">
        <v>4</v>
      </c>
      <c r="C1509" t="n">
        <v>23</v>
      </c>
      <c r="D1509" t="inlineStr">
        <is>
          <t>FIX100</t>
        </is>
      </c>
      <c r="E1509" t="inlineStr">
        <is>
          <t>WF</t>
        </is>
      </c>
      <c r="F1509" t="n">
        <v>4.7</v>
      </c>
      <c r="G1509" t="n">
        <v>29</v>
      </c>
      <c r="H1509" t="n">
        <v>0</v>
      </c>
      <c r="I1509" t="inlineStr">
        <is>
          <t>L</t>
        </is>
      </c>
      <c r="J1509" t="inlineStr">
        <is>
          <t>S</t>
        </is>
      </c>
      <c r="K1509" t="inlineStr"/>
      <c r="L1509" t="inlineStr"/>
      <c r="M1509" s="30">
        <f>0.005454*F1509^2</f>
        <v/>
      </c>
      <c r="N1509" s="31">
        <f>IF(D1509="BAF20",20/M1509,100)</f>
        <v/>
      </c>
      <c r="O1509" s="31">
        <f>M1509*N1509</f>
        <v/>
      </c>
      <c r="P1509" s="32">
        <f>0.0*N1509</f>
        <v/>
      </c>
    </row>
    <row r="1510">
      <c r="A1510" t="inlineStr">
        <is>
          <t>U4-07</t>
        </is>
      </c>
      <c r="B1510" t="n">
        <v>4</v>
      </c>
      <c r="C1510" t="n">
        <v>24</v>
      </c>
      <c r="D1510" t="inlineStr">
        <is>
          <t>FIX100</t>
        </is>
      </c>
      <c r="E1510" t="inlineStr">
        <is>
          <t>WF</t>
        </is>
      </c>
      <c r="F1510" t="n">
        <v>1.7</v>
      </c>
      <c r="G1510" t="n">
        <v>11</v>
      </c>
      <c r="H1510" t="n">
        <v>0</v>
      </c>
      <c r="I1510" t="inlineStr">
        <is>
          <t>L</t>
        </is>
      </c>
      <c r="J1510" t="inlineStr">
        <is>
          <t>S</t>
        </is>
      </c>
      <c r="K1510" t="inlineStr"/>
      <c r="L1510" t="inlineStr"/>
      <c r="M1510" s="30">
        <f>0.005454*F1510^2</f>
        <v/>
      </c>
      <c r="N1510" s="31">
        <f>IF(D1510="BAF20",20/M1510,100)</f>
        <v/>
      </c>
      <c r="O1510" s="31">
        <f>M1510*N1510</f>
        <v/>
      </c>
      <c r="P1510" s="32">
        <f>0.0*N1510</f>
        <v/>
      </c>
    </row>
    <row r="1511">
      <c r="A1511" t="inlineStr">
        <is>
          <t>U4-07</t>
        </is>
      </c>
      <c r="B1511" t="n">
        <v>4</v>
      </c>
      <c r="C1511" t="n">
        <v>25</v>
      </c>
      <c r="D1511" t="inlineStr">
        <is>
          <t>FIX100</t>
        </is>
      </c>
      <c r="E1511" t="inlineStr">
        <is>
          <t>DF</t>
        </is>
      </c>
      <c r="F1511" t="n">
        <v>4.2</v>
      </c>
      <c r="G1511" t="n">
        <v>29</v>
      </c>
      <c r="H1511" t="n">
        <v>0</v>
      </c>
      <c r="I1511" t="inlineStr">
        <is>
          <t>L</t>
        </is>
      </c>
      <c r="J1511" t="inlineStr">
        <is>
          <t>S</t>
        </is>
      </c>
      <c r="K1511" t="inlineStr"/>
      <c r="L1511" t="inlineStr"/>
      <c r="M1511" s="30">
        <f>0.005454*F1511^2</f>
        <v/>
      </c>
      <c r="N1511" s="31">
        <f>IF(D1511="BAF20",20/M1511,100)</f>
        <v/>
      </c>
      <c r="O1511" s="31">
        <f>M1511*N1511</f>
        <v/>
      </c>
      <c r="P1511" s="32">
        <f>0.0*N1511</f>
        <v/>
      </c>
    </row>
    <row r="1512">
      <c r="A1512" t="inlineStr">
        <is>
          <t>U4-08</t>
        </is>
      </c>
      <c r="B1512" t="n">
        <v>4</v>
      </c>
      <c r="C1512" t="n">
        <v>1</v>
      </c>
      <c r="D1512" t="inlineStr">
        <is>
          <t>BAF20</t>
        </is>
      </c>
      <c r="E1512" t="inlineStr">
        <is>
          <t>WF</t>
        </is>
      </c>
      <c r="F1512" t="n">
        <v>15.9</v>
      </c>
      <c r="G1512" t="n">
        <v>81</v>
      </c>
      <c r="H1512" t="n">
        <v>5</v>
      </c>
      <c r="I1512" t="inlineStr">
        <is>
          <t>L</t>
        </is>
      </c>
      <c r="J1512" t="inlineStr">
        <is>
          <t>I</t>
        </is>
      </c>
      <c r="K1512" t="inlineStr"/>
      <c r="L1512" t="inlineStr"/>
      <c r="M1512" s="30">
        <f>0.005454*F1512^2</f>
        <v/>
      </c>
      <c r="N1512" s="31">
        <f>IF(D1512="BAF20",20/M1512,100)</f>
        <v/>
      </c>
      <c r="O1512" s="31">
        <f>M1512*N1512</f>
        <v/>
      </c>
      <c r="P1512" s="32">
        <f>173.7*N1512</f>
        <v/>
      </c>
    </row>
    <row r="1513">
      <c r="A1513" t="inlineStr">
        <is>
          <t>U4-08</t>
        </is>
      </c>
      <c r="B1513" t="n">
        <v>4</v>
      </c>
      <c r="C1513" t="n">
        <v>2</v>
      </c>
      <c r="D1513" t="inlineStr">
        <is>
          <t>BAF20</t>
        </is>
      </c>
      <c r="E1513" t="inlineStr">
        <is>
          <t>PP</t>
        </is>
      </c>
      <c r="F1513" t="n">
        <v>18.7</v>
      </c>
      <c r="G1513" t="n">
        <v>86</v>
      </c>
      <c r="H1513" t="n">
        <v>2</v>
      </c>
      <c r="I1513" t="inlineStr">
        <is>
          <t>L</t>
        </is>
      </c>
      <c r="J1513" t="inlineStr">
        <is>
          <t>C</t>
        </is>
      </c>
      <c r="K1513" t="inlineStr"/>
      <c r="L1513" t="inlineStr"/>
      <c r="M1513" s="30">
        <f>0.005454*F1513^2</f>
        <v/>
      </c>
      <c r="N1513" s="31">
        <f>IF(D1513="BAF20",20/M1513,100)</f>
        <v/>
      </c>
      <c r="O1513" s="31">
        <f>M1513*N1513</f>
        <v/>
      </c>
      <c r="P1513" s="32">
        <f>278.5*N1513</f>
        <v/>
      </c>
    </row>
    <row r="1514">
      <c r="A1514" t="inlineStr">
        <is>
          <t>U4-08</t>
        </is>
      </c>
      <c r="B1514" t="n">
        <v>4</v>
      </c>
      <c r="C1514" t="n">
        <v>3</v>
      </c>
      <c r="D1514" t="inlineStr">
        <is>
          <t>BAF20</t>
        </is>
      </c>
      <c r="E1514" t="inlineStr">
        <is>
          <t>IC</t>
        </is>
      </c>
      <c r="F1514" t="n">
        <v>16.7</v>
      </c>
      <c r="G1514" t="n">
        <v>57</v>
      </c>
      <c r="H1514" t="n">
        <v>3</v>
      </c>
      <c r="I1514" t="inlineStr">
        <is>
          <t>L</t>
        </is>
      </c>
      <c r="J1514" t="inlineStr">
        <is>
          <t>I</t>
        </is>
      </c>
      <c r="K1514" t="inlineStr"/>
      <c r="L1514" t="inlineStr"/>
      <c r="M1514" s="30">
        <f>0.005454*F1514^2</f>
        <v/>
      </c>
      <c r="N1514" s="31">
        <f>IF(D1514="BAF20",20/M1514,100)</f>
        <v/>
      </c>
      <c r="O1514" s="31">
        <f>M1514*N1514</f>
        <v/>
      </c>
      <c r="P1514" s="32">
        <f>140.0*N1514</f>
        <v/>
      </c>
    </row>
    <row r="1515">
      <c r="A1515" t="inlineStr">
        <is>
          <t>U4-08</t>
        </is>
      </c>
      <c r="B1515" t="n">
        <v>4</v>
      </c>
      <c r="C1515" t="n">
        <v>4</v>
      </c>
      <c r="D1515" t="inlineStr">
        <is>
          <t>BAF20</t>
        </is>
      </c>
      <c r="E1515" t="inlineStr">
        <is>
          <t>WF</t>
        </is>
      </c>
      <c r="F1515" t="n">
        <v>11.6</v>
      </c>
      <c r="G1515" t="n">
        <v>58</v>
      </c>
      <c r="H1515" t="n">
        <v>11</v>
      </c>
      <c r="I1515" t="inlineStr">
        <is>
          <t>L</t>
        </is>
      </c>
      <c r="J1515" t="inlineStr">
        <is>
          <t>S</t>
        </is>
      </c>
      <c r="K1515" t="inlineStr">
        <is>
          <t>Y</t>
        </is>
      </c>
      <c r="L1515" t="inlineStr"/>
      <c r="M1515" s="30">
        <f>0.005454*F1515^2</f>
        <v/>
      </c>
      <c r="N1515" s="31">
        <f>IF(D1515="BAF20",20/M1515,100)</f>
        <v/>
      </c>
      <c r="O1515" s="31">
        <f>M1515*N1515</f>
        <v/>
      </c>
      <c r="P1515" s="32">
        <f>56.5*N1515</f>
        <v/>
      </c>
    </row>
    <row r="1516">
      <c r="A1516" t="inlineStr">
        <is>
          <t>U4-08</t>
        </is>
      </c>
      <c r="B1516" t="n">
        <v>4</v>
      </c>
      <c r="C1516" t="n">
        <v>5</v>
      </c>
      <c r="D1516" t="inlineStr">
        <is>
          <t>BAF20</t>
        </is>
      </c>
      <c r="E1516" t="inlineStr">
        <is>
          <t>PP</t>
        </is>
      </c>
      <c r="F1516" t="n">
        <v>11.8</v>
      </c>
      <c r="G1516" t="n">
        <v>56</v>
      </c>
      <c r="H1516" t="n">
        <v>1</v>
      </c>
      <c r="I1516" t="inlineStr">
        <is>
          <t>L</t>
        </is>
      </c>
      <c r="J1516" t="inlineStr">
        <is>
          <t>S</t>
        </is>
      </c>
      <c r="K1516" t="inlineStr">
        <is>
          <t>Y</t>
        </is>
      </c>
      <c r="L1516" t="inlineStr"/>
      <c r="M1516" s="30">
        <f>0.005454*F1516^2</f>
        <v/>
      </c>
      <c r="N1516" s="31">
        <f>IF(D1516="BAF20",20/M1516,100)</f>
        <v/>
      </c>
      <c r="O1516" s="31">
        <f>M1516*N1516</f>
        <v/>
      </c>
      <c r="P1516" s="32">
        <f>63.1*N1516</f>
        <v/>
      </c>
    </row>
    <row r="1517">
      <c r="A1517" t="inlineStr">
        <is>
          <t>U4-08</t>
        </is>
      </c>
      <c r="B1517" t="n">
        <v>4</v>
      </c>
      <c r="C1517" t="n">
        <v>6</v>
      </c>
      <c r="D1517" t="inlineStr">
        <is>
          <t>BAF20</t>
        </is>
      </c>
      <c r="E1517" t="inlineStr">
        <is>
          <t>PP</t>
        </is>
      </c>
      <c r="F1517" t="n">
        <v>25.1</v>
      </c>
      <c r="G1517" t="n">
        <v>100</v>
      </c>
      <c r="H1517" t="n">
        <v>3</v>
      </c>
      <c r="I1517" t="inlineStr">
        <is>
          <t>L</t>
        </is>
      </c>
      <c r="J1517" t="inlineStr">
        <is>
          <t>D</t>
        </is>
      </c>
      <c r="K1517" t="inlineStr"/>
      <c r="L1517" t="inlineStr"/>
      <c r="M1517" s="30">
        <f>0.005454*F1517^2</f>
        <v/>
      </c>
      <c r="N1517" s="31">
        <f>IF(D1517="BAF20",20/M1517,100)</f>
        <v/>
      </c>
      <c r="O1517" s="31">
        <f>M1517*N1517</f>
        <v/>
      </c>
      <c r="P1517" s="32">
        <f>650.0*N1517</f>
        <v/>
      </c>
    </row>
    <row r="1518">
      <c r="A1518" t="inlineStr">
        <is>
          <t>U4-08</t>
        </is>
      </c>
      <c r="B1518" t="n">
        <v>4</v>
      </c>
      <c r="C1518" t="n">
        <v>7</v>
      </c>
      <c r="D1518" t="inlineStr">
        <is>
          <t>BAF20</t>
        </is>
      </c>
      <c r="E1518" t="inlineStr">
        <is>
          <t>IC</t>
        </is>
      </c>
      <c r="F1518" t="n">
        <v>15</v>
      </c>
      <c r="G1518" t="n">
        <v>69</v>
      </c>
      <c r="H1518" t="n">
        <v>3</v>
      </c>
      <c r="I1518" t="inlineStr">
        <is>
          <t>L</t>
        </is>
      </c>
      <c r="J1518" t="inlineStr">
        <is>
          <t>I</t>
        </is>
      </c>
      <c r="K1518" t="inlineStr"/>
      <c r="L1518" t="inlineStr"/>
      <c r="M1518" s="30">
        <f>0.005454*F1518^2</f>
        <v/>
      </c>
      <c r="N1518" s="31">
        <f>IF(D1518="BAF20",20/M1518,100)</f>
        <v/>
      </c>
      <c r="O1518" s="31">
        <f>M1518*N1518</f>
        <v/>
      </c>
      <c r="P1518" s="32">
        <f>131.9*N1518</f>
        <v/>
      </c>
    </row>
    <row r="1519">
      <c r="A1519" t="inlineStr">
        <is>
          <t>U4-08</t>
        </is>
      </c>
      <c r="B1519" t="n">
        <v>4</v>
      </c>
      <c r="C1519" t="n">
        <v>8</v>
      </c>
      <c r="D1519" t="inlineStr">
        <is>
          <t>BAF20</t>
        </is>
      </c>
      <c r="E1519" t="inlineStr">
        <is>
          <t>IC</t>
        </is>
      </c>
      <c r="F1519" t="n">
        <v>15.8</v>
      </c>
      <c r="G1519" t="n">
        <v>59</v>
      </c>
      <c r="H1519" t="n">
        <v>5</v>
      </c>
      <c r="I1519" t="inlineStr">
        <is>
          <t>L</t>
        </is>
      </c>
      <c r="J1519" t="inlineStr">
        <is>
          <t>I</t>
        </is>
      </c>
      <c r="K1519" t="inlineStr"/>
      <c r="L1519" t="inlineStr"/>
      <c r="M1519" s="30">
        <f>0.005454*F1519^2</f>
        <v/>
      </c>
      <c r="N1519" s="31">
        <f>IF(D1519="BAF20",20/M1519,100)</f>
        <v/>
      </c>
      <c r="O1519" s="31">
        <f>M1519*N1519</f>
        <v/>
      </c>
      <c r="P1519" s="32">
        <f>124.7*N1519</f>
        <v/>
      </c>
    </row>
    <row r="1520">
      <c r="A1520" t="inlineStr">
        <is>
          <t>U4-08</t>
        </is>
      </c>
      <c r="B1520" t="n">
        <v>4</v>
      </c>
      <c r="C1520" t="n">
        <v>9</v>
      </c>
      <c r="D1520" t="inlineStr">
        <is>
          <t>FIX100</t>
        </is>
      </c>
      <c r="E1520" t="inlineStr">
        <is>
          <t>BO</t>
        </is>
      </c>
      <c r="F1520" t="n">
        <v>1.9</v>
      </c>
      <c r="G1520" t="n">
        <v>11</v>
      </c>
      <c r="H1520" t="n">
        <v>0</v>
      </c>
      <c r="I1520" t="inlineStr">
        <is>
          <t>L</t>
        </is>
      </c>
      <c r="J1520" t="inlineStr">
        <is>
          <t>S</t>
        </is>
      </c>
      <c r="K1520" t="inlineStr"/>
      <c r="L1520" t="inlineStr"/>
      <c r="M1520" s="30">
        <f>0.005454*F1520^2</f>
        <v/>
      </c>
      <c r="N1520" s="31">
        <f>IF(D1520="BAF20",20/M1520,100)</f>
        <v/>
      </c>
      <c r="O1520" s="31">
        <f>M1520*N1520</f>
        <v/>
      </c>
      <c r="P1520" s="32">
        <f>0.0*N1520</f>
        <v/>
      </c>
    </row>
    <row r="1521">
      <c r="A1521" t="inlineStr">
        <is>
          <t>U4-09</t>
        </is>
      </c>
      <c r="B1521" t="n">
        <v>4</v>
      </c>
      <c r="C1521" t="n">
        <v>1</v>
      </c>
      <c r="D1521" t="inlineStr">
        <is>
          <t>BAF20</t>
        </is>
      </c>
      <c r="E1521" t="inlineStr">
        <is>
          <t>BO</t>
        </is>
      </c>
      <c r="F1521" t="n">
        <v>15.3</v>
      </c>
      <c r="G1521" t="n">
        <v>54</v>
      </c>
      <c r="H1521" t="n">
        <v>18</v>
      </c>
      <c r="I1521" t="inlineStr">
        <is>
          <t>L</t>
        </is>
      </c>
      <c r="J1521" t="inlineStr">
        <is>
          <t>I</t>
        </is>
      </c>
      <c r="K1521" t="inlineStr"/>
      <c r="L1521" t="inlineStr"/>
      <c r="M1521" s="30">
        <f>0.005454*F1521^2</f>
        <v/>
      </c>
      <c r="N1521" s="31">
        <f>IF(D1521="BAF20",20/M1521,100)</f>
        <v/>
      </c>
      <c r="O1521" s="31">
        <f>M1521*N1521</f>
        <v/>
      </c>
      <c r="P1521" s="32">
        <f>82.7*N1521</f>
        <v/>
      </c>
    </row>
    <row r="1522">
      <c r="A1522" t="inlineStr">
        <is>
          <t>U4-09</t>
        </is>
      </c>
      <c r="B1522" t="n">
        <v>4</v>
      </c>
      <c r="C1522" t="n">
        <v>2</v>
      </c>
      <c r="D1522" t="inlineStr">
        <is>
          <t>BAF20</t>
        </is>
      </c>
      <c r="E1522" t="inlineStr">
        <is>
          <t>BO</t>
        </is>
      </c>
      <c r="F1522" t="n">
        <v>30.6</v>
      </c>
      <c r="G1522" t="n">
        <v>72</v>
      </c>
      <c r="H1522" t="n">
        <v>11</v>
      </c>
      <c r="I1522" t="inlineStr">
        <is>
          <t>L</t>
        </is>
      </c>
      <c r="J1522" t="inlineStr">
        <is>
          <t>D</t>
        </is>
      </c>
      <c r="K1522" t="inlineStr"/>
      <c r="L1522" t="inlineStr"/>
      <c r="M1522" s="30">
        <f>0.005454*F1522^2</f>
        <v/>
      </c>
      <c r="N1522" s="31">
        <f>IF(D1522="BAF20",20/M1522,100)</f>
        <v/>
      </c>
      <c r="O1522" s="31">
        <f>M1522*N1522</f>
        <v/>
      </c>
      <c r="P1522" s="32">
        <f>632.8*N1522</f>
        <v/>
      </c>
    </row>
    <row r="1523">
      <c r="A1523" t="inlineStr">
        <is>
          <t>U4-09</t>
        </is>
      </c>
      <c r="B1523" t="n">
        <v>4</v>
      </c>
      <c r="C1523" t="n">
        <v>3</v>
      </c>
      <c r="D1523" t="inlineStr">
        <is>
          <t>BAF20</t>
        </is>
      </c>
      <c r="E1523" t="inlineStr">
        <is>
          <t>WF</t>
        </is>
      </c>
      <c r="F1523" t="n">
        <v>11.1</v>
      </c>
      <c r="G1523" t="n">
        <v>53</v>
      </c>
      <c r="H1523" t="n">
        <v>13</v>
      </c>
      <c r="I1523" t="inlineStr">
        <is>
          <t>L</t>
        </is>
      </c>
      <c r="J1523" t="inlineStr">
        <is>
          <t>S</t>
        </is>
      </c>
      <c r="K1523" t="inlineStr">
        <is>
          <t>Y</t>
        </is>
      </c>
      <c r="L1523" t="inlineStr"/>
      <c r="M1523" s="30">
        <f>0.005454*F1523^2</f>
        <v/>
      </c>
      <c r="N1523" s="31">
        <f>IF(D1523="BAF20",20/M1523,100)</f>
        <v/>
      </c>
      <c r="O1523" s="31">
        <f>M1523*N1523</f>
        <v/>
      </c>
      <c r="P1523" s="32">
        <f>45.7*N1523</f>
        <v/>
      </c>
    </row>
    <row r="1524">
      <c r="A1524" t="inlineStr">
        <is>
          <t>U4-09</t>
        </is>
      </c>
      <c r="B1524" t="n">
        <v>4</v>
      </c>
      <c r="C1524" t="n">
        <v>4</v>
      </c>
      <c r="D1524" t="inlineStr">
        <is>
          <t>BAF20</t>
        </is>
      </c>
      <c r="E1524" t="inlineStr">
        <is>
          <t>PP</t>
        </is>
      </c>
      <c r="F1524" t="n">
        <v>17.3</v>
      </c>
      <c r="G1524" t="n">
        <v>80</v>
      </c>
      <c r="H1524" t="n">
        <v>6</v>
      </c>
      <c r="I1524" t="inlineStr">
        <is>
          <t>L</t>
        </is>
      </c>
      <c r="J1524" t="inlineStr">
        <is>
          <t>I</t>
        </is>
      </c>
      <c r="K1524" t="inlineStr"/>
      <c r="L1524" t="inlineStr"/>
      <c r="M1524" s="30">
        <f>0.005454*F1524^2</f>
        <v/>
      </c>
      <c r="N1524" s="31">
        <f>IF(D1524="BAF20",20/M1524,100)</f>
        <v/>
      </c>
      <c r="O1524" s="31">
        <f>M1524*N1524</f>
        <v/>
      </c>
      <c r="P1524" s="32">
        <f>206.8*N1524</f>
        <v/>
      </c>
    </row>
    <row r="1525">
      <c r="A1525" t="inlineStr">
        <is>
          <t>U4-09</t>
        </is>
      </c>
      <c r="B1525" t="n">
        <v>4</v>
      </c>
      <c r="C1525" t="n">
        <v>5</v>
      </c>
      <c r="D1525" t="inlineStr">
        <is>
          <t>BAF20</t>
        </is>
      </c>
      <c r="E1525" t="inlineStr">
        <is>
          <t>SP</t>
        </is>
      </c>
      <c r="F1525" t="n">
        <v>18.6</v>
      </c>
      <c r="G1525" t="n">
        <v>73</v>
      </c>
      <c r="H1525" t="n">
        <v>3</v>
      </c>
      <c r="I1525" t="inlineStr">
        <is>
          <t>L</t>
        </is>
      </c>
      <c r="J1525" t="inlineStr">
        <is>
          <t>C</t>
        </is>
      </c>
      <c r="K1525" t="inlineStr"/>
      <c r="L1525" t="inlineStr"/>
      <c r="M1525" s="30">
        <f>0.005454*F1525^2</f>
        <v/>
      </c>
      <c r="N1525" s="31">
        <f>IF(D1525="BAF20",20/M1525,100)</f>
        <v/>
      </c>
      <c r="O1525" s="31">
        <f>M1525*N1525</f>
        <v/>
      </c>
      <c r="P1525" s="32">
        <f>231.0*N1525</f>
        <v/>
      </c>
    </row>
    <row r="1526">
      <c r="A1526" t="inlineStr">
        <is>
          <t>U4-09</t>
        </is>
      </c>
      <c r="B1526" t="n">
        <v>4</v>
      </c>
      <c r="C1526" t="n">
        <v>6</v>
      </c>
      <c r="D1526" t="inlineStr">
        <is>
          <t>BAF20</t>
        </is>
      </c>
      <c r="E1526" t="inlineStr">
        <is>
          <t>DF</t>
        </is>
      </c>
      <c r="F1526" t="n">
        <v>24</v>
      </c>
      <c r="G1526" t="n">
        <v>99</v>
      </c>
      <c r="H1526" t="n">
        <v>2</v>
      </c>
      <c r="I1526" t="inlineStr">
        <is>
          <t>L</t>
        </is>
      </c>
      <c r="J1526" t="inlineStr">
        <is>
          <t>D</t>
        </is>
      </c>
      <c r="K1526" t="inlineStr"/>
      <c r="L1526" t="inlineStr"/>
      <c r="M1526" s="30">
        <f>0.005454*F1526^2</f>
        <v/>
      </c>
      <c r="N1526" s="31">
        <f>IF(D1526="BAF20",20/M1526,100)</f>
        <v/>
      </c>
      <c r="O1526" s="31">
        <f>M1526*N1526</f>
        <v/>
      </c>
      <c r="P1526" s="32">
        <f>583.0*N1526</f>
        <v/>
      </c>
    </row>
    <row r="1527">
      <c r="A1527" t="inlineStr">
        <is>
          <t>U4-09</t>
        </is>
      </c>
      <c r="B1527" t="n">
        <v>4</v>
      </c>
      <c r="C1527" t="n">
        <v>7</v>
      </c>
      <c r="D1527" t="inlineStr">
        <is>
          <t>BAF20</t>
        </is>
      </c>
      <c r="E1527" t="inlineStr">
        <is>
          <t>WF</t>
        </is>
      </c>
      <c r="F1527" t="n">
        <v>19.3</v>
      </c>
      <c r="G1527" t="n">
        <v>85</v>
      </c>
      <c r="H1527" t="n">
        <v>14</v>
      </c>
      <c r="I1527" t="inlineStr">
        <is>
          <t>L</t>
        </is>
      </c>
      <c r="J1527" t="inlineStr">
        <is>
          <t>C</t>
        </is>
      </c>
      <c r="K1527" t="inlineStr"/>
      <c r="L1527" t="inlineStr"/>
      <c r="M1527" s="30">
        <f>0.005454*F1527^2</f>
        <v/>
      </c>
      <c r="N1527" s="31">
        <f>IF(D1527="BAF20",20/M1527,100)</f>
        <v/>
      </c>
      <c r="O1527" s="31">
        <f>M1527*N1527</f>
        <v/>
      </c>
      <c r="P1527" s="32">
        <f>260.3*N1527</f>
        <v/>
      </c>
    </row>
    <row r="1528">
      <c r="A1528" t="inlineStr">
        <is>
          <t>U4-09</t>
        </is>
      </c>
      <c r="B1528" t="n">
        <v>4</v>
      </c>
      <c r="C1528" t="n">
        <v>8</v>
      </c>
      <c r="D1528" t="inlineStr">
        <is>
          <t>BAF20</t>
        </is>
      </c>
      <c r="E1528" t="inlineStr">
        <is>
          <t>WF</t>
        </is>
      </c>
      <c r="F1528" t="n">
        <v>13.5</v>
      </c>
      <c r="G1528" t="n">
        <v>62</v>
      </c>
      <c r="H1528" t="n">
        <v>3</v>
      </c>
      <c r="I1528" t="inlineStr">
        <is>
          <t>L</t>
        </is>
      </c>
      <c r="J1528" t="inlineStr">
        <is>
          <t>I</t>
        </is>
      </c>
      <c r="K1528" t="inlineStr">
        <is>
          <t>Y</t>
        </is>
      </c>
      <c r="L1528" t="inlineStr"/>
      <c r="M1528" s="30">
        <f>0.005454*F1528^2</f>
        <v/>
      </c>
      <c r="N1528" s="31">
        <f>IF(D1528="BAF20",20/M1528,100)</f>
        <v/>
      </c>
      <c r="O1528" s="31">
        <f>M1528*N1528</f>
        <v/>
      </c>
      <c r="P1528" s="32">
        <f>93.0*N1528</f>
        <v/>
      </c>
    </row>
    <row r="1529">
      <c r="A1529" t="inlineStr">
        <is>
          <t>U4-09</t>
        </is>
      </c>
      <c r="B1529" t="n">
        <v>4</v>
      </c>
      <c r="C1529" t="n">
        <v>9</v>
      </c>
      <c r="D1529" t="inlineStr">
        <is>
          <t>BAF20</t>
        </is>
      </c>
      <c r="E1529" t="inlineStr">
        <is>
          <t>DF</t>
        </is>
      </c>
      <c r="F1529" t="n">
        <v>22.9</v>
      </c>
      <c r="G1529" t="n">
        <v>107</v>
      </c>
      <c r="H1529" t="n">
        <v>5</v>
      </c>
      <c r="I1529" t="inlineStr">
        <is>
          <t>L</t>
        </is>
      </c>
      <c r="J1529" t="inlineStr">
        <is>
          <t>C</t>
        </is>
      </c>
      <c r="K1529" t="inlineStr"/>
      <c r="L1529" t="inlineStr"/>
      <c r="M1529" s="30">
        <f>0.005454*F1529^2</f>
        <v/>
      </c>
      <c r="N1529" s="31">
        <f>IF(D1529="BAF20",20/M1529,100)</f>
        <v/>
      </c>
      <c r="O1529" s="31">
        <f>M1529*N1529</f>
        <v/>
      </c>
      <c r="P1529" s="32">
        <f>545.2*N1529</f>
        <v/>
      </c>
    </row>
    <row r="1530">
      <c r="A1530" t="inlineStr">
        <is>
          <t>U4-09</t>
        </is>
      </c>
      <c r="B1530" t="n">
        <v>4</v>
      </c>
      <c r="C1530" t="n">
        <v>10</v>
      </c>
      <c r="D1530" t="inlineStr">
        <is>
          <t>BAF20</t>
        </is>
      </c>
      <c r="E1530" t="inlineStr">
        <is>
          <t>IC</t>
        </is>
      </c>
      <c r="F1530" t="n">
        <v>35.6</v>
      </c>
      <c r="G1530" t="n">
        <v>106</v>
      </c>
      <c r="H1530" t="n">
        <v>1</v>
      </c>
      <c r="I1530" t="inlineStr">
        <is>
          <t>L</t>
        </is>
      </c>
      <c r="J1530" t="inlineStr">
        <is>
          <t>D</t>
        </is>
      </c>
      <c r="K1530" t="inlineStr"/>
      <c r="L1530" t="inlineStr"/>
      <c r="M1530" s="30">
        <f>0.005454*F1530^2</f>
        <v/>
      </c>
      <c r="N1530" s="31">
        <f>IF(D1530="BAF20",20/M1530,100)</f>
        <v/>
      </c>
      <c r="O1530" s="31">
        <f>M1530*N1530</f>
        <v/>
      </c>
      <c r="P1530" s="32">
        <f>1673.6*N1530</f>
        <v/>
      </c>
    </row>
    <row r="1531">
      <c r="A1531" t="inlineStr">
        <is>
          <t>U4-09</t>
        </is>
      </c>
      <c r="B1531" t="n">
        <v>4</v>
      </c>
      <c r="C1531" t="n">
        <v>11</v>
      </c>
      <c r="D1531" t="inlineStr">
        <is>
          <t>BAF20</t>
        </is>
      </c>
      <c r="E1531" t="inlineStr">
        <is>
          <t>WF</t>
        </is>
      </c>
      <c r="F1531" t="n">
        <v>21.3</v>
      </c>
      <c r="G1531" t="n">
        <v>98</v>
      </c>
      <c r="H1531" t="n">
        <v>4</v>
      </c>
      <c r="I1531" t="inlineStr">
        <is>
          <t>L</t>
        </is>
      </c>
      <c r="J1531" t="inlineStr">
        <is>
          <t>C</t>
        </is>
      </c>
      <c r="K1531" t="inlineStr"/>
      <c r="L1531" t="inlineStr"/>
      <c r="M1531" s="30">
        <f>0.005454*F1531^2</f>
        <v/>
      </c>
      <c r="N1531" s="31">
        <f>IF(D1531="BAF20",20/M1531,100)</f>
        <v/>
      </c>
      <c r="O1531" s="31">
        <f>M1531*N1531</f>
        <v/>
      </c>
      <c r="P1531" s="32">
        <f>423.9*N1531</f>
        <v/>
      </c>
    </row>
    <row r="1532">
      <c r="A1532" t="inlineStr">
        <is>
          <t>U4-09</t>
        </is>
      </c>
      <c r="B1532" t="n">
        <v>4</v>
      </c>
      <c r="C1532" t="n">
        <v>12</v>
      </c>
      <c r="D1532" t="inlineStr">
        <is>
          <t>BAF20</t>
        </is>
      </c>
      <c r="E1532" t="inlineStr">
        <is>
          <t>PP</t>
        </is>
      </c>
      <c r="F1532" t="n">
        <v>16.1</v>
      </c>
      <c r="G1532" t="n">
        <v>68</v>
      </c>
      <c r="H1532" t="n">
        <v>7</v>
      </c>
      <c r="I1532" t="inlineStr">
        <is>
          <t>L</t>
        </is>
      </c>
      <c r="J1532" t="inlineStr">
        <is>
          <t>I</t>
        </is>
      </c>
      <c r="K1532" t="inlineStr"/>
      <c r="L1532" t="inlineStr"/>
      <c r="M1532" s="30">
        <f>0.005454*F1532^2</f>
        <v/>
      </c>
      <c r="N1532" s="31">
        <f>IF(D1532="BAF20",20/M1532,100)</f>
        <v/>
      </c>
      <c r="O1532" s="31">
        <f>M1532*N1532</f>
        <v/>
      </c>
      <c r="P1532" s="32">
        <f>147.0*N1532</f>
        <v/>
      </c>
    </row>
    <row r="1533">
      <c r="A1533" t="inlineStr">
        <is>
          <t>U4-09</t>
        </is>
      </c>
      <c r="B1533" t="n">
        <v>4</v>
      </c>
      <c r="C1533" t="n">
        <v>13</v>
      </c>
      <c r="D1533" t="inlineStr">
        <is>
          <t>BAF20</t>
        </is>
      </c>
      <c r="E1533" t="inlineStr">
        <is>
          <t>DF</t>
        </is>
      </c>
      <c r="F1533" t="n">
        <v>12.4</v>
      </c>
      <c r="G1533" t="n">
        <v>65</v>
      </c>
      <c r="H1533" t="n">
        <v>0</v>
      </c>
      <c r="I1533" t="inlineStr">
        <is>
          <t>L</t>
        </is>
      </c>
      <c r="J1533" t="inlineStr">
        <is>
          <t>S</t>
        </is>
      </c>
      <c r="K1533" t="inlineStr">
        <is>
          <t>Y</t>
        </is>
      </c>
      <c r="L1533" t="inlineStr"/>
      <c r="M1533" s="30">
        <f>0.005454*F1533^2</f>
        <v/>
      </c>
      <c r="N1533" s="31">
        <f>IF(D1533="BAF20",20/M1533,100)</f>
        <v/>
      </c>
      <c r="O1533" s="31">
        <f>M1533*N1533</f>
        <v/>
      </c>
      <c r="P1533" s="32">
        <f>82.7*N1533</f>
        <v/>
      </c>
    </row>
    <row r="1534">
      <c r="A1534" t="inlineStr">
        <is>
          <t>U4-09</t>
        </is>
      </c>
      <c r="B1534" t="n">
        <v>4</v>
      </c>
      <c r="C1534" t="n">
        <v>14</v>
      </c>
      <c r="D1534" t="inlineStr">
        <is>
          <t>BAF20</t>
        </is>
      </c>
      <c r="E1534" t="inlineStr">
        <is>
          <t>WF</t>
        </is>
      </c>
      <c r="F1534" t="n">
        <v>14.5</v>
      </c>
      <c r="G1534" t="n">
        <v>73</v>
      </c>
      <c r="H1534" t="n">
        <v>2</v>
      </c>
      <c r="I1534" t="inlineStr">
        <is>
          <t>L</t>
        </is>
      </c>
      <c r="J1534" t="inlineStr">
        <is>
          <t>I</t>
        </is>
      </c>
      <c r="K1534" t="inlineStr">
        <is>
          <t>Y</t>
        </is>
      </c>
      <c r="L1534" t="inlineStr"/>
      <c r="M1534" s="30">
        <f>0.005454*F1534^2</f>
        <v/>
      </c>
      <c r="N1534" s="31">
        <f>IF(D1534="BAF20",20/M1534,100)</f>
        <v/>
      </c>
      <c r="O1534" s="31">
        <f>M1534*N1534</f>
        <v/>
      </c>
      <c r="P1534" s="32">
        <f>130.4*N1534</f>
        <v/>
      </c>
    </row>
    <row r="1535">
      <c r="A1535" t="inlineStr">
        <is>
          <t>U4-09</t>
        </is>
      </c>
      <c r="B1535" t="n">
        <v>4</v>
      </c>
      <c r="C1535" t="n">
        <v>15</v>
      </c>
      <c r="D1535" t="inlineStr">
        <is>
          <t>BAF20</t>
        </is>
      </c>
      <c r="E1535" t="inlineStr">
        <is>
          <t>WF</t>
        </is>
      </c>
      <c r="F1535" t="n">
        <v>7.5</v>
      </c>
      <c r="G1535" t="n">
        <v>40</v>
      </c>
      <c r="H1535" t="n">
        <v>5</v>
      </c>
      <c r="I1535" t="inlineStr">
        <is>
          <t>L</t>
        </is>
      </c>
      <c r="J1535" t="inlineStr">
        <is>
          <t>S</t>
        </is>
      </c>
      <c r="K1535" t="inlineStr">
        <is>
          <t>Y</t>
        </is>
      </c>
      <c r="L1535" t="inlineStr"/>
      <c r="M1535" s="30">
        <f>0.005454*F1535^2</f>
        <v/>
      </c>
      <c r="N1535" s="31">
        <f>IF(D1535="BAF20",20/M1535,100)</f>
        <v/>
      </c>
      <c r="O1535" s="31">
        <f>M1535*N1535</f>
        <v/>
      </c>
      <c r="P1535" s="32">
        <f>0.0*N1535</f>
        <v/>
      </c>
    </row>
    <row r="1536">
      <c r="A1536" t="inlineStr">
        <is>
          <t>U4-09</t>
        </is>
      </c>
      <c r="B1536" t="n">
        <v>4</v>
      </c>
      <c r="C1536" t="n">
        <v>16</v>
      </c>
      <c r="D1536" t="inlineStr">
        <is>
          <t>BAF20</t>
        </is>
      </c>
      <c r="E1536" t="inlineStr">
        <is>
          <t>DF</t>
        </is>
      </c>
      <c r="F1536" t="n">
        <v>7.1</v>
      </c>
      <c r="G1536" t="n">
        <v>43</v>
      </c>
      <c r="H1536" t="n">
        <v>8</v>
      </c>
      <c r="I1536" t="inlineStr">
        <is>
          <t>L</t>
        </is>
      </c>
      <c r="J1536" t="inlineStr">
        <is>
          <t>S</t>
        </is>
      </c>
      <c r="K1536" t="inlineStr">
        <is>
          <t>Y</t>
        </is>
      </c>
      <c r="L1536" t="inlineStr"/>
      <c r="M1536" s="30">
        <f>0.005454*F1536^2</f>
        <v/>
      </c>
      <c r="N1536" s="31">
        <f>IF(D1536="BAF20",20/M1536,100)</f>
        <v/>
      </c>
      <c r="O1536" s="31">
        <f>M1536*N1536</f>
        <v/>
      </c>
      <c r="P1536" s="32">
        <f>0.0*N1536</f>
        <v/>
      </c>
    </row>
    <row r="1537">
      <c r="A1537" t="inlineStr">
        <is>
          <t>U4-09</t>
        </is>
      </c>
      <c r="B1537" t="n">
        <v>4</v>
      </c>
      <c r="C1537" t="n">
        <v>17</v>
      </c>
      <c r="D1537" t="inlineStr">
        <is>
          <t>BAF20</t>
        </is>
      </c>
      <c r="E1537" t="inlineStr">
        <is>
          <t>IC</t>
        </is>
      </c>
      <c r="F1537" t="n">
        <v>14.3</v>
      </c>
      <c r="G1537" t="n">
        <v>60</v>
      </c>
      <c r="H1537" t="n">
        <v>7</v>
      </c>
      <c r="I1537" t="inlineStr">
        <is>
          <t>L</t>
        </is>
      </c>
      <c r="J1537" t="inlineStr">
        <is>
          <t>I</t>
        </is>
      </c>
      <c r="K1537" t="inlineStr">
        <is>
          <t>Y</t>
        </is>
      </c>
      <c r="L1537" t="inlineStr"/>
      <c r="M1537" s="30">
        <f>0.005454*F1537^2</f>
        <v/>
      </c>
      <c r="N1537" s="31">
        <f>IF(D1537="BAF20",20/M1537,100)</f>
        <v/>
      </c>
      <c r="O1537" s="31">
        <f>M1537*N1537</f>
        <v/>
      </c>
      <c r="P1537" s="32">
        <f>98.5*N1537</f>
        <v/>
      </c>
    </row>
    <row r="1538">
      <c r="A1538" t="inlineStr">
        <is>
          <t>U4-09</t>
        </is>
      </c>
      <c r="B1538" t="n">
        <v>4</v>
      </c>
      <c r="C1538" t="n">
        <v>18</v>
      </c>
      <c r="D1538" t="inlineStr">
        <is>
          <t>BAF20</t>
        </is>
      </c>
      <c r="E1538" t="inlineStr">
        <is>
          <t>SP</t>
        </is>
      </c>
      <c r="F1538" t="n">
        <v>24.5</v>
      </c>
      <c r="G1538" t="n">
        <v>106</v>
      </c>
      <c r="H1538" t="n">
        <v>7</v>
      </c>
      <c r="I1538" t="inlineStr">
        <is>
          <t>L</t>
        </is>
      </c>
      <c r="J1538" t="inlineStr">
        <is>
          <t>D</t>
        </is>
      </c>
      <c r="K1538" t="inlineStr"/>
      <c r="L1538" t="inlineStr"/>
      <c r="M1538" s="30">
        <f>0.005454*F1538^2</f>
        <v/>
      </c>
      <c r="N1538" s="31">
        <f>IF(D1538="BAF20",20/M1538,100)</f>
        <v/>
      </c>
      <c r="O1538" s="31">
        <f>M1538*N1538</f>
        <v/>
      </c>
      <c r="P1538" s="32">
        <f>622.8*N1538</f>
        <v/>
      </c>
    </row>
    <row r="1539">
      <c r="A1539" t="inlineStr">
        <is>
          <t>U4-09</t>
        </is>
      </c>
      <c r="B1539" t="n">
        <v>4</v>
      </c>
      <c r="C1539" t="n">
        <v>19</v>
      </c>
      <c r="D1539" t="inlineStr">
        <is>
          <t>BAF20</t>
        </is>
      </c>
      <c r="E1539" t="inlineStr">
        <is>
          <t>IC</t>
        </is>
      </c>
      <c r="F1539" t="n">
        <v>22.1</v>
      </c>
      <c r="G1539" t="n">
        <v>81</v>
      </c>
      <c r="H1539" t="n">
        <v>0</v>
      </c>
      <c r="I1539" t="inlineStr">
        <is>
          <t>L</t>
        </is>
      </c>
      <c r="J1539" t="inlineStr">
        <is>
          <t>C</t>
        </is>
      </c>
      <c r="K1539" t="inlineStr"/>
      <c r="L1539" t="inlineStr"/>
      <c r="M1539" s="30">
        <f>0.005454*F1539^2</f>
        <v/>
      </c>
      <c r="N1539" s="31">
        <f>IF(D1539="BAF20",20/M1539,100)</f>
        <v/>
      </c>
      <c r="O1539" s="31">
        <f>M1539*N1539</f>
        <v/>
      </c>
      <c r="P1539" s="32">
        <f>398.7*N1539</f>
        <v/>
      </c>
    </row>
    <row r="1540">
      <c r="A1540" t="inlineStr">
        <is>
          <t>U4-09</t>
        </is>
      </c>
      <c r="B1540" t="n">
        <v>4</v>
      </c>
      <c r="C1540" t="n">
        <v>20</v>
      </c>
      <c r="D1540" t="inlineStr">
        <is>
          <t>BAF20</t>
        </is>
      </c>
      <c r="E1540" t="inlineStr">
        <is>
          <t>WF</t>
        </is>
      </c>
      <c r="F1540" t="n">
        <v>27.3</v>
      </c>
      <c r="G1540" t="n">
        <v>99</v>
      </c>
      <c r="H1540" t="n">
        <v>18</v>
      </c>
      <c r="I1540" t="inlineStr">
        <is>
          <t>L</t>
        </is>
      </c>
      <c r="J1540" t="inlineStr">
        <is>
          <t>D</t>
        </is>
      </c>
      <c r="K1540" t="inlineStr"/>
      <c r="L1540" t="inlineStr"/>
      <c r="M1540" s="30">
        <f>0.005454*F1540^2</f>
        <v/>
      </c>
      <c r="N1540" s="31">
        <f>IF(D1540="BAF20",20/M1540,100)</f>
        <v/>
      </c>
      <c r="O1540" s="31">
        <f>M1540*N1540</f>
        <v/>
      </c>
      <c r="P1540" s="32">
        <f>668.2*N1540</f>
        <v/>
      </c>
    </row>
    <row r="1541">
      <c r="A1541" t="inlineStr">
        <is>
          <t>U4-09</t>
        </is>
      </c>
      <c r="B1541" t="n">
        <v>4</v>
      </c>
      <c r="C1541" t="n">
        <v>21</v>
      </c>
      <c r="D1541" t="inlineStr">
        <is>
          <t>BAF20</t>
        </is>
      </c>
      <c r="E1541" t="inlineStr">
        <is>
          <t>WF</t>
        </is>
      </c>
      <c r="F1541" t="n">
        <v>20.5</v>
      </c>
      <c r="G1541" t="n">
        <v>89</v>
      </c>
      <c r="H1541" t="n">
        <v>21</v>
      </c>
      <c r="I1541" t="inlineStr">
        <is>
          <t>L</t>
        </is>
      </c>
      <c r="J1541" t="inlineStr">
        <is>
          <t>C</t>
        </is>
      </c>
      <c r="K1541" t="inlineStr"/>
      <c r="L1541" t="inlineStr"/>
      <c r="M1541" s="30">
        <f>0.005454*F1541^2</f>
        <v/>
      </c>
      <c r="N1541" s="31">
        <f>IF(D1541="BAF20",20/M1541,100)</f>
        <v/>
      </c>
      <c r="O1541" s="31">
        <f>M1541*N1541</f>
        <v/>
      </c>
      <c r="P1541" s="32">
        <f>289.0*N1541</f>
        <v/>
      </c>
    </row>
    <row r="1542">
      <c r="A1542" t="inlineStr">
        <is>
          <t>U4-09</t>
        </is>
      </c>
      <c r="B1542" t="n">
        <v>4</v>
      </c>
      <c r="C1542" t="n">
        <v>22</v>
      </c>
      <c r="D1542" t="inlineStr">
        <is>
          <t>FIX100</t>
        </is>
      </c>
      <c r="E1542" t="inlineStr">
        <is>
          <t>PP</t>
        </is>
      </c>
      <c r="F1542" t="n">
        <v>2.5</v>
      </c>
      <c r="G1542" t="n">
        <v>17</v>
      </c>
      <c r="H1542" t="n">
        <v>0</v>
      </c>
      <c r="I1542" t="inlineStr">
        <is>
          <t>L</t>
        </is>
      </c>
      <c r="J1542" t="inlineStr">
        <is>
          <t>S</t>
        </is>
      </c>
      <c r="K1542" t="inlineStr"/>
      <c r="L1542" t="inlineStr"/>
      <c r="M1542" s="30">
        <f>0.005454*F1542^2</f>
        <v/>
      </c>
      <c r="N1542" s="31">
        <f>IF(D1542="BAF20",20/M1542,100)</f>
        <v/>
      </c>
      <c r="O1542" s="31">
        <f>M1542*N1542</f>
        <v/>
      </c>
      <c r="P1542" s="32">
        <f>0.0*N1542</f>
        <v/>
      </c>
    </row>
    <row r="1543">
      <c r="A1543" t="inlineStr">
        <is>
          <t>U4-10</t>
        </is>
      </c>
      <c r="B1543" t="n">
        <v>4</v>
      </c>
      <c r="C1543" t="n">
        <v>1</v>
      </c>
      <c r="D1543" t="inlineStr">
        <is>
          <t>BAF20</t>
        </is>
      </c>
      <c r="E1543" t="inlineStr">
        <is>
          <t>WF</t>
        </is>
      </c>
      <c r="F1543" t="n">
        <v>19.3</v>
      </c>
      <c r="G1543" t="n">
        <v>103</v>
      </c>
      <c r="H1543" t="n">
        <v>6</v>
      </c>
      <c r="I1543" t="inlineStr">
        <is>
          <t>L</t>
        </is>
      </c>
      <c r="J1543" t="inlineStr">
        <is>
          <t>C</t>
        </is>
      </c>
      <c r="K1543" t="inlineStr"/>
      <c r="L1543" t="inlineStr"/>
      <c r="M1543" s="30">
        <f>0.005454*F1543^2</f>
        <v/>
      </c>
      <c r="N1543" s="31">
        <f>IF(D1543="BAF20",20/M1543,100)</f>
        <v/>
      </c>
      <c r="O1543" s="31">
        <f>M1543*N1543</f>
        <v/>
      </c>
      <c r="P1543" s="32">
        <f>344.8*N1543</f>
        <v/>
      </c>
    </row>
    <row r="1544">
      <c r="A1544" t="inlineStr">
        <is>
          <t>U4-10</t>
        </is>
      </c>
      <c r="B1544" t="n">
        <v>4</v>
      </c>
      <c r="C1544" t="n">
        <v>2</v>
      </c>
      <c r="D1544" t="inlineStr">
        <is>
          <t>BAF20</t>
        </is>
      </c>
      <c r="E1544" t="inlineStr">
        <is>
          <t>DF</t>
        </is>
      </c>
      <c r="F1544" t="n">
        <v>36.6</v>
      </c>
      <c r="G1544" t="n">
        <v>139</v>
      </c>
      <c r="H1544" t="n">
        <v>1</v>
      </c>
      <c r="I1544" t="inlineStr">
        <is>
          <t>L</t>
        </is>
      </c>
      <c r="J1544" t="inlineStr">
        <is>
          <t>D</t>
        </is>
      </c>
      <c r="K1544" t="inlineStr"/>
      <c r="L1544" t="inlineStr"/>
      <c r="M1544" s="30">
        <f>0.005454*F1544^2</f>
        <v/>
      </c>
      <c r="N1544" s="31">
        <f>IF(D1544="BAF20",20/M1544,100)</f>
        <v/>
      </c>
      <c r="O1544" s="31">
        <f>M1544*N1544</f>
        <v/>
      </c>
      <c r="P1544" s="32">
        <f>2353.9*N1544</f>
        <v/>
      </c>
    </row>
    <row r="1545">
      <c r="A1545" t="inlineStr">
        <is>
          <t>U4-10</t>
        </is>
      </c>
      <c r="B1545" t="n">
        <v>4</v>
      </c>
      <c r="C1545" t="n">
        <v>3</v>
      </c>
      <c r="D1545" t="inlineStr">
        <is>
          <t>BAF20</t>
        </is>
      </c>
      <c r="E1545" t="inlineStr">
        <is>
          <t>WF</t>
        </is>
      </c>
      <c r="F1545" t="n">
        <v>18.3</v>
      </c>
      <c r="G1545" t="n">
        <v>82</v>
      </c>
      <c r="H1545" t="n">
        <v>1</v>
      </c>
      <c r="I1545" t="inlineStr">
        <is>
          <t>L</t>
        </is>
      </c>
      <c r="J1545" t="inlineStr">
        <is>
          <t>C</t>
        </is>
      </c>
      <c r="K1545" t="inlineStr"/>
      <c r="L1545" t="inlineStr"/>
      <c r="M1545" s="30">
        <f>0.005454*F1545^2</f>
        <v/>
      </c>
      <c r="N1545" s="31">
        <f>IF(D1545="BAF20",20/M1545,100)</f>
        <v/>
      </c>
      <c r="O1545" s="31">
        <f>M1545*N1545</f>
        <v/>
      </c>
      <c r="P1545" s="32">
        <f>254.8*N1545</f>
        <v/>
      </c>
    </row>
    <row r="1546">
      <c r="A1546" t="inlineStr">
        <is>
          <t>U4-10</t>
        </is>
      </c>
      <c r="B1546" t="n">
        <v>4</v>
      </c>
      <c r="C1546" t="n">
        <v>4</v>
      </c>
      <c r="D1546" t="inlineStr">
        <is>
          <t>BAF20</t>
        </is>
      </c>
      <c r="E1546" t="inlineStr">
        <is>
          <t>WF</t>
        </is>
      </c>
      <c r="F1546" t="n">
        <v>13</v>
      </c>
      <c r="G1546" t="n">
        <v>64</v>
      </c>
      <c r="H1546" t="n">
        <v>26</v>
      </c>
      <c r="I1546" t="inlineStr">
        <is>
          <t>L</t>
        </is>
      </c>
      <c r="J1546" t="inlineStr">
        <is>
          <t>I</t>
        </is>
      </c>
      <c r="K1546" t="inlineStr">
        <is>
          <t>Y</t>
        </is>
      </c>
      <c r="L1546" t="inlineStr"/>
      <c r="M1546" s="30">
        <f>0.005454*F1546^2</f>
        <v/>
      </c>
      <c r="N1546" s="31">
        <f>IF(D1546="BAF20",20/M1546,100)</f>
        <v/>
      </c>
      <c r="O1546" s="31">
        <f>M1546*N1546</f>
        <v/>
      </c>
      <c r="P1546" s="32">
        <f>67.2*N1546</f>
        <v/>
      </c>
    </row>
    <row r="1547">
      <c r="A1547" t="inlineStr">
        <is>
          <t>U4-10</t>
        </is>
      </c>
      <c r="B1547" t="n">
        <v>4</v>
      </c>
      <c r="C1547" t="n">
        <v>5</v>
      </c>
      <c r="D1547" t="inlineStr">
        <is>
          <t>BAF20</t>
        </is>
      </c>
      <c r="E1547" t="inlineStr">
        <is>
          <t>PP</t>
        </is>
      </c>
      <c r="F1547" t="n">
        <v>18.1</v>
      </c>
      <c r="G1547" t="n">
        <v>81</v>
      </c>
      <c r="H1547" t="n">
        <v>100</v>
      </c>
      <c r="I1547" t="inlineStr">
        <is>
          <t>D</t>
        </is>
      </c>
      <c r="J1547" t="inlineStr">
        <is>
          <t>C</t>
        </is>
      </c>
      <c r="K1547" t="inlineStr"/>
      <c r="L1547" t="inlineStr"/>
      <c r="M1547" s="30">
        <f>0.005454*F1547^2</f>
        <v/>
      </c>
      <c r="N1547" s="31">
        <f>IF(D1547="BAF20",20/M1547,100)</f>
        <v/>
      </c>
      <c r="O1547" s="31">
        <f>M1547*N1547</f>
        <v/>
      </c>
      <c r="P1547" s="32">
        <f>0.0*N1547</f>
        <v/>
      </c>
    </row>
    <row r="1548">
      <c r="A1548" t="inlineStr">
        <is>
          <t>U4-10</t>
        </is>
      </c>
      <c r="B1548" t="n">
        <v>4</v>
      </c>
      <c r="C1548" t="n">
        <v>6</v>
      </c>
      <c r="D1548" t="inlineStr">
        <is>
          <t>BAF20</t>
        </is>
      </c>
      <c r="E1548" t="inlineStr">
        <is>
          <t>PP</t>
        </is>
      </c>
      <c r="F1548" t="n">
        <v>18.5</v>
      </c>
      <c r="G1548" t="n">
        <v>89</v>
      </c>
      <c r="H1548" t="n">
        <v>2</v>
      </c>
      <c r="I1548" t="inlineStr">
        <is>
          <t>L</t>
        </is>
      </c>
      <c r="J1548" t="inlineStr">
        <is>
          <t>C</t>
        </is>
      </c>
      <c r="K1548" t="inlineStr"/>
      <c r="L1548" t="inlineStr"/>
      <c r="M1548" s="30">
        <f>0.005454*F1548^2</f>
        <v/>
      </c>
      <c r="N1548" s="31">
        <f>IF(D1548="BAF20",20/M1548,100)</f>
        <v/>
      </c>
      <c r="O1548" s="31">
        <f>M1548*N1548</f>
        <v/>
      </c>
      <c r="P1548" s="32">
        <f>280.9*N1548</f>
        <v/>
      </c>
    </row>
    <row r="1549">
      <c r="A1549" t="inlineStr">
        <is>
          <t>U4-10</t>
        </is>
      </c>
      <c r="B1549" t="n">
        <v>4</v>
      </c>
      <c r="C1549" t="n">
        <v>7</v>
      </c>
      <c r="D1549" t="inlineStr">
        <is>
          <t>BAF20</t>
        </is>
      </c>
      <c r="E1549" t="inlineStr">
        <is>
          <t>IC</t>
        </is>
      </c>
      <c r="F1549" t="n">
        <v>6.7</v>
      </c>
      <c r="G1549" t="n">
        <v>29</v>
      </c>
      <c r="H1549" t="n">
        <v>15</v>
      </c>
      <c r="I1549" t="inlineStr">
        <is>
          <t>L</t>
        </is>
      </c>
      <c r="J1549" t="inlineStr">
        <is>
          <t>S</t>
        </is>
      </c>
      <c r="K1549" t="inlineStr">
        <is>
          <t>Y</t>
        </is>
      </c>
      <c r="L1549" t="inlineStr"/>
      <c r="M1549" s="30">
        <f>0.005454*F1549^2</f>
        <v/>
      </c>
      <c r="N1549" s="31">
        <f>IF(D1549="BAF20",20/M1549,100)</f>
        <v/>
      </c>
      <c r="O1549" s="31">
        <f>M1549*N1549</f>
        <v/>
      </c>
      <c r="P1549" s="32">
        <f>0.0*N1549</f>
        <v/>
      </c>
    </row>
    <row r="1550">
      <c r="A1550" t="inlineStr">
        <is>
          <t>U4-10</t>
        </is>
      </c>
      <c r="B1550" t="n">
        <v>4</v>
      </c>
      <c r="C1550" t="n">
        <v>8</v>
      </c>
      <c r="D1550" t="inlineStr">
        <is>
          <t>BAF20</t>
        </is>
      </c>
      <c r="E1550" t="inlineStr">
        <is>
          <t>IC</t>
        </is>
      </c>
      <c r="F1550" t="n">
        <v>18.9</v>
      </c>
      <c r="G1550" t="n">
        <v>66</v>
      </c>
      <c r="H1550" t="n">
        <v>3</v>
      </c>
      <c r="I1550" t="inlineStr">
        <is>
          <t>L</t>
        </is>
      </c>
      <c r="J1550" t="inlineStr">
        <is>
          <t>C</t>
        </is>
      </c>
      <c r="K1550" t="inlineStr"/>
      <c r="L1550" t="inlineStr"/>
      <c r="M1550" s="30">
        <f>0.005454*F1550^2</f>
        <v/>
      </c>
      <c r="N1550" s="31">
        <f>IF(D1550="BAF20",20/M1550,100)</f>
        <v/>
      </c>
      <c r="O1550" s="31">
        <f>M1550*N1550</f>
        <v/>
      </c>
      <c r="P1550" s="32">
        <f>216.9*N1550</f>
        <v/>
      </c>
    </row>
    <row r="1551">
      <c r="A1551" t="inlineStr">
        <is>
          <t>U4-10</t>
        </is>
      </c>
      <c r="B1551" t="n">
        <v>4</v>
      </c>
      <c r="C1551" t="n">
        <v>9</v>
      </c>
      <c r="D1551" t="inlineStr">
        <is>
          <t>BAF20</t>
        </is>
      </c>
      <c r="E1551" t="inlineStr">
        <is>
          <t>PP</t>
        </is>
      </c>
      <c r="F1551" t="n">
        <v>13.5</v>
      </c>
      <c r="G1551" t="n">
        <v>64</v>
      </c>
      <c r="H1551" t="n">
        <v>4</v>
      </c>
      <c r="I1551" t="inlineStr">
        <is>
          <t>L</t>
        </is>
      </c>
      <c r="J1551" t="inlineStr">
        <is>
          <t>I</t>
        </is>
      </c>
      <c r="K1551" t="inlineStr">
        <is>
          <t>Y</t>
        </is>
      </c>
      <c r="L1551" t="inlineStr"/>
      <c r="M1551" s="30">
        <f>0.005454*F1551^2</f>
        <v/>
      </c>
      <c r="N1551" s="31">
        <f>IF(D1551="BAF20",20/M1551,100)</f>
        <v/>
      </c>
      <c r="O1551" s="31">
        <f>M1551*N1551</f>
        <v/>
      </c>
      <c r="P1551" s="32">
        <f>95.0*N1551</f>
        <v/>
      </c>
    </row>
    <row r="1552">
      <c r="A1552" t="inlineStr">
        <is>
          <t>U4-10</t>
        </is>
      </c>
      <c r="B1552" t="n">
        <v>4</v>
      </c>
      <c r="C1552" t="n">
        <v>10</v>
      </c>
      <c r="D1552" t="inlineStr">
        <is>
          <t>FIX100</t>
        </is>
      </c>
      <c r="E1552" t="inlineStr">
        <is>
          <t>WF</t>
        </is>
      </c>
      <c r="F1552" t="n">
        <v>1.4</v>
      </c>
      <c r="G1552" t="n">
        <v>12</v>
      </c>
      <c r="H1552" t="n">
        <v>0</v>
      </c>
      <c r="I1552" t="inlineStr">
        <is>
          <t>L</t>
        </is>
      </c>
      <c r="J1552" t="inlineStr">
        <is>
          <t>S</t>
        </is>
      </c>
      <c r="K1552" t="inlineStr"/>
      <c r="L1552" t="inlineStr"/>
      <c r="M1552" s="30">
        <f>0.005454*F1552^2</f>
        <v/>
      </c>
      <c r="N1552" s="31">
        <f>IF(D1552="BAF20",20/M1552,100)</f>
        <v/>
      </c>
      <c r="O1552" s="31">
        <f>M1552*N1552</f>
        <v/>
      </c>
      <c r="P1552" s="32">
        <f>0.0*N1552</f>
        <v/>
      </c>
    </row>
    <row r="1553">
      <c r="A1553" t="inlineStr">
        <is>
          <t>U4-11</t>
        </is>
      </c>
      <c r="B1553" t="n">
        <v>4</v>
      </c>
      <c r="C1553" t="n">
        <v>1</v>
      </c>
      <c r="D1553" t="inlineStr">
        <is>
          <t>BAF20</t>
        </is>
      </c>
      <c r="E1553" t="inlineStr">
        <is>
          <t>PP</t>
        </is>
      </c>
      <c r="F1553" t="n">
        <v>16.3</v>
      </c>
      <c r="G1553" t="n">
        <v>78</v>
      </c>
      <c r="H1553" t="n">
        <v>1</v>
      </c>
      <c r="I1553" t="inlineStr">
        <is>
          <t>L</t>
        </is>
      </c>
      <c r="J1553" t="inlineStr">
        <is>
          <t>I</t>
        </is>
      </c>
      <c r="K1553" t="inlineStr"/>
      <c r="L1553" t="inlineStr"/>
      <c r="M1553" s="30">
        <f>0.005454*F1553^2</f>
        <v/>
      </c>
      <c r="N1553" s="31">
        <f>IF(D1553="BAF20",20/M1553,100)</f>
        <v/>
      </c>
      <c r="O1553" s="31">
        <f>M1553*N1553</f>
        <v/>
      </c>
      <c r="P1553" s="32">
        <f>184.7*N1553</f>
        <v/>
      </c>
    </row>
    <row r="1554">
      <c r="A1554" t="inlineStr">
        <is>
          <t>U4-11</t>
        </is>
      </c>
      <c r="B1554" t="n">
        <v>4</v>
      </c>
      <c r="C1554" t="n">
        <v>2</v>
      </c>
      <c r="D1554" t="inlineStr">
        <is>
          <t>BAF20</t>
        </is>
      </c>
      <c r="E1554" t="inlineStr">
        <is>
          <t>WF</t>
        </is>
      </c>
      <c r="F1554" t="n">
        <v>29.3</v>
      </c>
      <c r="G1554" t="n">
        <v>127</v>
      </c>
      <c r="H1554" t="n">
        <v>16</v>
      </c>
      <c r="I1554" t="inlineStr">
        <is>
          <t>L</t>
        </is>
      </c>
      <c r="J1554" t="inlineStr">
        <is>
          <t>D</t>
        </is>
      </c>
      <c r="K1554" t="inlineStr"/>
      <c r="L1554" t="inlineStr"/>
      <c r="M1554" s="30">
        <f>0.005454*F1554^2</f>
        <v/>
      </c>
      <c r="N1554" s="31">
        <f>IF(D1554="BAF20",20/M1554,100)</f>
        <v/>
      </c>
      <c r="O1554" s="31">
        <f>M1554*N1554</f>
        <v/>
      </c>
      <c r="P1554" s="32">
        <f>1045.4*N1554</f>
        <v/>
      </c>
    </row>
    <row r="1555">
      <c r="A1555" t="inlineStr">
        <is>
          <t>U4-11</t>
        </is>
      </c>
      <c r="B1555" t="n">
        <v>4</v>
      </c>
      <c r="C1555" t="n">
        <v>3</v>
      </c>
      <c r="D1555" t="inlineStr">
        <is>
          <t>BAF20</t>
        </is>
      </c>
      <c r="E1555" t="inlineStr">
        <is>
          <t>PP</t>
        </is>
      </c>
      <c r="F1555" t="n">
        <v>12.5</v>
      </c>
      <c r="G1555" t="n">
        <v>60</v>
      </c>
      <c r="H1555" t="n">
        <v>4</v>
      </c>
      <c r="I1555" t="inlineStr">
        <is>
          <t>L</t>
        </is>
      </c>
      <c r="J1555" t="inlineStr">
        <is>
          <t>S</t>
        </is>
      </c>
      <c r="K1555" t="inlineStr">
        <is>
          <t>Y</t>
        </is>
      </c>
      <c r="L1555" t="inlineStr"/>
      <c r="M1555" s="30">
        <f>0.005454*F1555^2</f>
        <v/>
      </c>
      <c r="N1555" s="31">
        <f>IF(D1555="BAF20",20/M1555,100)</f>
        <v/>
      </c>
      <c r="O1555" s="31">
        <f>M1555*N1555</f>
        <v/>
      </c>
      <c r="P1555" s="32">
        <f>74.7*N1555</f>
        <v/>
      </c>
    </row>
    <row r="1556">
      <c r="A1556" t="inlineStr">
        <is>
          <t>U4-11</t>
        </is>
      </c>
      <c r="B1556" t="n">
        <v>4</v>
      </c>
      <c r="C1556" t="n">
        <v>4</v>
      </c>
      <c r="D1556" t="inlineStr">
        <is>
          <t>BAF20</t>
        </is>
      </c>
      <c r="E1556" t="inlineStr">
        <is>
          <t>PP</t>
        </is>
      </c>
      <c r="F1556" t="n">
        <v>17.5</v>
      </c>
      <c r="G1556" t="n">
        <v>69</v>
      </c>
      <c r="H1556" t="n">
        <v>1</v>
      </c>
      <c r="I1556" t="inlineStr">
        <is>
          <t>L</t>
        </is>
      </c>
      <c r="J1556" t="inlineStr">
        <is>
          <t>I</t>
        </is>
      </c>
      <c r="K1556" t="inlineStr"/>
      <c r="L1556" t="inlineStr"/>
      <c r="M1556" s="30">
        <f>0.005454*F1556^2</f>
        <v/>
      </c>
      <c r="N1556" s="31">
        <f>IF(D1556="BAF20",20/M1556,100)</f>
        <v/>
      </c>
      <c r="O1556" s="31">
        <f>M1556*N1556</f>
        <v/>
      </c>
      <c r="P1556" s="32">
        <f>193.0*N1556</f>
        <v/>
      </c>
    </row>
    <row r="1557">
      <c r="A1557" t="inlineStr">
        <is>
          <t>U4-11</t>
        </is>
      </c>
      <c r="B1557" t="n">
        <v>4</v>
      </c>
      <c r="C1557" t="n">
        <v>5</v>
      </c>
      <c r="D1557" t="inlineStr">
        <is>
          <t>BAF20</t>
        </is>
      </c>
      <c r="E1557" t="inlineStr">
        <is>
          <t>WF</t>
        </is>
      </c>
      <c r="F1557" t="n">
        <v>6.1</v>
      </c>
      <c r="G1557" t="n">
        <v>30</v>
      </c>
      <c r="H1557" t="n">
        <v>10</v>
      </c>
      <c r="I1557" t="inlineStr">
        <is>
          <t>L</t>
        </is>
      </c>
      <c r="J1557" t="inlineStr">
        <is>
          <t>S</t>
        </is>
      </c>
      <c r="K1557" t="inlineStr">
        <is>
          <t>Y</t>
        </is>
      </c>
      <c r="L1557" t="inlineStr"/>
      <c r="M1557" s="30">
        <f>0.005454*F1557^2</f>
        <v/>
      </c>
      <c r="N1557" s="31">
        <f>IF(D1557="BAF20",20/M1557,100)</f>
        <v/>
      </c>
      <c r="O1557" s="31">
        <f>M1557*N1557</f>
        <v/>
      </c>
      <c r="P1557" s="32">
        <f>0.0*N1557</f>
        <v/>
      </c>
    </row>
    <row r="1558">
      <c r="A1558" t="inlineStr">
        <is>
          <t>U4-11</t>
        </is>
      </c>
      <c r="B1558" t="n">
        <v>4</v>
      </c>
      <c r="C1558" t="n">
        <v>6</v>
      </c>
      <c r="D1558" t="inlineStr">
        <is>
          <t>BAF20</t>
        </is>
      </c>
      <c r="E1558" t="inlineStr">
        <is>
          <t>DF</t>
        </is>
      </c>
      <c r="F1558" t="n">
        <v>18.7</v>
      </c>
      <c r="G1558" t="n">
        <v>91</v>
      </c>
      <c r="H1558" t="n">
        <v>6</v>
      </c>
      <c r="I1558" t="inlineStr">
        <is>
          <t>L</t>
        </is>
      </c>
      <c r="J1558" t="inlineStr">
        <is>
          <t>C</t>
        </is>
      </c>
      <c r="K1558" t="inlineStr"/>
      <c r="L1558" t="inlineStr"/>
      <c r="M1558" s="30">
        <f>0.005454*F1558^2</f>
        <v/>
      </c>
      <c r="N1558" s="31">
        <f>IF(D1558="BAF20",20/M1558,100)</f>
        <v/>
      </c>
      <c r="O1558" s="31">
        <f>M1558*N1558</f>
        <v/>
      </c>
      <c r="P1558" s="32">
        <f>282.6*N1558</f>
        <v/>
      </c>
    </row>
    <row r="1559">
      <c r="A1559" t="inlineStr">
        <is>
          <t>U4-11</t>
        </is>
      </c>
      <c r="B1559" t="n">
        <v>4</v>
      </c>
      <c r="C1559" t="n">
        <v>7</v>
      </c>
      <c r="D1559" t="inlineStr">
        <is>
          <t>BAF20</t>
        </is>
      </c>
      <c r="E1559" t="inlineStr">
        <is>
          <t>SP</t>
        </is>
      </c>
      <c r="F1559" t="n">
        <v>13.3</v>
      </c>
      <c r="G1559" t="n">
        <v>66</v>
      </c>
      <c r="H1559" t="n">
        <v>17</v>
      </c>
      <c r="I1559" t="inlineStr">
        <is>
          <t>L</t>
        </is>
      </c>
      <c r="J1559" t="inlineStr">
        <is>
          <t>I</t>
        </is>
      </c>
      <c r="K1559" t="inlineStr"/>
      <c r="L1559" t="inlineStr"/>
      <c r="M1559" s="30">
        <f>0.005454*F1559^2</f>
        <v/>
      </c>
      <c r="N1559" s="31">
        <f>IF(D1559="BAF20",20/M1559,100)</f>
        <v/>
      </c>
      <c r="O1559" s="31">
        <f>M1559*N1559</f>
        <v/>
      </c>
      <c r="P1559" s="32">
        <f>81.8*N1559</f>
        <v/>
      </c>
    </row>
    <row r="1560">
      <c r="A1560" t="inlineStr">
        <is>
          <t>U4-11</t>
        </is>
      </c>
      <c r="B1560" t="n">
        <v>4</v>
      </c>
      <c r="C1560" t="n">
        <v>8</v>
      </c>
      <c r="D1560" t="inlineStr">
        <is>
          <t>BAF20</t>
        </is>
      </c>
      <c r="E1560" t="inlineStr">
        <is>
          <t>PP</t>
        </is>
      </c>
      <c r="F1560" t="n">
        <v>17.2</v>
      </c>
      <c r="G1560" t="n">
        <v>84</v>
      </c>
      <c r="H1560" t="n">
        <v>3</v>
      </c>
      <c r="I1560" t="inlineStr">
        <is>
          <t>L</t>
        </is>
      </c>
      <c r="J1560" t="inlineStr">
        <is>
          <t>I</t>
        </is>
      </c>
      <c r="K1560" t="inlineStr"/>
      <c r="L1560" t="inlineStr"/>
      <c r="M1560" s="30">
        <f>0.005454*F1560^2</f>
        <v/>
      </c>
      <c r="N1560" s="31">
        <f>IF(D1560="BAF20",20/M1560,100)</f>
        <v/>
      </c>
      <c r="O1560" s="31">
        <f>M1560*N1560</f>
        <v/>
      </c>
      <c r="P1560" s="32">
        <f>221.0*N1560</f>
        <v/>
      </c>
    </row>
    <row r="1561">
      <c r="A1561" t="inlineStr">
        <is>
          <t>U4-11</t>
        </is>
      </c>
      <c r="B1561" t="n">
        <v>4</v>
      </c>
      <c r="C1561" t="n">
        <v>9</v>
      </c>
      <c r="D1561" t="inlineStr">
        <is>
          <t>BAF20</t>
        </is>
      </c>
      <c r="E1561" t="inlineStr">
        <is>
          <t>PP</t>
        </is>
      </c>
      <c r="F1561" t="n">
        <v>5</v>
      </c>
      <c r="G1561" t="n">
        <v>26</v>
      </c>
      <c r="H1561" t="n">
        <v>10</v>
      </c>
      <c r="I1561" t="inlineStr">
        <is>
          <t>L</t>
        </is>
      </c>
      <c r="J1561" t="inlineStr">
        <is>
          <t>S</t>
        </is>
      </c>
      <c r="K1561" t="inlineStr">
        <is>
          <t>Y</t>
        </is>
      </c>
      <c r="L1561" t="inlineStr"/>
      <c r="M1561" s="30">
        <f>0.005454*F1561^2</f>
        <v/>
      </c>
      <c r="N1561" s="31">
        <f>IF(D1561="BAF20",20/M1561,100)</f>
        <v/>
      </c>
      <c r="O1561" s="31">
        <f>M1561*N1561</f>
        <v/>
      </c>
      <c r="P1561" s="32">
        <f>0.0*N1561</f>
        <v/>
      </c>
    </row>
    <row r="1562">
      <c r="A1562" t="inlineStr">
        <is>
          <t>U4-11</t>
        </is>
      </c>
      <c r="B1562" t="n">
        <v>4</v>
      </c>
      <c r="C1562" t="n">
        <v>10</v>
      </c>
      <c r="D1562" t="inlineStr">
        <is>
          <t>BAF20</t>
        </is>
      </c>
      <c r="E1562" t="inlineStr">
        <is>
          <t>WF</t>
        </is>
      </c>
      <c r="F1562" t="n">
        <v>5</v>
      </c>
      <c r="G1562" t="n">
        <v>30</v>
      </c>
      <c r="H1562" t="n">
        <v>13</v>
      </c>
      <c r="I1562" t="inlineStr">
        <is>
          <t>L</t>
        </is>
      </c>
      <c r="J1562" t="inlineStr">
        <is>
          <t>S</t>
        </is>
      </c>
      <c r="K1562" t="inlineStr">
        <is>
          <t>Y</t>
        </is>
      </c>
      <c r="L1562" t="inlineStr"/>
      <c r="M1562" s="30">
        <f>0.005454*F1562^2</f>
        <v/>
      </c>
      <c r="N1562" s="31">
        <f>IF(D1562="BAF20",20/M1562,100)</f>
        <v/>
      </c>
      <c r="O1562" s="31">
        <f>M1562*N1562</f>
        <v/>
      </c>
      <c r="P1562" s="32">
        <f>0.0*N1562</f>
        <v/>
      </c>
    </row>
    <row r="1563">
      <c r="A1563" t="inlineStr">
        <is>
          <t>U4-11</t>
        </is>
      </c>
      <c r="B1563" t="n">
        <v>4</v>
      </c>
      <c r="C1563" t="n">
        <v>11</v>
      </c>
      <c r="D1563" t="inlineStr">
        <is>
          <t>BAF20</t>
        </is>
      </c>
      <c r="E1563" t="inlineStr">
        <is>
          <t>IC</t>
        </is>
      </c>
      <c r="F1563" t="n">
        <v>24.5</v>
      </c>
      <c r="G1563" t="n">
        <v>99</v>
      </c>
      <c r="H1563" t="n">
        <v>4</v>
      </c>
      <c r="I1563" t="inlineStr">
        <is>
          <t>L</t>
        </is>
      </c>
      <c r="J1563" t="inlineStr">
        <is>
          <t>D</t>
        </is>
      </c>
      <c r="K1563" t="inlineStr"/>
      <c r="L1563" t="inlineStr"/>
      <c r="M1563" s="30">
        <f>0.005454*F1563^2</f>
        <v/>
      </c>
      <c r="N1563" s="31">
        <f>IF(D1563="BAF20",20/M1563,100)</f>
        <v/>
      </c>
      <c r="O1563" s="31">
        <f>M1563*N1563</f>
        <v/>
      </c>
      <c r="P1563" s="32">
        <f>600.4*N1563</f>
        <v/>
      </c>
    </row>
    <row r="1564">
      <c r="A1564" t="inlineStr">
        <is>
          <t>U4-11</t>
        </is>
      </c>
      <c r="B1564" t="n">
        <v>4</v>
      </c>
      <c r="C1564" t="n">
        <v>12</v>
      </c>
      <c r="D1564" t="inlineStr">
        <is>
          <t>BAF20</t>
        </is>
      </c>
      <c r="E1564" t="inlineStr">
        <is>
          <t>PP</t>
        </is>
      </c>
      <c r="F1564" t="n">
        <v>27</v>
      </c>
      <c r="G1564" t="n">
        <v>104</v>
      </c>
      <c r="H1564" t="n">
        <v>1</v>
      </c>
      <c r="I1564" t="inlineStr">
        <is>
          <t>L</t>
        </is>
      </c>
      <c r="J1564" t="inlineStr">
        <is>
          <t>D</t>
        </is>
      </c>
      <c r="K1564" t="inlineStr"/>
      <c r="L1564" t="inlineStr"/>
      <c r="M1564" s="30">
        <f>0.005454*F1564^2</f>
        <v/>
      </c>
      <c r="N1564" s="31">
        <f>IF(D1564="BAF20",20/M1564,100)</f>
        <v/>
      </c>
      <c r="O1564" s="31">
        <f>M1564*N1564</f>
        <v/>
      </c>
      <c r="P1564" s="32">
        <f>824.8*N1564</f>
        <v/>
      </c>
    </row>
    <row r="1565">
      <c r="A1565" t="inlineStr">
        <is>
          <t>U4-11</t>
        </is>
      </c>
      <c r="B1565" t="n">
        <v>4</v>
      </c>
      <c r="C1565" t="n">
        <v>13</v>
      </c>
      <c r="D1565" t="inlineStr">
        <is>
          <t>BAF20</t>
        </is>
      </c>
      <c r="E1565" t="inlineStr">
        <is>
          <t>BO</t>
        </is>
      </c>
      <c r="F1565" t="n">
        <v>13.4</v>
      </c>
      <c r="G1565" t="n">
        <v>50</v>
      </c>
      <c r="H1565" t="n">
        <v>4</v>
      </c>
      <c r="I1565" t="inlineStr">
        <is>
          <t>L</t>
        </is>
      </c>
      <c r="J1565" t="inlineStr">
        <is>
          <t>I</t>
        </is>
      </c>
      <c r="K1565" t="inlineStr">
        <is>
          <t>Y</t>
        </is>
      </c>
      <c r="L1565" t="inlineStr"/>
      <c r="M1565" s="30">
        <f>0.005454*F1565^2</f>
        <v/>
      </c>
      <c r="N1565" s="31">
        <f>IF(D1565="BAF20",20/M1565,100)</f>
        <v/>
      </c>
      <c r="O1565" s="31">
        <f>M1565*N1565</f>
        <v/>
      </c>
      <c r="P1565" s="32">
        <f>66.0*N1565</f>
        <v/>
      </c>
    </row>
    <row r="1566">
      <c r="A1566" t="inlineStr">
        <is>
          <t>U4-11</t>
        </is>
      </c>
      <c r="B1566" t="n">
        <v>4</v>
      </c>
      <c r="C1566" t="n">
        <v>14</v>
      </c>
      <c r="D1566" t="inlineStr">
        <is>
          <t>FIX100</t>
        </is>
      </c>
      <c r="E1566" t="inlineStr">
        <is>
          <t>PP</t>
        </is>
      </c>
      <c r="F1566" t="n">
        <v>4</v>
      </c>
      <c r="G1566" t="n">
        <v>22</v>
      </c>
      <c r="H1566" t="n">
        <v>0</v>
      </c>
      <c r="I1566" t="inlineStr">
        <is>
          <t>L</t>
        </is>
      </c>
      <c r="J1566" t="inlineStr">
        <is>
          <t>S</t>
        </is>
      </c>
      <c r="K1566" t="inlineStr"/>
      <c r="L1566" t="inlineStr"/>
      <c r="M1566" s="30">
        <f>0.005454*F1566^2</f>
        <v/>
      </c>
      <c r="N1566" s="31">
        <f>IF(D1566="BAF20",20/M1566,100)</f>
        <v/>
      </c>
      <c r="O1566" s="31">
        <f>M1566*N1566</f>
        <v/>
      </c>
      <c r="P1566" s="32">
        <f>0.0*N1566</f>
        <v/>
      </c>
    </row>
    <row r="1567">
      <c r="A1567" t="inlineStr">
        <is>
          <t>U4-11</t>
        </is>
      </c>
      <c r="B1567" t="n">
        <v>4</v>
      </c>
      <c r="C1567" t="n">
        <v>15</v>
      </c>
      <c r="D1567" t="inlineStr">
        <is>
          <t>FIX100</t>
        </is>
      </c>
      <c r="E1567" t="inlineStr">
        <is>
          <t>PP</t>
        </is>
      </c>
      <c r="F1567" t="n">
        <v>2.6</v>
      </c>
      <c r="G1567" t="n">
        <v>14</v>
      </c>
      <c r="H1567" t="n">
        <v>0</v>
      </c>
      <c r="I1567" t="inlineStr">
        <is>
          <t>L</t>
        </is>
      </c>
      <c r="J1567" t="inlineStr">
        <is>
          <t>S</t>
        </is>
      </c>
      <c r="K1567" t="inlineStr"/>
      <c r="L1567" t="inlineStr"/>
      <c r="M1567" s="30">
        <f>0.005454*F1567^2</f>
        <v/>
      </c>
      <c r="N1567" s="31">
        <f>IF(D1567="BAF20",20/M1567,100)</f>
        <v/>
      </c>
      <c r="O1567" s="31">
        <f>M1567*N1567</f>
        <v/>
      </c>
      <c r="P1567" s="32">
        <f>0.0*N1567</f>
        <v/>
      </c>
    </row>
    <row r="1568">
      <c r="A1568" t="inlineStr">
        <is>
          <t>U4-11</t>
        </is>
      </c>
      <c r="B1568" t="n">
        <v>4</v>
      </c>
      <c r="C1568" t="n">
        <v>16</v>
      </c>
      <c r="D1568" t="inlineStr">
        <is>
          <t>FIX100</t>
        </is>
      </c>
      <c r="E1568" t="inlineStr">
        <is>
          <t>BO</t>
        </is>
      </c>
      <c r="F1568" t="n">
        <v>1.3</v>
      </c>
      <c r="G1568" t="n">
        <v>8</v>
      </c>
      <c r="H1568" t="n">
        <v>0</v>
      </c>
      <c r="I1568" t="inlineStr">
        <is>
          <t>L</t>
        </is>
      </c>
      <c r="J1568" t="inlineStr">
        <is>
          <t>S</t>
        </is>
      </c>
      <c r="K1568" t="inlineStr"/>
      <c r="L1568" t="inlineStr"/>
      <c r="M1568" s="30">
        <f>0.005454*F1568^2</f>
        <v/>
      </c>
      <c r="N1568" s="31">
        <f>IF(D1568="BAF20",20/M1568,100)</f>
        <v/>
      </c>
      <c r="O1568" s="31">
        <f>M1568*N1568</f>
        <v/>
      </c>
      <c r="P1568" s="32">
        <f>0.0*N1568</f>
        <v/>
      </c>
    </row>
    <row r="1569">
      <c r="A1569" t="inlineStr">
        <is>
          <t>U4-12</t>
        </is>
      </c>
      <c r="B1569" t="n">
        <v>4</v>
      </c>
      <c r="C1569" t="n">
        <v>1</v>
      </c>
      <c r="D1569" t="inlineStr">
        <is>
          <t>BAF20</t>
        </is>
      </c>
      <c r="E1569" t="inlineStr">
        <is>
          <t>WF</t>
        </is>
      </c>
      <c r="F1569" t="n">
        <v>11.3</v>
      </c>
      <c r="G1569" t="n">
        <v>52</v>
      </c>
      <c r="H1569" t="n">
        <v>4</v>
      </c>
      <c r="I1569" t="inlineStr">
        <is>
          <t>L</t>
        </is>
      </c>
      <c r="J1569" t="inlineStr">
        <is>
          <t>S</t>
        </is>
      </c>
      <c r="K1569" t="inlineStr">
        <is>
          <t>Y</t>
        </is>
      </c>
      <c r="L1569" t="inlineStr"/>
      <c r="M1569" s="30">
        <f>0.005454*F1569^2</f>
        <v/>
      </c>
      <c r="N1569" s="31">
        <f>IF(D1569="BAF20",20/M1569,100)</f>
        <v/>
      </c>
      <c r="O1569" s="31">
        <f>M1569*N1569</f>
        <v/>
      </c>
      <c r="P1569" s="32">
        <f>51.5*N1569</f>
        <v/>
      </c>
    </row>
    <row r="1570">
      <c r="A1570" t="inlineStr">
        <is>
          <t>U4-12</t>
        </is>
      </c>
      <c r="B1570" t="n">
        <v>4</v>
      </c>
      <c r="C1570" t="n">
        <v>2</v>
      </c>
      <c r="D1570" t="inlineStr">
        <is>
          <t>BAF20</t>
        </is>
      </c>
      <c r="E1570" t="inlineStr">
        <is>
          <t>IC</t>
        </is>
      </c>
      <c r="F1570" t="n">
        <v>20.6</v>
      </c>
      <c r="G1570" t="n">
        <v>76</v>
      </c>
      <c r="H1570" t="n">
        <v>15</v>
      </c>
      <c r="I1570" t="inlineStr">
        <is>
          <t>L</t>
        </is>
      </c>
      <c r="J1570" t="inlineStr">
        <is>
          <t>C</t>
        </is>
      </c>
      <c r="K1570" t="inlineStr"/>
      <c r="L1570" t="inlineStr"/>
      <c r="M1570" s="30">
        <f>0.005454*F1570^2</f>
        <v/>
      </c>
      <c r="N1570" s="31">
        <f>IF(D1570="BAF20",20/M1570,100)</f>
        <v/>
      </c>
      <c r="O1570" s="31">
        <f>M1570*N1570</f>
        <v/>
      </c>
      <c r="P1570" s="32">
        <f>268.7*N1570</f>
        <v/>
      </c>
    </row>
    <row r="1571">
      <c r="A1571" t="inlineStr">
        <is>
          <t>U4-12</t>
        </is>
      </c>
      <c r="B1571" t="n">
        <v>4</v>
      </c>
      <c r="C1571" t="n">
        <v>3</v>
      </c>
      <c r="D1571" t="inlineStr">
        <is>
          <t>BAF20</t>
        </is>
      </c>
      <c r="E1571" t="inlineStr">
        <is>
          <t>WF</t>
        </is>
      </c>
      <c r="F1571" t="n">
        <v>12.9</v>
      </c>
      <c r="G1571" t="n">
        <v>67</v>
      </c>
      <c r="H1571" t="n">
        <v>4</v>
      </c>
      <c r="I1571" t="inlineStr">
        <is>
          <t>L</t>
        </is>
      </c>
      <c r="J1571" t="inlineStr">
        <is>
          <t>I</t>
        </is>
      </c>
      <c r="K1571" t="inlineStr">
        <is>
          <t>Y</t>
        </is>
      </c>
      <c r="L1571" t="inlineStr"/>
      <c r="M1571" s="30">
        <f>0.005454*F1571^2</f>
        <v/>
      </c>
      <c r="N1571" s="31">
        <f>IF(D1571="BAF20",20/M1571,100)</f>
        <v/>
      </c>
      <c r="O1571" s="31">
        <f>M1571*N1571</f>
        <v/>
      </c>
      <c r="P1571" s="32">
        <f>89.6*N1571</f>
        <v/>
      </c>
    </row>
    <row r="1572">
      <c r="A1572" t="inlineStr">
        <is>
          <t>U4-12</t>
        </is>
      </c>
      <c r="B1572" t="n">
        <v>4</v>
      </c>
      <c r="C1572" t="n">
        <v>4</v>
      </c>
      <c r="D1572" t="inlineStr">
        <is>
          <t>BAF20</t>
        </is>
      </c>
      <c r="E1572" t="inlineStr">
        <is>
          <t>DF</t>
        </is>
      </c>
      <c r="F1572" t="n">
        <v>11.5</v>
      </c>
      <c r="G1572" t="n">
        <v>64</v>
      </c>
      <c r="H1572" t="n">
        <v>3</v>
      </c>
      <c r="I1572" t="inlineStr">
        <is>
          <t>L</t>
        </is>
      </c>
      <c r="J1572" t="inlineStr">
        <is>
          <t>S</t>
        </is>
      </c>
      <c r="K1572" t="inlineStr">
        <is>
          <t>Y</t>
        </is>
      </c>
      <c r="L1572" t="inlineStr"/>
      <c r="M1572" s="30">
        <f>0.005454*F1572^2</f>
        <v/>
      </c>
      <c r="N1572" s="31">
        <f>IF(D1572="BAF20",20/M1572,100)</f>
        <v/>
      </c>
      <c r="O1572" s="31">
        <f>M1572*N1572</f>
        <v/>
      </c>
      <c r="P1572" s="32">
        <f>66.6*N1572</f>
        <v/>
      </c>
    </row>
    <row r="1573">
      <c r="A1573" t="inlineStr">
        <is>
          <t>U4-12</t>
        </is>
      </c>
      <c r="B1573" t="n">
        <v>4</v>
      </c>
      <c r="C1573" t="n">
        <v>5</v>
      </c>
      <c r="D1573" t="inlineStr">
        <is>
          <t>BAF20</t>
        </is>
      </c>
      <c r="E1573" t="inlineStr">
        <is>
          <t>DF</t>
        </is>
      </c>
      <c r="F1573" t="n">
        <v>15.2</v>
      </c>
      <c r="G1573" t="n">
        <v>81</v>
      </c>
      <c r="H1573" t="n">
        <v>2</v>
      </c>
      <c r="I1573" t="inlineStr">
        <is>
          <t>L</t>
        </is>
      </c>
      <c r="J1573" t="inlineStr">
        <is>
          <t>I</t>
        </is>
      </c>
      <c r="K1573" t="inlineStr"/>
      <c r="L1573" t="inlineStr"/>
      <c r="M1573" s="30">
        <f>0.005454*F1573^2</f>
        <v/>
      </c>
      <c r="N1573" s="31">
        <f>IF(D1573="BAF20",20/M1573,100)</f>
        <v/>
      </c>
      <c r="O1573" s="31">
        <f>M1573*N1573</f>
        <v/>
      </c>
      <c r="P1573" s="32">
        <f>161.4*N1573</f>
        <v/>
      </c>
    </row>
    <row r="1574">
      <c r="A1574" t="inlineStr">
        <is>
          <t>U4-12</t>
        </is>
      </c>
      <c r="B1574" t="n">
        <v>4</v>
      </c>
      <c r="C1574" t="n">
        <v>6</v>
      </c>
      <c r="D1574" t="inlineStr">
        <is>
          <t>BAF20</t>
        </is>
      </c>
      <c r="E1574" t="inlineStr">
        <is>
          <t>DF</t>
        </is>
      </c>
      <c r="F1574" t="n">
        <v>12</v>
      </c>
      <c r="G1574" t="n">
        <v>62</v>
      </c>
      <c r="H1574" t="n">
        <v>4</v>
      </c>
      <c r="I1574" t="inlineStr">
        <is>
          <t>L</t>
        </is>
      </c>
      <c r="J1574" t="inlineStr">
        <is>
          <t>S</t>
        </is>
      </c>
      <c r="K1574" t="inlineStr">
        <is>
          <t>Y</t>
        </is>
      </c>
      <c r="L1574" t="inlineStr"/>
      <c r="M1574" s="30">
        <f>0.005454*F1574^2</f>
        <v/>
      </c>
      <c r="N1574" s="31">
        <f>IF(D1574="BAF20",20/M1574,100)</f>
        <v/>
      </c>
      <c r="O1574" s="31">
        <f>M1574*N1574</f>
        <v/>
      </c>
      <c r="P1574" s="32">
        <f>70.3*N1574</f>
        <v/>
      </c>
    </row>
    <row r="1575">
      <c r="A1575" t="inlineStr">
        <is>
          <t>U4-12</t>
        </is>
      </c>
      <c r="B1575" t="n">
        <v>4</v>
      </c>
      <c r="C1575" t="n">
        <v>7</v>
      </c>
      <c r="D1575" t="inlineStr">
        <is>
          <t>BAF20</t>
        </is>
      </c>
      <c r="E1575" t="inlineStr">
        <is>
          <t>DF</t>
        </is>
      </c>
      <c r="F1575" t="n">
        <v>6.9</v>
      </c>
      <c r="G1575" t="n">
        <v>39</v>
      </c>
      <c r="H1575" t="n">
        <v>3</v>
      </c>
      <c r="I1575" t="inlineStr">
        <is>
          <t>L</t>
        </is>
      </c>
      <c r="J1575" t="inlineStr">
        <is>
          <t>S</t>
        </is>
      </c>
      <c r="K1575" t="inlineStr">
        <is>
          <t>Y</t>
        </is>
      </c>
      <c r="L1575" t="inlineStr"/>
      <c r="M1575" s="30">
        <f>0.005454*F1575^2</f>
        <v/>
      </c>
      <c r="N1575" s="31">
        <f>IF(D1575="BAF20",20/M1575,100)</f>
        <v/>
      </c>
      <c r="O1575" s="31">
        <f>M1575*N1575</f>
        <v/>
      </c>
      <c r="P1575" s="32">
        <f>0.0*N1575</f>
        <v/>
      </c>
    </row>
    <row r="1576">
      <c r="A1576" t="inlineStr">
        <is>
          <t>U4-12</t>
        </is>
      </c>
      <c r="B1576" t="n">
        <v>4</v>
      </c>
      <c r="C1576" t="n">
        <v>8</v>
      </c>
      <c r="D1576" t="inlineStr">
        <is>
          <t>BAF20</t>
        </is>
      </c>
      <c r="E1576" t="inlineStr">
        <is>
          <t>WF</t>
        </is>
      </c>
      <c r="F1576" t="n">
        <v>17.6</v>
      </c>
      <c r="G1576" t="n">
        <v>83</v>
      </c>
      <c r="H1576" t="n">
        <v>3</v>
      </c>
      <c r="I1576" t="inlineStr">
        <is>
          <t>L</t>
        </is>
      </c>
      <c r="J1576" t="inlineStr">
        <is>
          <t>I</t>
        </is>
      </c>
      <c r="K1576" t="inlineStr"/>
      <c r="L1576" t="inlineStr"/>
      <c r="M1576" s="30">
        <f>0.005454*F1576^2</f>
        <v/>
      </c>
      <c r="N1576" s="31">
        <f>IF(D1576="BAF20",20/M1576,100)</f>
        <v/>
      </c>
      <c r="O1576" s="31">
        <f>M1576*N1576</f>
        <v/>
      </c>
      <c r="P1576" s="32">
        <f>230.5*N1576</f>
        <v/>
      </c>
    </row>
    <row r="1577">
      <c r="A1577" t="inlineStr">
        <is>
          <t>U4-12</t>
        </is>
      </c>
      <c r="B1577" t="n">
        <v>4</v>
      </c>
      <c r="C1577" t="n">
        <v>9</v>
      </c>
      <c r="D1577" t="inlineStr">
        <is>
          <t>BAF20</t>
        </is>
      </c>
      <c r="E1577" t="inlineStr">
        <is>
          <t>IC</t>
        </is>
      </c>
      <c r="F1577" t="n">
        <v>13.7</v>
      </c>
      <c r="G1577" t="n">
        <v>53</v>
      </c>
      <c r="H1577" t="n">
        <v>6</v>
      </c>
      <c r="I1577" t="inlineStr">
        <is>
          <t>L</t>
        </is>
      </c>
      <c r="J1577" t="inlineStr">
        <is>
          <t>I</t>
        </is>
      </c>
      <c r="K1577" t="inlineStr">
        <is>
          <t>Y</t>
        </is>
      </c>
      <c r="L1577" t="inlineStr"/>
      <c r="M1577" s="30">
        <f>0.005454*F1577^2</f>
        <v/>
      </c>
      <c r="N1577" s="31">
        <f>IF(D1577="BAF20",20/M1577,100)</f>
        <v/>
      </c>
      <c r="O1577" s="31">
        <f>M1577*N1577</f>
        <v/>
      </c>
      <c r="P1577" s="32">
        <f>79.7*N1577</f>
        <v/>
      </c>
    </row>
    <row r="1578">
      <c r="A1578" t="inlineStr">
        <is>
          <t>U4-12</t>
        </is>
      </c>
      <c r="B1578" t="n">
        <v>4</v>
      </c>
      <c r="C1578" t="n">
        <v>10</v>
      </c>
      <c r="D1578" t="inlineStr">
        <is>
          <t>BAF20</t>
        </is>
      </c>
      <c r="E1578" t="inlineStr">
        <is>
          <t>PP</t>
        </is>
      </c>
      <c r="F1578" t="n">
        <v>22.8</v>
      </c>
      <c r="G1578" t="n">
        <v>97</v>
      </c>
      <c r="H1578" t="n">
        <v>3</v>
      </c>
      <c r="I1578" t="inlineStr">
        <is>
          <t>L</t>
        </is>
      </c>
      <c r="J1578" t="inlineStr">
        <is>
          <t>C</t>
        </is>
      </c>
      <c r="K1578" t="inlineStr"/>
      <c r="L1578" t="inlineStr"/>
      <c r="M1578" s="30">
        <f>0.005454*F1578^2</f>
        <v/>
      </c>
      <c r="N1578" s="31">
        <f>IF(D1578="BAF20",20/M1578,100)</f>
        <v/>
      </c>
      <c r="O1578" s="31">
        <f>M1578*N1578</f>
        <v/>
      </c>
      <c r="P1578" s="32">
        <f>499.3*N1578</f>
        <v/>
      </c>
    </row>
    <row r="1579">
      <c r="A1579" t="inlineStr">
        <is>
          <t>U4-12</t>
        </is>
      </c>
      <c r="B1579" t="n">
        <v>4</v>
      </c>
      <c r="C1579" t="n">
        <v>11</v>
      </c>
      <c r="D1579" t="inlineStr">
        <is>
          <t>FIX100</t>
        </is>
      </c>
      <c r="E1579" t="inlineStr">
        <is>
          <t>DF</t>
        </is>
      </c>
      <c r="F1579" t="n">
        <v>1.3</v>
      </c>
      <c r="G1579" t="n">
        <v>8</v>
      </c>
      <c r="H1579" t="n">
        <v>0</v>
      </c>
      <c r="I1579" t="inlineStr">
        <is>
          <t>L</t>
        </is>
      </c>
      <c r="J1579" t="inlineStr">
        <is>
          <t>S</t>
        </is>
      </c>
      <c r="K1579" t="inlineStr"/>
      <c r="L1579" t="inlineStr"/>
      <c r="M1579" s="30">
        <f>0.005454*F1579^2</f>
        <v/>
      </c>
      <c r="N1579" s="31">
        <f>IF(D1579="BAF20",20/M1579,100)</f>
        <v/>
      </c>
      <c r="O1579" s="31">
        <f>M1579*N1579</f>
        <v/>
      </c>
      <c r="P1579" s="32">
        <f>0.0*N1579</f>
        <v/>
      </c>
    </row>
    <row r="1580">
      <c r="A1580" t="inlineStr">
        <is>
          <t>U4-12</t>
        </is>
      </c>
      <c r="B1580" t="n">
        <v>4</v>
      </c>
      <c r="C1580" t="n">
        <v>12</v>
      </c>
      <c r="D1580" t="inlineStr">
        <is>
          <t>FIX100</t>
        </is>
      </c>
      <c r="E1580" t="inlineStr">
        <is>
          <t>DF</t>
        </is>
      </c>
      <c r="F1580" t="n">
        <v>2.2</v>
      </c>
      <c r="G1580" t="n">
        <v>17</v>
      </c>
      <c r="H1580" t="n">
        <v>0</v>
      </c>
      <c r="I1580" t="inlineStr">
        <is>
          <t>L</t>
        </is>
      </c>
      <c r="J1580" t="inlineStr">
        <is>
          <t>S</t>
        </is>
      </c>
      <c r="K1580" t="inlineStr"/>
      <c r="L1580" t="inlineStr"/>
      <c r="M1580" s="30">
        <f>0.005454*F1580^2</f>
        <v/>
      </c>
      <c r="N1580" s="31">
        <f>IF(D1580="BAF20",20/M1580,100)</f>
        <v/>
      </c>
      <c r="O1580" s="31">
        <f>M1580*N1580</f>
        <v/>
      </c>
      <c r="P1580" s="32">
        <f>0.0*N1580</f>
        <v/>
      </c>
    </row>
    <row r="1581">
      <c r="A1581" t="inlineStr">
        <is>
          <t>U4-13</t>
        </is>
      </c>
      <c r="B1581" t="n">
        <v>4</v>
      </c>
      <c r="C1581" t="n">
        <v>1</v>
      </c>
      <c r="D1581" t="inlineStr">
        <is>
          <t>BAF20</t>
        </is>
      </c>
      <c r="E1581" t="inlineStr">
        <is>
          <t>BO</t>
        </is>
      </c>
      <c r="F1581" t="n">
        <v>8.5</v>
      </c>
      <c r="G1581" t="n">
        <v>38</v>
      </c>
      <c r="H1581" t="n">
        <v>8</v>
      </c>
      <c r="I1581" t="inlineStr">
        <is>
          <t>L</t>
        </is>
      </c>
      <c r="J1581" t="inlineStr">
        <is>
          <t>S</t>
        </is>
      </c>
      <c r="K1581" t="inlineStr">
        <is>
          <t>Y</t>
        </is>
      </c>
      <c r="L1581" t="inlineStr"/>
      <c r="M1581" s="30">
        <f>0.005454*F1581^2</f>
        <v/>
      </c>
      <c r="N1581" s="31">
        <f>IF(D1581="BAF20",20/M1581,100)</f>
        <v/>
      </c>
      <c r="O1581" s="31">
        <f>M1581*N1581</f>
        <v/>
      </c>
      <c r="P1581" s="32">
        <f>0.0*N1581</f>
        <v/>
      </c>
    </row>
    <row r="1582">
      <c r="A1582" t="inlineStr">
        <is>
          <t>U4-13</t>
        </is>
      </c>
      <c r="B1582" t="n">
        <v>4</v>
      </c>
      <c r="C1582" t="n">
        <v>2</v>
      </c>
      <c r="D1582" t="inlineStr">
        <is>
          <t>BAF20</t>
        </is>
      </c>
      <c r="E1582" t="inlineStr">
        <is>
          <t>WF</t>
        </is>
      </c>
      <c r="F1582" t="n">
        <v>10.3</v>
      </c>
      <c r="G1582" t="n">
        <v>57</v>
      </c>
      <c r="H1582" t="n">
        <v>9</v>
      </c>
      <c r="I1582" t="inlineStr">
        <is>
          <t>L</t>
        </is>
      </c>
      <c r="J1582" t="inlineStr">
        <is>
          <t>S</t>
        </is>
      </c>
      <c r="K1582" t="inlineStr">
        <is>
          <t>Y</t>
        </is>
      </c>
      <c r="L1582" t="inlineStr"/>
      <c r="M1582" s="30">
        <f>0.005454*F1582^2</f>
        <v/>
      </c>
      <c r="N1582" s="31">
        <f>IF(D1582="BAF20",20/M1582,100)</f>
        <v/>
      </c>
      <c r="O1582" s="31">
        <f>M1582*N1582</f>
        <v/>
      </c>
      <c r="P1582" s="32">
        <f>43.4*N1582</f>
        <v/>
      </c>
    </row>
    <row r="1583">
      <c r="A1583" t="inlineStr">
        <is>
          <t>U4-13</t>
        </is>
      </c>
      <c r="B1583" t="n">
        <v>4</v>
      </c>
      <c r="C1583" t="n">
        <v>3</v>
      </c>
      <c r="D1583" t="inlineStr">
        <is>
          <t>BAF20</t>
        </is>
      </c>
      <c r="E1583" t="inlineStr">
        <is>
          <t>DF</t>
        </is>
      </c>
      <c r="F1583" t="n">
        <v>19.8</v>
      </c>
      <c r="G1583" t="n">
        <v>97</v>
      </c>
      <c r="H1583" t="n">
        <v>2</v>
      </c>
      <c r="I1583" t="inlineStr">
        <is>
          <t>L</t>
        </is>
      </c>
      <c r="J1583" t="inlineStr">
        <is>
          <t>C</t>
        </is>
      </c>
      <c r="K1583" t="inlineStr"/>
      <c r="L1583" t="inlineStr"/>
      <c r="M1583" s="30">
        <f>0.005454*F1583^2</f>
        <v/>
      </c>
      <c r="N1583" s="31">
        <f>IF(D1583="BAF20",20/M1583,100)</f>
        <v/>
      </c>
      <c r="O1583" s="31">
        <f>M1583*N1583</f>
        <v/>
      </c>
      <c r="P1583" s="32">
        <f>359.7*N1583</f>
        <v/>
      </c>
    </row>
    <row r="1584">
      <c r="A1584" t="inlineStr">
        <is>
          <t>U4-13</t>
        </is>
      </c>
      <c r="B1584" t="n">
        <v>4</v>
      </c>
      <c r="C1584" t="n">
        <v>4</v>
      </c>
      <c r="D1584" t="inlineStr">
        <is>
          <t>BAF20</t>
        </is>
      </c>
      <c r="E1584" t="inlineStr">
        <is>
          <t>WF</t>
        </is>
      </c>
      <c r="F1584" t="n">
        <v>25.9</v>
      </c>
      <c r="G1584" t="n">
        <v>112</v>
      </c>
      <c r="H1584" t="n">
        <v>4</v>
      </c>
      <c r="I1584" t="inlineStr">
        <is>
          <t>L</t>
        </is>
      </c>
      <c r="J1584" t="inlineStr">
        <is>
          <t>D</t>
        </is>
      </c>
      <c r="K1584" t="inlineStr"/>
      <c r="L1584" t="inlineStr"/>
      <c r="M1584" s="30">
        <f>0.005454*F1584^2</f>
        <v/>
      </c>
      <c r="N1584" s="31">
        <f>IF(D1584="BAF20",20/M1584,100)</f>
        <v/>
      </c>
      <c r="O1584" s="31">
        <f>M1584*N1584</f>
        <v/>
      </c>
      <c r="P1584" s="32">
        <f>777.8*N1584</f>
        <v/>
      </c>
    </row>
    <row r="1585">
      <c r="A1585" t="inlineStr">
        <is>
          <t>U4-13</t>
        </is>
      </c>
      <c r="B1585" t="n">
        <v>4</v>
      </c>
      <c r="C1585" t="n">
        <v>5</v>
      </c>
      <c r="D1585" t="inlineStr">
        <is>
          <t>BAF20</t>
        </is>
      </c>
      <c r="E1585" t="inlineStr">
        <is>
          <t>PP</t>
        </is>
      </c>
      <c r="F1585" t="n">
        <v>11.3</v>
      </c>
      <c r="G1585" t="n">
        <v>50</v>
      </c>
      <c r="H1585" t="n">
        <v>0</v>
      </c>
      <c r="I1585" t="inlineStr">
        <is>
          <t>L</t>
        </is>
      </c>
      <c r="J1585" t="inlineStr">
        <is>
          <t>S</t>
        </is>
      </c>
      <c r="K1585" t="inlineStr">
        <is>
          <t>Y</t>
        </is>
      </c>
      <c r="L1585" t="inlineStr"/>
      <c r="M1585" s="30">
        <f>0.005454*F1585^2</f>
        <v/>
      </c>
      <c r="N1585" s="31">
        <f>IF(D1585="BAF20",20/M1585,100)</f>
        <v/>
      </c>
      <c r="O1585" s="31">
        <f>M1585*N1585</f>
        <v/>
      </c>
      <c r="P1585" s="32">
        <f>51.6*N1585</f>
        <v/>
      </c>
    </row>
    <row r="1586">
      <c r="A1586" t="inlineStr">
        <is>
          <t>U4-13</t>
        </is>
      </c>
      <c r="B1586" t="n">
        <v>4</v>
      </c>
      <c r="C1586" t="n">
        <v>6</v>
      </c>
      <c r="D1586" t="inlineStr">
        <is>
          <t>BAF20</t>
        </is>
      </c>
      <c r="E1586" t="inlineStr">
        <is>
          <t>DF</t>
        </is>
      </c>
      <c r="F1586" t="n">
        <v>6</v>
      </c>
      <c r="G1586" t="n">
        <v>41</v>
      </c>
      <c r="H1586" t="n">
        <v>3</v>
      </c>
      <c r="I1586" t="inlineStr">
        <is>
          <t>L</t>
        </is>
      </c>
      <c r="J1586" t="inlineStr">
        <is>
          <t>S</t>
        </is>
      </c>
      <c r="K1586" t="inlineStr">
        <is>
          <t>Y</t>
        </is>
      </c>
      <c r="L1586" t="inlineStr"/>
      <c r="M1586" s="30">
        <f>0.005454*F1586^2</f>
        <v/>
      </c>
      <c r="N1586" s="31">
        <f>IF(D1586="BAF20",20/M1586,100)</f>
        <v/>
      </c>
      <c r="O1586" s="31">
        <f>M1586*N1586</f>
        <v/>
      </c>
      <c r="P1586" s="32">
        <f>0.0*N1586</f>
        <v/>
      </c>
    </row>
    <row r="1587">
      <c r="A1587" t="inlineStr">
        <is>
          <t>U4-13</t>
        </is>
      </c>
      <c r="B1587" t="n">
        <v>4</v>
      </c>
      <c r="C1587" t="n">
        <v>7</v>
      </c>
      <c r="D1587" t="inlineStr">
        <is>
          <t>BAF20</t>
        </is>
      </c>
      <c r="E1587" t="inlineStr">
        <is>
          <t>IC</t>
        </is>
      </c>
      <c r="F1587" t="n">
        <v>19.6</v>
      </c>
      <c r="G1587" t="n">
        <v>74</v>
      </c>
      <c r="H1587" t="n">
        <v>7</v>
      </c>
      <c r="I1587" t="inlineStr">
        <is>
          <t>L</t>
        </is>
      </c>
      <c r="J1587" t="inlineStr">
        <is>
          <t>C</t>
        </is>
      </c>
      <c r="K1587" t="inlineStr"/>
      <c r="L1587" t="inlineStr"/>
      <c r="M1587" s="30">
        <f>0.005454*F1587^2</f>
        <v/>
      </c>
      <c r="N1587" s="31">
        <f>IF(D1587="BAF20",20/M1587,100)</f>
        <v/>
      </c>
      <c r="O1587" s="31">
        <f>M1587*N1587</f>
        <v/>
      </c>
      <c r="P1587" s="32">
        <f>254.2*N1587</f>
        <v/>
      </c>
    </row>
    <row r="1588">
      <c r="A1588" t="inlineStr">
        <is>
          <t>U4-13</t>
        </is>
      </c>
      <c r="B1588" t="n">
        <v>4</v>
      </c>
      <c r="C1588" t="n">
        <v>8</v>
      </c>
      <c r="D1588" t="inlineStr">
        <is>
          <t>BAF20</t>
        </is>
      </c>
      <c r="E1588" t="inlineStr">
        <is>
          <t>WF</t>
        </is>
      </c>
      <c r="F1588" t="n">
        <v>11.5</v>
      </c>
      <c r="G1588" t="n">
        <v>58</v>
      </c>
      <c r="H1588" t="n">
        <v>6</v>
      </c>
      <c r="I1588" t="inlineStr">
        <is>
          <t>L</t>
        </is>
      </c>
      <c r="J1588" t="inlineStr">
        <is>
          <t>S</t>
        </is>
      </c>
      <c r="K1588" t="inlineStr">
        <is>
          <t>Y</t>
        </is>
      </c>
      <c r="L1588" t="inlineStr"/>
      <c r="M1588" s="30">
        <f>0.005454*F1588^2</f>
        <v/>
      </c>
      <c r="N1588" s="31">
        <f>IF(D1588="BAF20",20/M1588,100)</f>
        <v/>
      </c>
      <c r="O1588" s="31">
        <f>M1588*N1588</f>
        <v/>
      </c>
      <c r="P1588" s="32">
        <f>58.5*N1588</f>
        <v/>
      </c>
    </row>
    <row r="1589">
      <c r="A1589" t="inlineStr">
        <is>
          <t>U4-13</t>
        </is>
      </c>
      <c r="B1589" t="n">
        <v>4</v>
      </c>
      <c r="C1589" t="n">
        <v>9</v>
      </c>
      <c r="D1589" t="inlineStr">
        <is>
          <t>BAF20</t>
        </is>
      </c>
      <c r="E1589" t="inlineStr">
        <is>
          <t>BO</t>
        </is>
      </c>
      <c r="F1589" t="n">
        <v>12.3</v>
      </c>
      <c r="G1589" t="n">
        <v>46</v>
      </c>
      <c r="H1589" t="n">
        <v>23</v>
      </c>
      <c r="I1589" t="inlineStr">
        <is>
          <t>L</t>
        </is>
      </c>
      <c r="J1589" t="inlineStr">
        <is>
          <t>S</t>
        </is>
      </c>
      <c r="K1589" t="inlineStr">
        <is>
          <t>Y</t>
        </is>
      </c>
      <c r="L1589" t="inlineStr"/>
      <c r="M1589" s="30">
        <f>0.005454*F1589^2</f>
        <v/>
      </c>
      <c r="N1589" s="31">
        <f>IF(D1589="BAF20",20/M1589,100)</f>
        <v/>
      </c>
      <c r="O1589" s="31">
        <f>M1589*N1589</f>
        <v/>
      </c>
      <c r="P1589" s="32">
        <f>40.1*N1589</f>
        <v/>
      </c>
    </row>
    <row r="1590">
      <c r="A1590" t="inlineStr">
        <is>
          <t>U4-13</t>
        </is>
      </c>
      <c r="B1590" t="n">
        <v>4</v>
      </c>
      <c r="C1590" t="n">
        <v>10</v>
      </c>
      <c r="D1590" t="inlineStr">
        <is>
          <t>BAF20</t>
        </is>
      </c>
      <c r="E1590" t="inlineStr">
        <is>
          <t>PP</t>
        </is>
      </c>
      <c r="F1590" t="n">
        <v>14.6</v>
      </c>
      <c r="G1590" t="n">
        <v>73</v>
      </c>
      <c r="H1590" t="n">
        <v>6</v>
      </c>
      <c r="I1590" t="inlineStr">
        <is>
          <t>L</t>
        </is>
      </c>
      <c r="J1590" t="inlineStr">
        <is>
          <t>I</t>
        </is>
      </c>
      <c r="K1590" t="inlineStr">
        <is>
          <t>Y</t>
        </is>
      </c>
      <c r="L1590" t="inlineStr"/>
      <c r="M1590" s="30">
        <f>0.005454*F1590^2</f>
        <v/>
      </c>
      <c r="N1590" s="31">
        <f>IF(D1590="BAF20",20/M1590,100)</f>
        <v/>
      </c>
      <c r="O1590" s="31">
        <f>M1590*N1590</f>
        <v/>
      </c>
      <c r="P1590" s="32">
        <f>127.1*N1590</f>
        <v/>
      </c>
    </row>
    <row r="1591">
      <c r="A1591" t="inlineStr">
        <is>
          <t>U4-13</t>
        </is>
      </c>
      <c r="B1591" t="n">
        <v>4</v>
      </c>
      <c r="C1591" t="n">
        <v>11</v>
      </c>
      <c r="D1591" t="inlineStr">
        <is>
          <t>FIX100</t>
        </is>
      </c>
      <c r="E1591" t="inlineStr">
        <is>
          <t>PP</t>
        </is>
      </c>
      <c r="F1591" t="n">
        <v>4.5</v>
      </c>
      <c r="G1591" t="n">
        <v>27</v>
      </c>
      <c r="H1591" t="n">
        <v>0</v>
      </c>
      <c r="I1591" t="inlineStr">
        <is>
          <t>L</t>
        </is>
      </c>
      <c r="J1591" t="inlineStr">
        <is>
          <t>S</t>
        </is>
      </c>
      <c r="K1591" t="inlineStr"/>
      <c r="L1591" t="inlineStr"/>
      <c r="M1591" s="30">
        <f>0.005454*F1591^2</f>
        <v/>
      </c>
      <c r="N1591" s="31">
        <f>IF(D1591="BAF20",20/M1591,100)</f>
        <v/>
      </c>
      <c r="O1591" s="31">
        <f>M1591*N1591</f>
        <v/>
      </c>
      <c r="P1591" s="32">
        <f>0.0*N1591</f>
        <v/>
      </c>
    </row>
    <row r="1592">
      <c r="A1592" t="inlineStr">
        <is>
          <t>U4-13</t>
        </is>
      </c>
      <c r="B1592" t="n">
        <v>4</v>
      </c>
      <c r="C1592" t="n">
        <v>12</v>
      </c>
      <c r="D1592" t="inlineStr">
        <is>
          <t>FIX100</t>
        </is>
      </c>
      <c r="E1592" t="inlineStr">
        <is>
          <t>WF</t>
        </is>
      </c>
      <c r="F1592" t="n">
        <v>4.4</v>
      </c>
      <c r="G1592" t="n">
        <v>26</v>
      </c>
      <c r="H1592" t="n">
        <v>0</v>
      </c>
      <c r="I1592" t="inlineStr">
        <is>
          <t>L</t>
        </is>
      </c>
      <c r="J1592" t="inlineStr">
        <is>
          <t>S</t>
        </is>
      </c>
      <c r="K1592" t="inlineStr"/>
      <c r="L1592" t="inlineStr"/>
      <c r="M1592" s="30">
        <f>0.005454*F1592^2</f>
        <v/>
      </c>
      <c r="N1592" s="31">
        <f>IF(D1592="BAF20",20/M1592,100)</f>
        <v/>
      </c>
      <c r="O1592" s="31">
        <f>M1592*N1592</f>
        <v/>
      </c>
      <c r="P1592" s="32">
        <f>0.0*N1592</f>
        <v/>
      </c>
    </row>
    <row r="1593">
      <c r="A1593" t="inlineStr">
        <is>
          <t>U4-13</t>
        </is>
      </c>
      <c r="B1593" t="n">
        <v>4</v>
      </c>
      <c r="C1593" t="n">
        <v>13</v>
      </c>
      <c r="D1593" t="inlineStr">
        <is>
          <t>FIX100</t>
        </is>
      </c>
      <c r="E1593" t="inlineStr">
        <is>
          <t>WF</t>
        </is>
      </c>
      <c r="F1593" t="n">
        <v>4.8</v>
      </c>
      <c r="G1593" t="n">
        <v>26</v>
      </c>
      <c r="H1593" t="n">
        <v>0</v>
      </c>
      <c r="I1593" t="inlineStr">
        <is>
          <t>L</t>
        </is>
      </c>
      <c r="J1593" t="inlineStr">
        <is>
          <t>S</t>
        </is>
      </c>
      <c r="K1593" t="inlineStr"/>
      <c r="L1593" t="inlineStr"/>
      <c r="M1593" s="30">
        <f>0.005454*F1593^2</f>
        <v/>
      </c>
      <c r="N1593" s="31">
        <f>IF(D1593="BAF20",20/M1593,100)</f>
        <v/>
      </c>
      <c r="O1593" s="31">
        <f>M1593*N1593</f>
        <v/>
      </c>
      <c r="P1593" s="32">
        <f>0.0*N1593</f>
        <v/>
      </c>
    </row>
    <row r="1594">
      <c r="A1594" t="inlineStr">
        <is>
          <t>U4-14</t>
        </is>
      </c>
      <c r="B1594" t="n">
        <v>4</v>
      </c>
      <c r="C1594" t="n">
        <v>1</v>
      </c>
      <c r="D1594" t="inlineStr">
        <is>
          <t>BAF20</t>
        </is>
      </c>
      <c r="E1594" t="inlineStr">
        <is>
          <t>DF</t>
        </is>
      </c>
      <c r="F1594" t="n">
        <v>20.7</v>
      </c>
      <c r="G1594" t="n">
        <v>94</v>
      </c>
      <c r="H1594" t="n">
        <v>3</v>
      </c>
      <c r="I1594" t="inlineStr">
        <is>
          <t>L</t>
        </is>
      </c>
      <c r="J1594" t="inlineStr">
        <is>
          <t>C</t>
        </is>
      </c>
      <c r="K1594" t="inlineStr"/>
      <c r="L1594" t="inlineStr"/>
      <c r="M1594" s="30">
        <f>0.005454*F1594^2</f>
        <v/>
      </c>
      <c r="N1594" s="31">
        <f>IF(D1594="BAF20",20/M1594,100)</f>
        <v/>
      </c>
      <c r="O1594" s="31">
        <f>M1594*N1594</f>
        <v/>
      </c>
      <c r="P1594" s="32">
        <f>383.6*N1594</f>
        <v/>
      </c>
    </row>
    <row r="1595">
      <c r="A1595" t="inlineStr">
        <is>
          <t>U4-14</t>
        </is>
      </c>
      <c r="B1595" t="n">
        <v>4</v>
      </c>
      <c r="C1595" t="n">
        <v>2</v>
      </c>
      <c r="D1595" t="inlineStr">
        <is>
          <t>BAF20</t>
        </is>
      </c>
      <c r="E1595" t="inlineStr">
        <is>
          <t>DF</t>
        </is>
      </c>
      <c r="F1595" t="n">
        <v>17.6</v>
      </c>
      <c r="G1595" t="n">
        <v>94</v>
      </c>
      <c r="H1595" t="n">
        <v>6</v>
      </c>
      <c r="I1595" t="inlineStr">
        <is>
          <t>L</t>
        </is>
      </c>
      <c r="J1595" t="inlineStr">
        <is>
          <t>I</t>
        </is>
      </c>
      <c r="K1595" t="inlineStr"/>
      <c r="L1595" t="inlineStr"/>
      <c r="M1595" s="30">
        <f>0.005454*F1595^2</f>
        <v/>
      </c>
      <c r="N1595" s="31">
        <f>IF(D1595="BAF20",20/M1595,100)</f>
        <v/>
      </c>
      <c r="O1595" s="31">
        <f>M1595*N1595</f>
        <v/>
      </c>
      <c r="P1595" s="32">
        <f>253.0*N1595</f>
        <v/>
      </c>
    </row>
    <row r="1596">
      <c r="A1596" t="inlineStr">
        <is>
          <t>U4-14</t>
        </is>
      </c>
      <c r="B1596" t="n">
        <v>4</v>
      </c>
      <c r="C1596" t="n">
        <v>3</v>
      </c>
      <c r="D1596" t="inlineStr">
        <is>
          <t>BAF20</t>
        </is>
      </c>
      <c r="E1596" t="inlineStr">
        <is>
          <t>WF</t>
        </is>
      </c>
      <c r="F1596" t="n">
        <v>18.7</v>
      </c>
      <c r="G1596" t="n">
        <v>93</v>
      </c>
      <c r="H1596" t="n">
        <v>7</v>
      </c>
      <c r="I1596" t="inlineStr">
        <is>
          <t>L</t>
        </is>
      </c>
      <c r="J1596" t="inlineStr">
        <is>
          <t>C</t>
        </is>
      </c>
      <c r="K1596" t="inlineStr"/>
      <c r="L1596" t="inlineStr"/>
      <c r="M1596" s="30">
        <f>0.005454*F1596^2</f>
        <v/>
      </c>
      <c r="N1596" s="31">
        <f>IF(D1596="BAF20",20/M1596,100)</f>
        <v/>
      </c>
      <c r="O1596" s="31">
        <f>M1596*N1596</f>
        <v/>
      </c>
      <c r="P1596" s="32">
        <f>285.8*N1596</f>
        <v/>
      </c>
    </row>
    <row r="1597">
      <c r="A1597" t="inlineStr">
        <is>
          <t>U4-14</t>
        </is>
      </c>
      <c r="B1597" t="n">
        <v>4</v>
      </c>
      <c r="C1597" t="n">
        <v>4</v>
      </c>
      <c r="D1597" t="inlineStr">
        <is>
          <t>BAF20</t>
        </is>
      </c>
      <c r="E1597" t="inlineStr">
        <is>
          <t>PP</t>
        </is>
      </c>
      <c r="F1597" t="n">
        <v>16.6</v>
      </c>
      <c r="G1597" t="n">
        <v>66</v>
      </c>
      <c r="H1597" t="n">
        <v>1</v>
      </c>
      <c r="I1597" t="inlineStr">
        <is>
          <t>L</t>
        </is>
      </c>
      <c r="J1597" t="inlineStr">
        <is>
          <t>I</t>
        </is>
      </c>
      <c r="K1597" t="inlineStr"/>
      <c r="L1597" t="inlineStr"/>
      <c r="M1597" s="30">
        <f>0.005454*F1597^2</f>
        <v/>
      </c>
      <c r="N1597" s="31">
        <f>IF(D1597="BAF20",20/M1597,100)</f>
        <v/>
      </c>
      <c r="O1597" s="31">
        <f>M1597*N1597</f>
        <v/>
      </c>
      <c r="P1597" s="32">
        <f>163.1*N1597</f>
        <v/>
      </c>
    </row>
    <row r="1598">
      <c r="A1598" t="inlineStr">
        <is>
          <t>U4-14</t>
        </is>
      </c>
      <c r="B1598" t="n">
        <v>4</v>
      </c>
      <c r="C1598" t="n">
        <v>5</v>
      </c>
      <c r="D1598" t="inlineStr">
        <is>
          <t>BAF20</t>
        </is>
      </c>
      <c r="E1598" t="inlineStr">
        <is>
          <t>WF</t>
        </is>
      </c>
      <c r="F1598" t="n">
        <v>46.1</v>
      </c>
      <c r="G1598" t="n">
        <v>137</v>
      </c>
      <c r="H1598" t="n">
        <v>2</v>
      </c>
      <c r="I1598" t="inlineStr">
        <is>
          <t>L</t>
        </is>
      </c>
      <c r="J1598" t="inlineStr">
        <is>
          <t>D</t>
        </is>
      </c>
      <c r="K1598" t="inlineStr"/>
      <c r="L1598" t="inlineStr"/>
      <c r="M1598" s="30">
        <f>0.005454*F1598^2</f>
        <v/>
      </c>
      <c r="N1598" s="31">
        <f>IF(D1598="BAF20",20/M1598,100)</f>
        <v/>
      </c>
      <c r="O1598" s="31">
        <f>M1598*N1598</f>
        <v/>
      </c>
      <c r="P1598" s="32">
        <f>3647.1*N1598</f>
        <v/>
      </c>
    </row>
    <row r="1599">
      <c r="A1599" t="inlineStr">
        <is>
          <t>U4-14</t>
        </is>
      </c>
      <c r="B1599" t="n">
        <v>4</v>
      </c>
      <c r="C1599" t="n">
        <v>6</v>
      </c>
      <c r="D1599" t="inlineStr">
        <is>
          <t>BAF20</t>
        </is>
      </c>
      <c r="E1599" t="inlineStr">
        <is>
          <t>WF</t>
        </is>
      </c>
      <c r="F1599" t="n">
        <v>28.7</v>
      </c>
      <c r="G1599" t="n">
        <v>119</v>
      </c>
      <c r="H1599" t="n">
        <v>6</v>
      </c>
      <c r="I1599" t="inlineStr">
        <is>
          <t>L</t>
        </is>
      </c>
      <c r="J1599" t="inlineStr">
        <is>
          <t>D</t>
        </is>
      </c>
      <c r="K1599" t="inlineStr"/>
      <c r="L1599" t="inlineStr"/>
      <c r="M1599" s="30">
        <f>0.005454*F1599^2</f>
        <v/>
      </c>
      <c r="N1599" s="31">
        <f>IF(D1599="BAF20",20/M1599,100)</f>
        <v/>
      </c>
      <c r="O1599" s="31">
        <f>M1599*N1599</f>
        <v/>
      </c>
      <c r="P1599" s="32">
        <f>1041.5*N1599</f>
        <v/>
      </c>
    </row>
    <row r="1600">
      <c r="A1600" t="inlineStr">
        <is>
          <t>U4-14</t>
        </is>
      </c>
      <c r="B1600" t="n">
        <v>4</v>
      </c>
      <c r="C1600" t="n">
        <v>7</v>
      </c>
      <c r="D1600" t="inlineStr">
        <is>
          <t>BAF20</t>
        </is>
      </c>
      <c r="E1600" t="inlineStr">
        <is>
          <t>DF</t>
        </is>
      </c>
      <c r="F1600" t="n">
        <v>22.9</v>
      </c>
      <c r="G1600" t="n">
        <v>110</v>
      </c>
      <c r="H1600" t="n">
        <v>4</v>
      </c>
      <c r="I1600" t="inlineStr">
        <is>
          <t>L</t>
        </is>
      </c>
      <c r="J1600" t="inlineStr">
        <is>
          <t>C</t>
        </is>
      </c>
      <c r="K1600" t="inlineStr"/>
      <c r="L1600" t="inlineStr"/>
      <c r="M1600" s="30">
        <f>0.005454*F1600^2</f>
        <v/>
      </c>
      <c r="N1600" s="31">
        <f>IF(D1600="BAF20",20/M1600,100)</f>
        <v/>
      </c>
      <c r="O1600" s="31">
        <f>M1600*N1600</f>
        <v/>
      </c>
      <c r="P1600" s="32">
        <f>566.4*N1600</f>
        <v/>
      </c>
    </row>
    <row r="1601">
      <c r="A1601" t="inlineStr">
        <is>
          <t>U4-14</t>
        </is>
      </c>
      <c r="B1601" t="n">
        <v>4</v>
      </c>
      <c r="C1601" t="n">
        <v>8</v>
      </c>
      <c r="D1601" t="inlineStr">
        <is>
          <t>BAF20</t>
        </is>
      </c>
      <c r="E1601" t="inlineStr">
        <is>
          <t>WF</t>
        </is>
      </c>
      <c r="F1601" t="n">
        <v>7.6</v>
      </c>
      <c r="G1601" t="n">
        <v>42</v>
      </c>
      <c r="H1601" t="n">
        <v>9</v>
      </c>
      <c r="I1601" t="inlineStr">
        <is>
          <t>L</t>
        </is>
      </c>
      <c r="J1601" t="inlineStr">
        <is>
          <t>S</t>
        </is>
      </c>
      <c r="K1601" t="inlineStr">
        <is>
          <t>Y</t>
        </is>
      </c>
      <c r="L1601" t="inlineStr"/>
      <c r="M1601" s="30">
        <f>0.005454*F1601^2</f>
        <v/>
      </c>
      <c r="N1601" s="31">
        <f>IF(D1601="BAF20",20/M1601,100)</f>
        <v/>
      </c>
      <c r="O1601" s="31">
        <f>M1601*N1601</f>
        <v/>
      </c>
      <c r="P1601" s="32">
        <f>0.0*N1601</f>
        <v/>
      </c>
    </row>
    <row r="1602">
      <c r="A1602" t="inlineStr">
        <is>
          <t>U4-14</t>
        </is>
      </c>
      <c r="B1602" t="n">
        <v>4</v>
      </c>
      <c r="C1602" t="n">
        <v>9</v>
      </c>
      <c r="D1602" t="inlineStr">
        <is>
          <t>BAF20</t>
        </is>
      </c>
      <c r="E1602" t="inlineStr">
        <is>
          <t>WF</t>
        </is>
      </c>
      <c r="F1602" t="n">
        <v>5</v>
      </c>
      <c r="G1602" t="n">
        <v>29</v>
      </c>
      <c r="H1602" t="n">
        <v>5</v>
      </c>
      <c r="I1602" t="inlineStr">
        <is>
          <t>L</t>
        </is>
      </c>
      <c r="J1602" t="inlineStr">
        <is>
          <t>S</t>
        </is>
      </c>
      <c r="K1602" t="inlineStr">
        <is>
          <t>Y</t>
        </is>
      </c>
      <c r="L1602" t="inlineStr"/>
      <c r="M1602" s="30">
        <f>0.005454*F1602^2</f>
        <v/>
      </c>
      <c r="N1602" s="31">
        <f>IF(D1602="BAF20",20/M1602,100)</f>
        <v/>
      </c>
      <c r="O1602" s="31">
        <f>M1602*N1602</f>
        <v/>
      </c>
      <c r="P1602" s="32">
        <f>0.0*N1602</f>
        <v/>
      </c>
    </row>
    <row r="1603">
      <c r="A1603" t="inlineStr">
        <is>
          <t>U4-14</t>
        </is>
      </c>
      <c r="B1603" t="n">
        <v>4</v>
      </c>
      <c r="C1603" t="n">
        <v>10</v>
      </c>
      <c r="D1603" t="inlineStr">
        <is>
          <t>BAF20</t>
        </is>
      </c>
      <c r="E1603" t="inlineStr">
        <is>
          <t>WF</t>
        </is>
      </c>
      <c r="F1603" t="n">
        <v>18.5</v>
      </c>
      <c r="G1603" t="n">
        <v>83</v>
      </c>
      <c r="H1603" t="n">
        <v>17</v>
      </c>
      <c r="I1603" t="inlineStr">
        <is>
          <t>L</t>
        </is>
      </c>
      <c r="J1603" t="inlineStr">
        <is>
          <t>C</t>
        </is>
      </c>
      <c r="K1603" t="inlineStr"/>
      <c r="L1603" t="inlineStr"/>
      <c r="M1603" s="30">
        <f>0.005454*F1603^2</f>
        <v/>
      </c>
      <c r="N1603" s="31">
        <f>IF(D1603="BAF20",20/M1603,100)</f>
        <v/>
      </c>
      <c r="O1603" s="31">
        <f>M1603*N1603</f>
        <v/>
      </c>
      <c r="P1603" s="32">
        <f>221.9*N1603</f>
        <v/>
      </c>
    </row>
    <row r="1604">
      <c r="A1604" t="inlineStr">
        <is>
          <t>U4-14</t>
        </is>
      </c>
      <c r="B1604" t="n">
        <v>4</v>
      </c>
      <c r="C1604" t="n">
        <v>11</v>
      </c>
      <c r="D1604" t="inlineStr">
        <is>
          <t>BAF20</t>
        </is>
      </c>
      <c r="E1604" t="inlineStr">
        <is>
          <t>DF</t>
        </is>
      </c>
      <c r="F1604" t="n">
        <v>28.6</v>
      </c>
      <c r="G1604" t="n">
        <v>121</v>
      </c>
      <c r="H1604" t="n">
        <v>10</v>
      </c>
      <c r="I1604" t="inlineStr">
        <is>
          <t>L</t>
        </is>
      </c>
      <c r="J1604" t="inlineStr">
        <is>
          <t>D</t>
        </is>
      </c>
      <c r="K1604" t="inlineStr"/>
      <c r="L1604" t="inlineStr"/>
      <c r="M1604" s="30">
        <f>0.005454*F1604^2</f>
        <v/>
      </c>
      <c r="N1604" s="31">
        <f>IF(D1604="BAF20",20/M1604,100)</f>
        <v/>
      </c>
      <c r="O1604" s="31">
        <f>M1604*N1604</f>
        <v/>
      </c>
      <c r="P1604" s="32">
        <f>1005.2*N1604</f>
        <v/>
      </c>
    </row>
    <row r="1605">
      <c r="A1605" t="inlineStr">
        <is>
          <t>U4-14</t>
        </is>
      </c>
      <c r="B1605" t="n">
        <v>4</v>
      </c>
      <c r="C1605" t="n">
        <v>12</v>
      </c>
      <c r="D1605" t="inlineStr">
        <is>
          <t>BAF20</t>
        </is>
      </c>
      <c r="E1605" t="inlineStr">
        <is>
          <t>PP</t>
        </is>
      </c>
      <c r="F1605" t="n">
        <v>16.5</v>
      </c>
      <c r="G1605" t="n">
        <v>76</v>
      </c>
      <c r="H1605" t="n">
        <v>2</v>
      </c>
      <c r="I1605" t="inlineStr">
        <is>
          <t>L</t>
        </is>
      </c>
      <c r="J1605" t="inlineStr">
        <is>
          <t>I</t>
        </is>
      </c>
      <c r="K1605" t="inlineStr"/>
      <c r="L1605" t="inlineStr"/>
      <c r="M1605" s="30">
        <f>0.005454*F1605^2</f>
        <v/>
      </c>
      <c r="N1605" s="31">
        <f>IF(D1605="BAF20",20/M1605,100)</f>
        <v/>
      </c>
      <c r="O1605" s="31">
        <f>M1605*N1605</f>
        <v/>
      </c>
      <c r="P1605" s="32">
        <f>183.3*N1605</f>
        <v/>
      </c>
    </row>
    <row r="1606">
      <c r="A1606" t="inlineStr">
        <is>
          <t>U4-14</t>
        </is>
      </c>
      <c r="B1606" t="n">
        <v>4</v>
      </c>
      <c r="C1606" t="n">
        <v>13</v>
      </c>
      <c r="D1606" t="inlineStr">
        <is>
          <t>BAF20</t>
        </is>
      </c>
      <c r="E1606" t="inlineStr">
        <is>
          <t>WF</t>
        </is>
      </c>
      <c r="F1606" t="n">
        <v>15.3</v>
      </c>
      <c r="G1606" t="n">
        <v>72</v>
      </c>
      <c r="H1606" t="n">
        <v>14</v>
      </c>
      <c r="I1606" t="inlineStr">
        <is>
          <t>L</t>
        </is>
      </c>
      <c r="J1606" t="inlineStr">
        <is>
          <t>I</t>
        </is>
      </c>
      <c r="K1606" t="inlineStr"/>
      <c r="L1606" t="inlineStr"/>
      <c r="M1606" s="30">
        <f>0.005454*F1606^2</f>
        <v/>
      </c>
      <c r="N1606" s="31">
        <f>IF(D1606="BAF20",20/M1606,100)</f>
        <v/>
      </c>
      <c r="O1606" s="31">
        <f>M1606*N1606</f>
        <v/>
      </c>
      <c r="P1606" s="32">
        <f>127.8*N1606</f>
        <v/>
      </c>
    </row>
    <row r="1607">
      <c r="A1607" t="inlineStr">
        <is>
          <t>U4-14</t>
        </is>
      </c>
      <c r="B1607" t="n">
        <v>4</v>
      </c>
      <c r="C1607" t="n">
        <v>14</v>
      </c>
      <c r="D1607" t="inlineStr">
        <is>
          <t>BAF20</t>
        </is>
      </c>
      <c r="E1607" t="inlineStr">
        <is>
          <t>IC</t>
        </is>
      </c>
      <c r="F1607" t="n">
        <v>6.6</v>
      </c>
      <c r="G1607" t="n">
        <v>30</v>
      </c>
      <c r="H1607" t="n">
        <v>8</v>
      </c>
      <c r="I1607" t="inlineStr">
        <is>
          <t>L</t>
        </is>
      </c>
      <c r="J1607" t="inlineStr">
        <is>
          <t>S</t>
        </is>
      </c>
      <c r="K1607" t="inlineStr">
        <is>
          <t>Y</t>
        </is>
      </c>
      <c r="L1607" t="inlineStr"/>
      <c r="M1607" s="30">
        <f>0.005454*F1607^2</f>
        <v/>
      </c>
      <c r="N1607" s="31">
        <f>IF(D1607="BAF20",20/M1607,100)</f>
        <v/>
      </c>
      <c r="O1607" s="31">
        <f>M1607*N1607</f>
        <v/>
      </c>
      <c r="P1607" s="32">
        <f>0.0*N1607</f>
        <v/>
      </c>
    </row>
    <row r="1608">
      <c r="A1608" t="inlineStr">
        <is>
          <t>U4-14</t>
        </is>
      </c>
      <c r="B1608" t="n">
        <v>4</v>
      </c>
      <c r="C1608" t="n">
        <v>15</v>
      </c>
      <c r="D1608" t="inlineStr">
        <is>
          <t>FIX100</t>
        </is>
      </c>
      <c r="E1608" t="inlineStr">
        <is>
          <t>PP</t>
        </is>
      </c>
      <c r="F1608" t="n">
        <v>4.7</v>
      </c>
      <c r="G1608" t="n">
        <v>24</v>
      </c>
      <c r="H1608" t="n">
        <v>0</v>
      </c>
      <c r="I1608" t="inlineStr">
        <is>
          <t>L</t>
        </is>
      </c>
      <c r="J1608" t="inlineStr">
        <is>
          <t>S</t>
        </is>
      </c>
      <c r="K1608" t="inlineStr"/>
      <c r="L1608" t="inlineStr"/>
      <c r="M1608" s="30">
        <f>0.005454*F1608^2</f>
        <v/>
      </c>
      <c r="N1608" s="31">
        <f>IF(D1608="BAF20",20/M1608,100)</f>
        <v/>
      </c>
      <c r="O1608" s="31">
        <f>M1608*N1608</f>
        <v/>
      </c>
      <c r="P1608" s="32">
        <f>0.0*N1608</f>
        <v/>
      </c>
    </row>
    <row r="1609">
      <c r="A1609" t="inlineStr">
        <is>
          <t>U4-14</t>
        </is>
      </c>
      <c r="B1609" t="n">
        <v>4</v>
      </c>
      <c r="C1609" t="n">
        <v>16</v>
      </c>
      <c r="D1609" t="inlineStr">
        <is>
          <t>FIX100</t>
        </is>
      </c>
      <c r="E1609" t="inlineStr">
        <is>
          <t>PP</t>
        </is>
      </c>
      <c r="F1609" t="n">
        <v>2.1</v>
      </c>
      <c r="G1609" t="n">
        <v>13</v>
      </c>
      <c r="H1609" t="n">
        <v>0</v>
      </c>
      <c r="I1609" t="inlineStr">
        <is>
          <t>L</t>
        </is>
      </c>
      <c r="J1609" t="inlineStr">
        <is>
          <t>S</t>
        </is>
      </c>
      <c r="K1609" t="inlineStr"/>
      <c r="L1609" t="inlineStr"/>
      <c r="M1609" s="30">
        <f>0.005454*F1609^2</f>
        <v/>
      </c>
      <c r="N1609" s="31">
        <f>IF(D1609="BAF20",20/M1609,100)</f>
        <v/>
      </c>
      <c r="O1609" s="31">
        <f>M1609*N1609</f>
        <v/>
      </c>
      <c r="P1609" s="32">
        <f>0.0*N1609</f>
        <v/>
      </c>
    </row>
    <row r="1610">
      <c r="A1610" t="inlineStr">
        <is>
          <t>U4-14</t>
        </is>
      </c>
      <c r="B1610" t="n">
        <v>4</v>
      </c>
      <c r="C1610" t="n">
        <v>17</v>
      </c>
      <c r="D1610" t="inlineStr">
        <is>
          <t>FIX100</t>
        </is>
      </c>
      <c r="E1610" t="inlineStr">
        <is>
          <t>WF</t>
        </is>
      </c>
      <c r="F1610" t="n">
        <v>2.4</v>
      </c>
      <c r="G1610" t="n">
        <v>15</v>
      </c>
      <c r="H1610" t="n">
        <v>0</v>
      </c>
      <c r="I1610" t="inlineStr">
        <is>
          <t>L</t>
        </is>
      </c>
      <c r="J1610" t="inlineStr">
        <is>
          <t>S</t>
        </is>
      </c>
      <c r="K1610" t="inlineStr"/>
      <c r="L1610" t="inlineStr"/>
      <c r="M1610" s="30">
        <f>0.005454*F1610^2</f>
        <v/>
      </c>
      <c r="N1610" s="31">
        <f>IF(D1610="BAF20",20/M1610,100)</f>
        <v/>
      </c>
      <c r="O1610" s="31">
        <f>M1610*N1610</f>
        <v/>
      </c>
      <c r="P1610" s="32">
        <f>0.0*N1610</f>
        <v/>
      </c>
    </row>
    <row r="1611">
      <c r="A1611" t="inlineStr">
        <is>
          <t>U5-01</t>
        </is>
      </c>
      <c r="B1611" t="n">
        <v>5</v>
      </c>
      <c r="C1611" t="n">
        <v>1</v>
      </c>
      <c r="D1611" t="inlineStr">
        <is>
          <t>BAF20</t>
        </is>
      </c>
      <c r="E1611" t="inlineStr">
        <is>
          <t>PP</t>
        </is>
      </c>
      <c r="F1611" t="n">
        <v>39.1</v>
      </c>
      <c r="G1611" t="n">
        <v>123</v>
      </c>
      <c r="H1611" t="n">
        <v>3</v>
      </c>
      <c r="I1611" t="inlineStr">
        <is>
          <t>L</t>
        </is>
      </c>
      <c r="J1611" t="inlineStr">
        <is>
          <t>D</t>
        </is>
      </c>
      <c r="K1611" t="inlineStr"/>
      <c r="L1611" t="inlineStr"/>
      <c r="M1611" s="30">
        <f>0.005454*F1611^2</f>
        <v/>
      </c>
      <c r="N1611" s="31">
        <f>IF(D1611="BAF20",20/M1611,100)</f>
        <v/>
      </c>
      <c r="O1611" s="31">
        <f>M1611*N1611</f>
        <v/>
      </c>
      <c r="P1611" s="32">
        <f>2331.5*N1611</f>
        <v/>
      </c>
    </row>
    <row r="1612">
      <c r="A1612" t="inlineStr">
        <is>
          <t>U5-01</t>
        </is>
      </c>
      <c r="B1612" t="n">
        <v>5</v>
      </c>
      <c r="C1612" t="n">
        <v>2</v>
      </c>
      <c r="D1612" t="inlineStr">
        <is>
          <t>BAF20</t>
        </is>
      </c>
      <c r="E1612" t="inlineStr">
        <is>
          <t>PP</t>
        </is>
      </c>
      <c r="F1612" t="n">
        <v>37.4</v>
      </c>
      <c r="G1612" t="n">
        <v>137</v>
      </c>
      <c r="H1612" t="n">
        <v>4</v>
      </c>
      <c r="I1612" t="inlineStr">
        <is>
          <t>L</t>
        </is>
      </c>
      <c r="J1612" t="inlineStr">
        <is>
          <t>D</t>
        </is>
      </c>
      <c r="K1612" t="inlineStr"/>
      <c r="L1612" t="inlineStr"/>
      <c r="M1612" s="30">
        <f>0.005454*F1612^2</f>
        <v/>
      </c>
      <c r="N1612" s="31">
        <f>IF(D1612="BAF20",20/M1612,100)</f>
        <v/>
      </c>
      <c r="O1612" s="31">
        <f>M1612*N1612</f>
        <v/>
      </c>
      <c r="P1612" s="32">
        <f>2351.4*N1612</f>
        <v/>
      </c>
    </row>
    <row r="1613">
      <c r="A1613" t="inlineStr">
        <is>
          <t>U5-01</t>
        </is>
      </c>
      <c r="B1613" t="n">
        <v>5</v>
      </c>
      <c r="C1613" t="n">
        <v>3</v>
      </c>
      <c r="D1613" t="inlineStr">
        <is>
          <t>BAF20</t>
        </is>
      </c>
      <c r="E1613" t="inlineStr">
        <is>
          <t>PP</t>
        </is>
      </c>
      <c r="F1613" t="n">
        <v>22.4</v>
      </c>
      <c r="G1613" t="n">
        <v>91</v>
      </c>
      <c r="H1613" t="n">
        <v>8</v>
      </c>
      <c r="I1613" t="inlineStr">
        <is>
          <t>L</t>
        </is>
      </c>
      <c r="J1613" t="inlineStr">
        <is>
          <t>I</t>
        </is>
      </c>
      <c r="K1613" t="inlineStr"/>
      <c r="L1613" t="inlineStr"/>
      <c r="M1613" s="30">
        <f>0.005454*F1613^2</f>
        <v/>
      </c>
      <c r="N1613" s="31">
        <f>IF(D1613="BAF20",20/M1613,100)</f>
        <v/>
      </c>
      <c r="O1613" s="31">
        <f>M1613*N1613</f>
        <v/>
      </c>
      <c r="P1613" s="32">
        <f>425.7*N1613</f>
        <v/>
      </c>
    </row>
    <row r="1614">
      <c r="A1614" t="inlineStr">
        <is>
          <t>U5-01</t>
        </is>
      </c>
      <c r="B1614" t="n">
        <v>5</v>
      </c>
      <c r="C1614" t="n">
        <v>4</v>
      </c>
      <c r="D1614" t="inlineStr">
        <is>
          <t>BAF20</t>
        </is>
      </c>
      <c r="E1614" t="inlineStr">
        <is>
          <t>PP</t>
        </is>
      </c>
      <c r="F1614" t="n">
        <v>32.5</v>
      </c>
      <c r="G1614" t="n">
        <v>116</v>
      </c>
      <c r="H1614" t="n">
        <v>1</v>
      </c>
      <c r="I1614" t="inlineStr">
        <is>
          <t>L</t>
        </is>
      </c>
      <c r="J1614" t="inlineStr">
        <is>
          <t>D</t>
        </is>
      </c>
      <c r="K1614" t="inlineStr"/>
      <c r="L1614" t="inlineStr"/>
      <c r="M1614" s="30">
        <f>0.005454*F1614^2</f>
        <v/>
      </c>
      <c r="N1614" s="31">
        <f>IF(D1614="BAF20",20/M1614,100)</f>
        <v/>
      </c>
      <c r="O1614" s="31">
        <f>M1614*N1614</f>
        <v/>
      </c>
      <c r="P1614" s="32">
        <f>1456.7*N1614</f>
        <v/>
      </c>
    </row>
    <row r="1615">
      <c r="A1615" t="inlineStr">
        <is>
          <t>U5-01</t>
        </is>
      </c>
      <c r="B1615" t="n">
        <v>5</v>
      </c>
      <c r="C1615" t="n">
        <v>5</v>
      </c>
      <c r="D1615" t="inlineStr">
        <is>
          <t>BAF20</t>
        </is>
      </c>
      <c r="E1615" t="inlineStr">
        <is>
          <t>IC</t>
        </is>
      </c>
      <c r="F1615" t="n">
        <v>26.8</v>
      </c>
      <c r="G1615" t="n">
        <v>81</v>
      </c>
      <c r="H1615" t="n">
        <v>1</v>
      </c>
      <c r="I1615" t="inlineStr">
        <is>
          <t>L</t>
        </is>
      </c>
      <c r="J1615" t="inlineStr">
        <is>
          <t>C</t>
        </is>
      </c>
      <c r="K1615" t="inlineStr">
        <is>
          <t>Y</t>
        </is>
      </c>
      <c r="L1615" t="inlineStr"/>
      <c r="M1615" s="30">
        <f>0.005454*F1615^2</f>
        <v/>
      </c>
      <c r="N1615" s="31">
        <f>IF(D1615="BAF20",20/M1615,100)</f>
        <v/>
      </c>
      <c r="O1615" s="31">
        <f>M1615*N1615</f>
        <v/>
      </c>
      <c r="P1615" s="32">
        <f>630.7*N1615</f>
        <v/>
      </c>
    </row>
    <row r="1616">
      <c r="A1616" t="inlineStr">
        <is>
          <t>U5-01</t>
        </is>
      </c>
      <c r="B1616" t="n">
        <v>5</v>
      </c>
      <c r="C1616" t="n">
        <v>6</v>
      </c>
      <c r="D1616" t="inlineStr">
        <is>
          <t>BAF20</t>
        </is>
      </c>
      <c r="E1616" t="inlineStr">
        <is>
          <t>PP</t>
        </is>
      </c>
      <c r="F1616" t="n">
        <v>9.300000000000001</v>
      </c>
      <c r="G1616" t="n">
        <v>44</v>
      </c>
      <c r="H1616" t="n">
        <v>6</v>
      </c>
      <c r="I1616" t="inlineStr">
        <is>
          <t>L</t>
        </is>
      </c>
      <c r="J1616" t="inlineStr">
        <is>
          <t>S</t>
        </is>
      </c>
      <c r="K1616" t="inlineStr"/>
      <c r="L1616" t="inlineStr"/>
      <c r="M1616" s="30">
        <f>0.005454*F1616^2</f>
        <v/>
      </c>
      <c r="N1616" s="31">
        <f>IF(D1616="BAF20",20/M1616,100)</f>
        <v/>
      </c>
      <c r="O1616" s="31">
        <f>M1616*N1616</f>
        <v/>
      </c>
      <c r="P1616" s="32">
        <f>0.0*N1616</f>
        <v/>
      </c>
    </row>
    <row r="1617">
      <c r="A1617" t="inlineStr">
        <is>
          <t>U5-01</t>
        </is>
      </c>
      <c r="B1617" t="n">
        <v>5</v>
      </c>
      <c r="C1617" t="n">
        <v>7</v>
      </c>
      <c r="D1617" t="inlineStr">
        <is>
          <t>FIX100</t>
        </is>
      </c>
      <c r="E1617" t="inlineStr">
        <is>
          <t>BO</t>
        </is>
      </c>
      <c r="F1617" t="n">
        <v>4.1</v>
      </c>
      <c r="G1617" t="n">
        <v>22</v>
      </c>
      <c r="H1617" t="n">
        <v>0</v>
      </c>
      <c r="I1617" t="inlineStr">
        <is>
          <t>L</t>
        </is>
      </c>
      <c r="J1617" t="inlineStr">
        <is>
          <t>S</t>
        </is>
      </c>
      <c r="K1617" t="inlineStr"/>
      <c r="L1617" t="inlineStr"/>
      <c r="M1617" s="30">
        <f>0.005454*F1617^2</f>
        <v/>
      </c>
      <c r="N1617" s="31">
        <f>IF(D1617="BAF20",20/M1617,100)</f>
        <v/>
      </c>
      <c r="O1617" s="31">
        <f>M1617*N1617</f>
        <v/>
      </c>
      <c r="P1617" s="32">
        <f>0.0*N1617</f>
        <v/>
      </c>
    </row>
    <row r="1618">
      <c r="A1618" t="inlineStr">
        <is>
          <t>U5-02</t>
        </is>
      </c>
      <c r="B1618" t="n">
        <v>5</v>
      </c>
      <c r="C1618" t="n">
        <v>1</v>
      </c>
      <c r="D1618" t="inlineStr">
        <is>
          <t>BAF20</t>
        </is>
      </c>
      <c r="E1618" t="inlineStr">
        <is>
          <t>BO</t>
        </is>
      </c>
      <c r="F1618" t="n">
        <v>21</v>
      </c>
      <c r="G1618" t="n">
        <v>60</v>
      </c>
      <c r="H1618" t="n">
        <v>10</v>
      </c>
      <c r="I1618" t="inlineStr">
        <is>
          <t>L</t>
        </is>
      </c>
      <c r="J1618" t="inlineStr">
        <is>
          <t>I</t>
        </is>
      </c>
      <c r="K1618" t="inlineStr"/>
      <c r="L1618" t="inlineStr"/>
      <c r="M1618" s="30">
        <f>0.005454*F1618^2</f>
        <v/>
      </c>
      <c r="N1618" s="31">
        <f>IF(D1618="BAF20",20/M1618,100)</f>
        <v/>
      </c>
      <c r="O1618" s="31">
        <f>M1618*N1618</f>
        <v/>
      </c>
      <c r="P1618" s="32">
        <f>212.8*N1618</f>
        <v/>
      </c>
    </row>
    <row r="1619">
      <c r="A1619" t="inlineStr">
        <is>
          <t>U5-02</t>
        </is>
      </c>
      <c r="B1619" t="n">
        <v>5</v>
      </c>
      <c r="C1619" t="n">
        <v>2</v>
      </c>
      <c r="D1619" t="inlineStr">
        <is>
          <t>BAF20</t>
        </is>
      </c>
      <c r="E1619" t="inlineStr">
        <is>
          <t>BO</t>
        </is>
      </c>
      <c r="F1619" t="n">
        <v>11</v>
      </c>
      <c r="G1619" t="n">
        <v>43</v>
      </c>
      <c r="H1619" t="n">
        <v>2</v>
      </c>
      <c r="I1619" t="inlineStr">
        <is>
          <t>L</t>
        </is>
      </c>
      <c r="J1619" t="inlineStr">
        <is>
          <t>S</t>
        </is>
      </c>
      <c r="K1619" t="inlineStr"/>
      <c r="L1619" t="inlineStr"/>
      <c r="M1619" s="30">
        <f>0.005454*F1619^2</f>
        <v/>
      </c>
      <c r="N1619" s="31">
        <f>IF(D1619="BAF20",20/M1619,100)</f>
        <v/>
      </c>
      <c r="O1619" s="31">
        <f>M1619*N1619</f>
        <v/>
      </c>
      <c r="P1619" s="32">
        <f>37.0*N1619</f>
        <v/>
      </c>
    </row>
    <row r="1620">
      <c r="A1620" t="inlineStr">
        <is>
          <t>U5-02</t>
        </is>
      </c>
      <c r="B1620" t="n">
        <v>5</v>
      </c>
      <c r="C1620" t="n">
        <v>3</v>
      </c>
      <c r="D1620" t="inlineStr">
        <is>
          <t>BAF20</t>
        </is>
      </c>
      <c r="E1620" t="inlineStr">
        <is>
          <t>DF</t>
        </is>
      </c>
      <c r="F1620" t="n">
        <v>15.7</v>
      </c>
      <c r="G1620" t="n">
        <v>80</v>
      </c>
      <c r="H1620" t="n">
        <v>4</v>
      </c>
      <c r="I1620" t="inlineStr">
        <is>
          <t>L</t>
        </is>
      </c>
      <c r="J1620" t="inlineStr">
        <is>
          <t>S</t>
        </is>
      </c>
      <c r="K1620" t="inlineStr"/>
      <c r="L1620" t="inlineStr"/>
      <c r="M1620" s="30">
        <f>0.005454*F1620^2</f>
        <v/>
      </c>
      <c r="N1620" s="31">
        <f>IF(D1620="BAF20",20/M1620,100)</f>
        <v/>
      </c>
      <c r="O1620" s="31">
        <f>M1620*N1620</f>
        <v/>
      </c>
      <c r="P1620" s="32">
        <f>168.3*N1620</f>
        <v/>
      </c>
    </row>
    <row r="1621">
      <c r="A1621" t="inlineStr">
        <is>
          <t>U5-02</t>
        </is>
      </c>
      <c r="B1621" t="n">
        <v>5</v>
      </c>
      <c r="C1621" t="n">
        <v>4</v>
      </c>
      <c r="D1621" t="inlineStr">
        <is>
          <t>BAF20</t>
        </is>
      </c>
      <c r="E1621" t="inlineStr">
        <is>
          <t>IC</t>
        </is>
      </c>
      <c r="F1621" t="n">
        <v>17.8</v>
      </c>
      <c r="G1621" t="n">
        <v>59</v>
      </c>
      <c r="H1621" t="n">
        <v>15</v>
      </c>
      <c r="I1621" t="inlineStr">
        <is>
          <t>L</t>
        </is>
      </c>
      <c r="J1621" t="inlineStr">
        <is>
          <t>I</t>
        </is>
      </c>
      <c r="K1621" t="inlineStr">
        <is>
          <t>Y</t>
        </is>
      </c>
      <c r="L1621" t="inlineStr"/>
      <c r="M1621" s="30">
        <f>0.005454*F1621^2</f>
        <v/>
      </c>
      <c r="N1621" s="31">
        <f>IF(D1621="BAF20",20/M1621,100)</f>
        <v/>
      </c>
      <c r="O1621" s="31">
        <f>M1621*N1621</f>
        <v/>
      </c>
      <c r="P1621" s="32">
        <f>147.5*N1621</f>
        <v/>
      </c>
    </row>
    <row r="1622">
      <c r="A1622" t="inlineStr">
        <is>
          <t>U5-02</t>
        </is>
      </c>
      <c r="B1622" t="n">
        <v>5</v>
      </c>
      <c r="C1622" t="n">
        <v>5</v>
      </c>
      <c r="D1622" t="inlineStr">
        <is>
          <t>BAF20</t>
        </is>
      </c>
      <c r="E1622" t="inlineStr">
        <is>
          <t>BO</t>
        </is>
      </c>
      <c r="F1622" t="n">
        <v>13.6</v>
      </c>
      <c r="G1622" t="n">
        <v>45</v>
      </c>
      <c r="H1622" t="n">
        <v>4</v>
      </c>
      <c r="I1622" t="inlineStr">
        <is>
          <t>L</t>
        </is>
      </c>
      <c r="J1622" t="inlineStr">
        <is>
          <t>S</t>
        </is>
      </c>
      <c r="K1622" t="inlineStr"/>
      <c r="L1622" t="inlineStr"/>
      <c r="M1622" s="30">
        <f>0.005454*F1622^2</f>
        <v/>
      </c>
      <c r="N1622" s="31">
        <f>IF(D1622="BAF20",20/M1622,100)</f>
        <v/>
      </c>
      <c r="O1622" s="31">
        <f>M1622*N1622</f>
        <v/>
      </c>
      <c r="P1622" s="32">
        <f>61.5*N1622</f>
        <v/>
      </c>
    </row>
    <row r="1623">
      <c r="A1623" t="inlineStr">
        <is>
          <t>U5-02</t>
        </is>
      </c>
      <c r="B1623" t="n">
        <v>5</v>
      </c>
      <c r="C1623" t="n">
        <v>6</v>
      </c>
      <c r="D1623" t="inlineStr">
        <is>
          <t>BAF20</t>
        </is>
      </c>
      <c r="E1623" t="inlineStr">
        <is>
          <t>PP</t>
        </is>
      </c>
      <c r="F1623" t="n">
        <v>5.6</v>
      </c>
      <c r="G1623" t="n">
        <v>29</v>
      </c>
      <c r="H1623" t="n">
        <v>100</v>
      </c>
      <c r="I1623" t="inlineStr">
        <is>
          <t>D</t>
        </is>
      </c>
      <c r="J1623" t="inlineStr">
        <is>
          <t>S</t>
        </is>
      </c>
      <c r="K1623" t="inlineStr"/>
      <c r="L1623" t="inlineStr"/>
      <c r="M1623" s="30">
        <f>0.005454*F1623^2</f>
        <v/>
      </c>
      <c r="N1623" s="31">
        <f>IF(D1623="BAF20",20/M1623,100)</f>
        <v/>
      </c>
      <c r="O1623" s="31">
        <f>M1623*N1623</f>
        <v/>
      </c>
      <c r="P1623" s="32">
        <f>0.0*N1623</f>
        <v/>
      </c>
    </row>
    <row r="1624">
      <c r="A1624" t="inlineStr">
        <is>
          <t>U5-02</t>
        </is>
      </c>
      <c r="B1624" t="n">
        <v>5</v>
      </c>
      <c r="C1624" t="n">
        <v>7</v>
      </c>
      <c r="D1624" t="inlineStr">
        <is>
          <t>BAF20</t>
        </is>
      </c>
      <c r="E1624" t="inlineStr">
        <is>
          <t>WF</t>
        </is>
      </c>
      <c r="F1624" t="n">
        <v>13.8</v>
      </c>
      <c r="G1624" t="n">
        <v>75</v>
      </c>
      <c r="H1624" t="n">
        <v>15</v>
      </c>
      <c r="I1624" t="inlineStr">
        <is>
          <t>L</t>
        </is>
      </c>
      <c r="J1624" t="inlineStr">
        <is>
          <t>S</t>
        </is>
      </c>
      <c r="K1624" t="inlineStr"/>
      <c r="L1624" t="inlineStr"/>
      <c r="M1624" s="30">
        <f>0.005454*F1624^2</f>
        <v/>
      </c>
      <c r="N1624" s="31">
        <f>IF(D1624="BAF20",20/M1624,100)</f>
        <v/>
      </c>
      <c r="O1624" s="31">
        <f>M1624*N1624</f>
        <v/>
      </c>
      <c r="P1624" s="32">
        <f>103.7*N1624</f>
        <v/>
      </c>
    </row>
    <row r="1625">
      <c r="A1625" t="inlineStr">
        <is>
          <t>U5-02</t>
        </is>
      </c>
      <c r="B1625" t="n">
        <v>5</v>
      </c>
      <c r="C1625" t="n">
        <v>8</v>
      </c>
      <c r="D1625" t="inlineStr">
        <is>
          <t>BAF20</t>
        </is>
      </c>
      <c r="E1625" t="inlineStr">
        <is>
          <t>IC</t>
        </is>
      </c>
      <c r="F1625" t="n">
        <v>29.8</v>
      </c>
      <c r="G1625" t="n">
        <v>90</v>
      </c>
      <c r="H1625" t="n">
        <v>3</v>
      </c>
      <c r="I1625" t="inlineStr">
        <is>
          <t>L</t>
        </is>
      </c>
      <c r="J1625" t="inlineStr">
        <is>
          <t>C</t>
        </is>
      </c>
      <c r="K1625" t="inlineStr"/>
      <c r="L1625" t="inlineStr"/>
      <c r="M1625" s="30">
        <f>0.005454*F1625^2</f>
        <v/>
      </c>
      <c r="N1625" s="31">
        <f>IF(D1625="BAF20",20/M1625,100)</f>
        <v/>
      </c>
      <c r="O1625" s="31">
        <f>M1625*N1625</f>
        <v/>
      </c>
      <c r="P1625" s="32">
        <f>892.2*N1625</f>
        <v/>
      </c>
    </row>
    <row r="1626">
      <c r="A1626" t="inlineStr">
        <is>
          <t>U5-02</t>
        </is>
      </c>
      <c r="B1626" t="n">
        <v>5</v>
      </c>
      <c r="C1626" t="n">
        <v>9</v>
      </c>
      <c r="D1626" t="inlineStr">
        <is>
          <t>BAF20</t>
        </is>
      </c>
      <c r="E1626" t="inlineStr">
        <is>
          <t>BO</t>
        </is>
      </c>
      <c r="F1626" t="n">
        <v>12.8</v>
      </c>
      <c r="G1626" t="n">
        <v>47</v>
      </c>
      <c r="H1626" t="n">
        <v>21</v>
      </c>
      <c r="I1626" t="inlineStr">
        <is>
          <t>L</t>
        </is>
      </c>
      <c r="J1626" t="inlineStr">
        <is>
          <t>S</t>
        </is>
      </c>
      <c r="K1626" t="inlineStr"/>
      <c r="L1626" t="inlineStr"/>
      <c r="M1626" s="30">
        <f>0.005454*F1626^2</f>
        <v/>
      </c>
      <c r="N1626" s="31">
        <f>IF(D1626="BAF20",20/M1626,100)</f>
        <v/>
      </c>
      <c r="O1626" s="31">
        <f>M1626*N1626</f>
        <v/>
      </c>
      <c r="P1626" s="32">
        <f>46.0*N1626</f>
        <v/>
      </c>
    </row>
    <row r="1627">
      <c r="A1627" t="inlineStr">
        <is>
          <t>U5-02</t>
        </is>
      </c>
      <c r="B1627" t="n">
        <v>5</v>
      </c>
      <c r="C1627" t="n">
        <v>10</v>
      </c>
      <c r="D1627" t="inlineStr">
        <is>
          <t>FIX100</t>
        </is>
      </c>
      <c r="E1627" t="inlineStr">
        <is>
          <t>BO</t>
        </is>
      </c>
      <c r="F1627" t="n">
        <v>2.2</v>
      </c>
      <c r="G1627" t="n">
        <v>11</v>
      </c>
      <c r="H1627" t="n">
        <v>0</v>
      </c>
      <c r="I1627" t="inlineStr">
        <is>
          <t>L</t>
        </is>
      </c>
      <c r="J1627" t="inlineStr">
        <is>
          <t>S</t>
        </is>
      </c>
      <c r="K1627" t="inlineStr"/>
      <c r="L1627" t="inlineStr"/>
      <c r="M1627" s="30">
        <f>0.005454*F1627^2</f>
        <v/>
      </c>
      <c r="N1627" s="31">
        <f>IF(D1627="BAF20",20/M1627,100)</f>
        <v/>
      </c>
      <c r="O1627" s="31">
        <f>M1627*N1627</f>
        <v/>
      </c>
      <c r="P1627" s="32">
        <f>0.0*N1627</f>
        <v/>
      </c>
    </row>
    <row r="1628">
      <c r="A1628" t="inlineStr">
        <is>
          <t>U5-02</t>
        </is>
      </c>
      <c r="B1628" t="n">
        <v>5</v>
      </c>
      <c r="C1628" t="n">
        <v>11</v>
      </c>
      <c r="D1628" t="inlineStr">
        <is>
          <t>FIX100</t>
        </is>
      </c>
      <c r="E1628" t="inlineStr">
        <is>
          <t>IC</t>
        </is>
      </c>
      <c r="F1628" t="n">
        <v>1.6</v>
      </c>
      <c r="G1628" t="n">
        <v>7</v>
      </c>
      <c r="H1628" t="n">
        <v>0</v>
      </c>
      <c r="I1628" t="inlineStr">
        <is>
          <t>L</t>
        </is>
      </c>
      <c r="J1628" t="inlineStr">
        <is>
          <t>S</t>
        </is>
      </c>
      <c r="K1628" t="inlineStr"/>
      <c r="L1628" t="inlineStr"/>
      <c r="M1628" s="30">
        <f>0.005454*F1628^2</f>
        <v/>
      </c>
      <c r="N1628" s="31">
        <f>IF(D1628="BAF20",20/M1628,100)</f>
        <v/>
      </c>
      <c r="O1628" s="31">
        <f>M1628*N1628</f>
        <v/>
      </c>
      <c r="P1628" s="32">
        <f>0.0*N1628</f>
        <v/>
      </c>
    </row>
    <row r="1629">
      <c r="A1629" t="inlineStr">
        <is>
          <t>U5-03</t>
        </is>
      </c>
      <c r="B1629" t="n">
        <v>5</v>
      </c>
      <c r="C1629" t="n">
        <v>1</v>
      </c>
      <c r="D1629" t="inlineStr">
        <is>
          <t>BAF20</t>
        </is>
      </c>
      <c r="E1629" t="inlineStr">
        <is>
          <t>SP</t>
        </is>
      </c>
      <c r="F1629" t="n">
        <v>45.8</v>
      </c>
      <c r="G1629" t="n">
        <v>148</v>
      </c>
      <c r="H1629" t="n">
        <v>22</v>
      </c>
      <c r="I1629" t="inlineStr">
        <is>
          <t>L</t>
        </is>
      </c>
      <c r="J1629" t="inlineStr">
        <is>
          <t>D</t>
        </is>
      </c>
      <c r="K1629" t="inlineStr"/>
      <c r="L1629" t="inlineStr"/>
      <c r="M1629" s="30">
        <f>0.005454*F1629^2</f>
        <v/>
      </c>
      <c r="N1629" s="31">
        <f>IF(D1629="BAF20",20/M1629,100)</f>
        <v/>
      </c>
      <c r="O1629" s="31">
        <f>M1629*N1629</f>
        <v/>
      </c>
      <c r="P1629" s="32">
        <f>3095.2*N1629</f>
        <v/>
      </c>
    </row>
    <row r="1630">
      <c r="A1630" t="inlineStr">
        <is>
          <t>U5-03</t>
        </is>
      </c>
      <c r="B1630" t="n">
        <v>5</v>
      </c>
      <c r="C1630" t="n">
        <v>2</v>
      </c>
      <c r="D1630" t="inlineStr">
        <is>
          <t>BAF20</t>
        </is>
      </c>
      <c r="E1630" t="inlineStr">
        <is>
          <t>WF</t>
        </is>
      </c>
      <c r="F1630" t="n">
        <v>40</v>
      </c>
      <c r="G1630" t="n">
        <v>130</v>
      </c>
      <c r="H1630" t="n">
        <v>8</v>
      </c>
      <c r="I1630" t="inlineStr">
        <is>
          <t>L</t>
        </is>
      </c>
      <c r="J1630" t="inlineStr">
        <is>
          <t>D</t>
        </is>
      </c>
      <c r="K1630" t="inlineStr"/>
      <c r="L1630" t="inlineStr"/>
      <c r="M1630" s="30">
        <f>0.005454*F1630^2</f>
        <v/>
      </c>
      <c r="N1630" s="31">
        <f>IF(D1630="BAF20",20/M1630,100)</f>
        <v/>
      </c>
      <c r="O1630" s="31">
        <f>M1630*N1630</f>
        <v/>
      </c>
      <c r="P1630" s="32">
        <f>2446.0*N1630</f>
        <v/>
      </c>
    </row>
    <row r="1631">
      <c r="A1631" t="inlineStr">
        <is>
          <t>U5-03</t>
        </is>
      </c>
      <c r="B1631" t="n">
        <v>5</v>
      </c>
      <c r="C1631" t="n">
        <v>3</v>
      </c>
      <c r="D1631" t="inlineStr">
        <is>
          <t>BAF20</t>
        </is>
      </c>
      <c r="E1631" t="inlineStr">
        <is>
          <t>WF</t>
        </is>
      </c>
      <c r="F1631" t="n">
        <v>9.699999999999999</v>
      </c>
      <c r="G1631" t="n">
        <v>42</v>
      </c>
      <c r="H1631" t="n">
        <v>12</v>
      </c>
      <c r="I1631" t="inlineStr">
        <is>
          <t>L</t>
        </is>
      </c>
      <c r="J1631" t="inlineStr">
        <is>
          <t>S</t>
        </is>
      </c>
      <c r="K1631" t="inlineStr"/>
      <c r="L1631" t="inlineStr"/>
      <c r="M1631" s="30">
        <f>0.005454*F1631^2</f>
        <v/>
      </c>
      <c r="N1631" s="31">
        <f>IF(D1631="BAF20",20/M1631,100)</f>
        <v/>
      </c>
      <c r="O1631" s="31">
        <f>M1631*N1631</f>
        <v/>
      </c>
      <c r="P1631" s="32">
        <f>0.0*N1631</f>
        <v/>
      </c>
    </row>
    <row r="1632">
      <c r="A1632" t="inlineStr">
        <is>
          <t>U5-03</t>
        </is>
      </c>
      <c r="B1632" t="n">
        <v>5</v>
      </c>
      <c r="C1632" t="n">
        <v>4</v>
      </c>
      <c r="D1632" t="inlineStr">
        <is>
          <t>BAF20</t>
        </is>
      </c>
      <c r="E1632" t="inlineStr">
        <is>
          <t>DF</t>
        </is>
      </c>
      <c r="F1632" t="n">
        <v>23.4</v>
      </c>
      <c r="G1632" t="n">
        <v>95</v>
      </c>
      <c r="H1632" t="n">
        <v>2</v>
      </c>
      <c r="I1632" t="inlineStr">
        <is>
          <t>L</t>
        </is>
      </c>
      <c r="J1632" t="inlineStr">
        <is>
          <t>I</t>
        </is>
      </c>
      <c r="K1632" t="inlineStr">
        <is>
          <t>Y</t>
        </is>
      </c>
      <c r="L1632" t="inlineStr"/>
      <c r="M1632" s="30">
        <f>0.005454*F1632^2</f>
        <v/>
      </c>
      <c r="N1632" s="31">
        <f>IF(D1632="BAF20",20/M1632,100)</f>
        <v/>
      </c>
      <c r="O1632" s="31">
        <f>M1632*N1632</f>
        <v/>
      </c>
      <c r="P1632" s="32">
        <f>526.1*N1632</f>
        <v/>
      </c>
    </row>
    <row r="1633">
      <c r="A1633" t="inlineStr">
        <is>
          <t>U5-03</t>
        </is>
      </c>
      <c r="B1633" t="n">
        <v>5</v>
      </c>
      <c r="C1633" t="n">
        <v>5</v>
      </c>
      <c r="D1633" t="inlineStr">
        <is>
          <t>BAF20</t>
        </is>
      </c>
      <c r="E1633" t="inlineStr">
        <is>
          <t>SP</t>
        </is>
      </c>
      <c r="F1633" t="n">
        <v>30.8</v>
      </c>
      <c r="G1633" t="n">
        <v>116</v>
      </c>
      <c r="H1633" t="n">
        <v>11</v>
      </c>
      <c r="I1633" t="inlineStr">
        <is>
          <t>L</t>
        </is>
      </c>
      <c r="J1633" t="inlineStr">
        <is>
          <t>C</t>
        </is>
      </c>
      <c r="K1633" t="inlineStr"/>
      <c r="L1633" t="inlineStr"/>
      <c r="M1633" s="30">
        <f>0.005454*F1633^2</f>
        <v/>
      </c>
      <c r="N1633" s="31">
        <f>IF(D1633="BAF20",20/M1633,100)</f>
        <v/>
      </c>
      <c r="O1633" s="31">
        <f>M1633*N1633</f>
        <v/>
      </c>
      <c r="P1633" s="32">
        <f>1145.2*N1633</f>
        <v/>
      </c>
    </row>
    <row r="1634">
      <c r="A1634" t="inlineStr">
        <is>
          <t>U5-03</t>
        </is>
      </c>
      <c r="B1634" t="n">
        <v>5</v>
      </c>
      <c r="C1634" t="n">
        <v>6</v>
      </c>
      <c r="D1634" t="inlineStr">
        <is>
          <t>BAF20</t>
        </is>
      </c>
      <c r="E1634" t="inlineStr">
        <is>
          <t>IC</t>
        </is>
      </c>
      <c r="F1634" t="n">
        <v>50.8</v>
      </c>
      <c r="G1634" t="n">
        <v>127</v>
      </c>
      <c r="H1634" t="n">
        <v>11</v>
      </c>
      <c r="I1634" t="inlineStr">
        <is>
          <t>L</t>
        </is>
      </c>
      <c r="J1634" t="inlineStr">
        <is>
          <t>D</t>
        </is>
      </c>
      <c r="K1634" t="inlineStr">
        <is>
          <t>Y</t>
        </is>
      </c>
      <c r="L1634" t="inlineStr"/>
      <c r="M1634" s="30">
        <f>0.005454*F1634^2</f>
        <v/>
      </c>
      <c r="N1634" s="31">
        <f>IF(D1634="BAF20",20/M1634,100)</f>
        <v/>
      </c>
      <c r="O1634" s="31">
        <f>M1634*N1634</f>
        <v/>
      </c>
      <c r="P1634" s="32">
        <f>3728.4*N1634</f>
        <v/>
      </c>
    </row>
    <row r="1635">
      <c r="A1635" t="inlineStr">
        <is>
          <t>U5-03</t>
        </is>
      </c>
      <c r="B1635" t="n">
        <v>5</v>
      </c>
      <c r="C1635" t="n">
        <v>7</v>
      </c>
      <c r="D1635" t="inlineStr">
        <is>
          <t>BAF20</t>
        </is>
      </c>
      <c r="E1635" t="inlineStr">
        <is>
          <t>WF</t>
        </is>
      </c>
      <c r="F1635" t="n">
        <v>20.3</v>
      </c>
      <c r="G1635" t="n">
        <v>87</v>
      </c>
      <c r="H1635" t="n">
        <v>7</v>
      </c>
      <c r="I1635" t="inlineStr">
        <is>
          <t>L</t>
        </is>
      </c>
      <c r="J1635" t="inlineStr">
        <is>
          <t>I</t>
        </is>
      </c>
      <c r="K1635" t="inlineStr">
        <is>
          <t>Y</t>
        </is>
      </c>
      <c r="L1635" t="inlineStr"/>
      <c r="M1635" s="30">
        <f>0.005454*F1635^2</f>
        <v/>
      </c>
      <c r="N1635" s="31">
        <f>IF(D1635="BAF20",20/M1635,100)</f>
        <v/>
      </c>
      <c r="O1635" s="31">
        <f>M1635*N1635</f>
        <v/>
      </c>
      <c r="P1635" s="32">
        <f>324.9*N1635</f>
        <v/>
      </c>
    </row>
    <row r="1636">
      <c r="A1636" t="inlineStr">
        <is>
          <t>U5-03</t>
        </is>
      </c>
      <c r="B1636" t="n">
        <v>5</v>
      </c>
      <c r="C1636" t="n">
        <v>8</v>
      </c>
      <c r="D1636" t="inlineStr">
        <is>
          <t>BAF20</t>
        </is>
      </c>
      <c r="E1636" t="inlineStr">
        <is>
          <t>IC</t>
        </is>
      </c>
      <c r="F1636" t="n">
        <v>18.6</v>
      </c>
      <c r="G1636" t="n">
        <v>69</v>
      </c>
      <c r="H1636" t="n">
        <v>13</v>
      </c>
      <c r="I1636" t="inlineStr">
        <is>
          <t>L</t>
        </is>
      </c>
      <c r="J1636" t="inlineStr">
        <is>
          <t>I</t>
        </is>
      </c>
      <c r="K1636" t="inlineStr"/>
      <c r="L1636" t="inlineStr"/>
      <c r="M1636" s="30">
        <f>0.005454*F1636^2</f>
        <v/>
      </c>
      <c r="N1636" s="31">
        <f>IF(D1636="BAF20",20/M1636,100)</f>
        <v/>
      </c>
      <c r="O1636" s="31">
        <f>M1636*N1636</f>
        <v/>
      </c>
      <c r="P1636" s="32">
        <f>195.8*N1636</f>
        <v/>
      </c>
    </row>
    <row r="1637">
      <c r="A1637" t="inlineStr">
        <is>
          <t>U5-03</t>
        </is>
      </c>
      <c r="B1637" t="n">
        <v>5</v>
      </c>
      <c r="C1637" t="n">
        <v>9</v>
      </c>
      <c r="D1637" t="inlineStr">
        <is>
          <t>BAF20</t>
        </is>
      </c>
      <c r="E1637" t="inlineStr">
        <is>
          <t>PP</t>
        </is>
      </c>
      <c r="F1637" t="n">
        <v>19.9</v>
      </c>
      <c r="G1637" t="n">
        <v>79</v>
      </c>
      <c r="H1637" t="n">
        <v>1</v>
      </c>
      <c r="I1637" t="inlineStr">
        <is>
          <t>L</t>
        </is>
      </c>
      <c r="J1637" t="inlineStr">
        <is>
          <t>I</t>
        </is>
      </c>
      <c r="K1637" t="inlineStr"/>
      <c r="L1637" t="inlineStr"/>
      <c r="M1637" s="30">
        <f>0.005454*F1637^2</f>
        <v/>
      </c>
      <c r="N1637" s="31">
        <f>IF(D1637="BAF20",20/M1637,100)</f>
        <v/>
      </c>
      <c r="O1637" s="31">
        <f>M1637*N1637</f>
        <v/>
      </c>
      <c r="P1637" s="32">
        <f>299.5*N1637</f>
        <v/>
      </c>
    </row>
    <row r="1638">
      <c r="A1638" t="inlineStr">
        <is>
          <t>U5-03</t>
        </is>
      </c>
      <c r="B1638" t="n">
        <v>5</v>
      </c>
      <c r="C1638" t="n">
        <v>10</v>
      </c>
      <c r="D1638" t="inlineStr">
        <is>
          <t>BAF20</t>
        </is>
      </c>
      <c r="E1638" t="inlineStr">
        <is>
          <t>WF</t>
        </is>
      </c>
      <c r="F1638" t="n">
        <v>19.6</v>
      </c>
      <c r="G1638" t="n">
        <v>87</v>
      </c>
      <c r="H1638" t="n">
        <v>17</v>
      </c>
      <c r="I1638" t="inlineStr">
        <is>
          <t>L</t>
        </is>
      </c>
      <c r="J1638" t="inlineStr">
        <is>
          <t>I</t>
        </is>
      </c>
      <c r="K1638" t="inlineStr"/>
      <c r="L1638" t="inlineStr"/>
      <c r="M1638" s="30">
        <f>0.005454*F1638^2</f>
        <v/>
      </c>
      <c r="N1638" s="31">
        <f>IF(D1638="BAF20",20/M1638,100)</f>
        <v/>
      </c>
      <c r="O1638" s="31">
        <f>M1638*N1638</f>
        <v/>
      </c>
      <c r="P1638" s="32">
        <f>266.7*N1638</f>
        <v/>
      </c>
    </row>
    <row r="1639">
      <c r="A1639" t="inlineStr">
        <is>
          <t>U5-03</t>
        </is>
      </c>
      <c r="B1639" t="n">
        <v>5</v>
      </c>
      <c r="C1639" t="n">
        <v>11</v>
      </c>
      <c r="D1639" t="inlineStr">
        <is>
          <t>BAF20</t>
        </is>
      </c>
      <c r="E1639" t="inlineStr">
        <is>
          <t>PP</t>
        </is>
      </c>
      <c r="F1639" t="n">
        <v>9.5</v>
      </c>
      <c r="G1639" t="n">
        <v>46</v>
      </c>
      <c r="H1639" t="n">
        <v>3</v>
      </c>
      <c r="I1639" t="inlineStr">
        <is>
          <t>L</t>
        </is>
      </c>
      <c r="J1639" t="inlineStr">
        <is>
          <t>S</t>
        </is>
      </c>
      <c r="K1639" t="inlineStr"/>
      <c r="L1639" t="inlineStr"/>
      <c r="M1639" s="30">
        <f>0.005454*F1639^2</f>
        <v/>
      </c>
      <c r="N1639" s="31">
        <f>IF(D1639="BAF20",20/M1639,100)</f>
        <v/>
      </c>
      <c r="O1639" s="31">
        <f>M1639*N1639</f>
        <v/>
      </c>
      <c r="P1639" s="32">
        <f>0.0*N1639</f>
        <v/>
      </c>
    </row>
    <row r="1640">
      <c r="A1640" t="inlineStr">
        <is>
          <t>U5-03</t>
        </is>
      </c>
      <c r="B1640" t="n">
        <v>5</v>
      </c>
      <c r="C1640" t="n">
        <v>12</v>
      </c>
      <c r="D1640" t="inlineStr">
        <is>
          <t>BAF20</t>
        </is>
      </c>
      <c r="E1640" t="inlineStr">
        <is>
          <t>DF</t>
        </is>
      </c>
      <c r="F1640" t="n">
        <v>18.8</v>
      </c>
      <c r="G1640" t="n">
        <v>87</v>
      </c>
      <c r="H1640" t="n">
        <v>3</v>
      </c>
      <c r="I1640" t="inlineStr">
        <is>
          <t>L</t>
        </is>
      </c>
      <c r="J1640" t="inlineStr">
        <is>
          <t>I</t>
        </is>
      </c>
      <c r="K1640" t="inlineStr"/>
      <c r="L1640" t="inlineStr"/>
      <c r="M1640" s="30">
        <f>0.005454*F1640^2</f>
        <v/>
      </c>
      <c r="N1640" s="31">
        <f>IF(D1640="BAF20",20/M1640,100)</f>
        <v/>
      </c>
      <c r="O1640" s="31">
        <f>M1640*N1640</f>
        <v/>
      </c>
      <c r="P1640" s="32">
        <f>282.4*N1640</f>
        <v/>
      </c>
    </row>
    <row r="1641">
      <c r="A1641" t="inlineStr">
        <is>
          <t>U5-03</t>
        </is>
      </c>
      <c r="B1641" t="n">
        <v>5</v>
      </c>
      <c r="C1641" t="n">
        <v>13</v>
      </c>
      <c r="D1641" t="inlineStr">
        <is>
          <t>BAF20</t>
        </is>
      </c>
      <c r="E1641" t="inlineStr">
        <is>
          <t>PP</t>
        </is>
      </c>
      <c r="F1641" t="n">
        <v>12</v>
      </c>
      <c r="G1641" t="n">
        <v>54</v>
      </c>
      <c r="H1641" t="n">
        <v>3</v>
      </c>
      <c r="I1641" t="inlineStr">
        <is>
          <t>L</t>
        </is>
      </c>
      <c r="J1641" t="inlineStr">
        <is>
          <t>S</t>
        </is>
      </c>
      <c r="K1641" t="inlineStr"/>
      <c r="L1641" t="inlineStr"/>
      <c r="M1641" s="30">
        <f>0.005454*F1641^2</f>
        <v/>
      </c>
      <c r="N1641" s="31">
        <f>IF(D1641="BAF20",20/M1641,100)</f>
        <v/>
      </c>
      <c r="O1641" s="31">
        <f>M1641*N1641</f>
        <v/>
      </c>
      <c r="P1641" s="32">
        <f>61.9*N1641</f>
        <v/>
      </c>
    </row>
    <row r="1642">
      <c r="A1642" t="inlineStr">
        <is>
          <t>U5-03</t>
        </is>
      </c>
      <c r="B1642" t="n">
        <v>5</v>
      </c>
      <c r="C1642" t="n">
        <v>14</v>
      </c>
      <c r="D1642" t="inlineStr">
        <is>
          <t>BAF20</t>
        </is>
      </c>
      <c r="E1642" t="inlineStr">
        <is>
          <t>PP</t>
        </is>
      </c>
      <c r="F1642" t="n">
        <v>14.4</v>
      </c>
      <c r="G1642" t="n">
        <v>62</v>
      </c>
      <c r="H1642" t="n">
        <v>3</v>
      </c>
      <c r="I1642" t="inlineStr">
        <is>
          <t>L</t>
        </is>
      </c>
      <c r="J1642" t="inlineStr">
        <is>
          <t>S</t>
        </is>
      </c>
      <c r="K1642" t="inlineStr"/>
      <c r="L1642" t="inlineStr"/>
      <c r="M1642" s="30">
        <f>0.005454*F1642^2</f>
        <v/>
      </c>
      <c r="N1642" s="31">
        <f>IF(D1642="BAF20",20/M1642,100)</f>
        <v/>
      </c>
      <c r="O1642" s="31">
        <f>M1642*N1642</f>
        <v/>
      </c>
      <c r="P1642" s="32">
        <f>107.9*N1642</f>
        <v/>
      </c>
    </row>
    <row r="1643">
      <c r="A1643" t="inlineStr">
        <is>
          <t>U5-03</t>
        </is>
      </c>
      <c r="B1643" t="n">
        <v>5</v>
      </c>
      <c r="C1643" t="n">
        <v>15</v>
      </c>
      <c r="D1643" t="inlineStr">
        <is>
          <t>BAF20</t>
        </is>
      </c>
      <c r="E1643" t="inlineStr">
        <is>
          <t>DF</t>
        </is>
      </c>
      <c r="F1643" t="n">
        <v>12</v>
      </c>
      <c r="G1643" t="n">
        <v>63</v>
      </c>
      <c r="H1643" t="n">
        <v>7</v>
      </c>
      <c r="I1643" t="inlineStr">
        <is>
          <t>L</t>
        </is>
      </c>
      <c r="J1643" t="inlineStr">
        <is>
          <t>S</t>
        </is>
      </c>
      <c r="K1643" t="inlineStr">
        <is>
          <t>Y</t>
        </is>
      </c>
      <c r="L1643" t="inlineStr"/>
      <c r="M1643" s="30">
        <f>0.005454*F1643^2</f>
        <v/>
      </c>
      <c r="N1643" s="31">
        <f>IF(D1643="BAF20",20/M1643,100)</f>
        <v/>
      </c>
      <c r="O1643" s="31">
        <f>M1643*N1643</f>
        <v/>
      </c>
      <c r="P1643" s="32">
        <f>69.2*N1643</f>
        <v/>
      </c>
    </row>
    <row r="1644">
      <c r="A1644" t="inlineStr">
        <is>
          <t>U5-03</t>
        </is>
      </c>
      <c r="B1644" t="n">
        <v>5</v>
      </c>
      <c r="C1644" t="n">
        <v>16</v>
      </c>
      <c r="D1644" t="inlineStr">
        <is>
          <t>BAF20</t>
        </is>
      </c>
      <c r="E1644" t="inlineStr">
        <is>
          <t>PP</t>
        </is>
      </c>
      <c r="F1644" t="n">
        <v>28</v>
      </c>
      <c r="G1644" t="n">
        <v>111</v>
      </c>
      <c r="H1644" t="n">
        <v>6</v>
      </c>
      <c r="I1644" t="inlineStr">
        <is>
          <t>L</t>
        </is>
      </c>
      <c r="J1644" t="inlineStr">
        <is>
          <t>C</t>
        </is>
      </c>
      <c r="K1644" t="inlineStr"/>
      <c r="L1644" t="inlineStr"/>
      <c r="M1644" s="30">
        <f>0.005454*F1644^2</f>
        <v/>
      </c>
      <c r="N1644" s="31">
        <f>IF(D1644="BAF20",20/M1644,100)</f>
        <v/>
      </c>
      <c r="O1644" s="31">
        <f>M1644*N1644</f>
        <v/>
      </c>
      <c r="P1644" s="32">
        <f>914.1*N1644</f>
        <v/>
      </c>
    </row>
    <row r="1645">
      <c r="A1645" t="inlineStr">
        <is>
          <t>U5-03</t>
        </is>
      </c>
      <c r="B1645" t="n">
        <v>5</v>
      </c>
      <c r="C1645" t="n">
        <v>17</v>
      </c>
      <c r="D1645" t="inlineStr">
        <is>
          <t>FIX100</t>
        </is>
      </c>
      <c r="E1645" t="inlineStr">
        <is>
          <t>WF</t>
        </is>
      </c>
      <c r="F1645" t="n">
        <v>3.3</v>
      </c>
      <c r="G1645" t="n">
        <v>20</v>
      </c>
      <c r="H1645" t="n">
        <v>0</v>
      </c>
      <c r="I1645" t="inlineStr">
        <is>
          <t>L</t>
        </is>
      </c>
      <c r="J1645" t="inlineStr">
        <is>
          <t>S</t>
        </is>
      </c>
      <c r="K1645" t="inlineStr"/>
      <c r="L1645" t="inlineStr"/>
      <c r="M1645" s="30">
        <f>0.005454*F1645^2</f>
        <v/>
      </c>
      <c r="N1645" s="31">
        <f>IF(D1645="BAF20",20/M1645,100)</f>
        <v/>
      </c>
      <c r="O1645" s="31">
        <f>M1645*N1645</f>
        <v/>
      </c>
      <c r="P1645" s="32">
        <f>0.0*N1645</f>
        <v/>
      </c>
    </row>
    <row r="1646">
      <c r="A1646" t="inlineStr">
        <is>
          <t>U5-03</t>
        </is>
      </c>
      <c r="B1646" t="n">
        <v>5</v>
      </c>
      <c r="C1646" t="n">
        <v>18</v>
      </c>
      <c r="D1646" t="inlineStr">
        <is>
          <t>FIX100</t>
        </is>
      </c>
      <c r="E1646" t="inlineStr">
        <is>
          <t>IC</t>
        </is>
      </c>
      <c r="F1646" t="n">
        <v>3.7</v>
      </c>
      <c r="G1646" t="n">
        <v>19</v>
      </c>
      <c r="H1646" t="n">
        <v>0</v>
      </c>
      <c r="I1646" t="inlineStr">
        <is>
          <t>L</t>
        </is>
      </c>
      <c r="J1646" t="inlineStr">
        <is>
          <t>S</t>
        </is>
      </c>
      <c r="K1646" t="inlineStr"/>
      <c r="L1646" t="inlineStr"/>
      <c r="M1646" s="30">
        <f>0.005454*F1646^2</f>
        <v/>
      </c>
      <c r="N1646" s="31">
        <f>IF(D1646="BAF20",20/M1646,100)</f>
        <v/>
      </c>
      <c r="O1646" s="31">
        <f>M1646*N1646</f>
        <v/>
      </c>
      <c r="P1646" s="32">
        <f>0.0*N1646</f>
        <v/>
      </c>
    </row>
    <row r="1647">
      <c r="A1647" t="inlineStr">
        <is>
          <t>U5-04</t>
        </is>
      </c>
      <c r="B1647" t="n">
        <v>5</v>
      </c>
      <c r="C1647" t="n">
        <v>1</v>
      </c>
      <c r="D1647" t="inlineStr">
        <is>
          <t>BAF20</t>
        </is>
      </c>
      <c r="E1647" t="inlineStr">
        <is>
          <t>PP</t>
        </is>
      </c>
      <c r="F1647" t="n">
        <v>16.6</v>
      </c>
      <c r="G1647" t="n">
        <v>65</v>
      </c>
      <c r="H1647" t="n">
        <v>2</v>
      </c>
      <c r="I1647" t="inlineStr">
        <is>
          <t>L</t>
        </is>
      </c>
      <c r="J1647" t="inlineStr">
        <is>
          <t>S</t>
        </is>
      </c>
      <c r="K1647" t="inlineStr"/>
      <c r="L1647" t="inlineStr"/>
      <c r="M1647" s="30">
        <f>0.005454*F1647^2</f>
        <v/>
      </c>
      <c r="N1647" s="31">
        <f>IF(D1647="BAF20",20/M1647,100)</f>
        <v/>
      </c>
      <c r="O1647" s="31">
        <f>M1647*N1647</f>
        <v/>
      </c>
      <c r="P1647" s="32">
        <f>159.0*N1647</f>
        <v/>
      </c>
    </row>
    <row r="1648">
      <c r="A1648" t="inlineStr">
        <is>
          <t>U5-04</t>
        </is>
      </c>
      <c r="B1648" t="n">
        <v>5</v>
      </c>
      <c r="C1648" t="n">
        <v>2</v>
      </c>
      <c r="D1648" t="inlineStr">
        <is>
          <t>BAF20</t>
        </is>
      </c>
      <c r="E1648" t="inlineStr">
        <is>
          <t>DF</t>
        </is>
      </c>
      <c r="F1648" t="n">
        <v>10.3</v>
      </c>
      <c r="G1648" t="n">
        <v>53</v>
      </c>
      <c r="H1648" t="n">
        <v>0</v>
      </c>
      <c r="I1648" t="inlineStr">
        <is>
          <t>L</t>
        </is>
      </c>
      <c r="J1648" t="inlineStr">
        <is>
          <t>S</t>
        </is>
      </c>
      <c r="K1648" t="inlineStr"/>
      <c r="L1648" t="inlineStr"/>
      <c r="M1648" s="30">
        <f>0.005454*F1648^2</f>
        <v/>
      </c>
      <c r="N1648" s="31">
        <f>IF(D1648="BAF20",20/M1648,100)</f>
        <v/>
      </c>
      <c r="O1648" s="31">
        <f>M1648*N1648</f>
        <v/>
      </c>
      <c r="P1648" s="32">
        <f>44.4*N1648</f>
        <v/>
      </c>
    </row>
    <row r="1649">
      <c r="A1649" t="inlineStr">
        <is>
          <t>U5-04</t>
        </is>
      </c>
      <c r="B1649" t="n">
        <v>5</v>
      </c>
      <c r="C1649" t="n">
        <v>3</v>
      </c>
      <c r="D1649" t="inlineStr">
        <is>
          <t>BAF20</t>
        </is>
      </c>
      <c r="E1649" t="inlineStr">
        <is>
          <t>PP</t>
        </is>
      </c>
      <c r="F1649" t="n">
        <v>22.2</v>
      </c>
      <c r="G1649" t="n">
        <v>91</v>
      </c>
      <c r="H1649" t="n">
        <v>3</v>
      </c>
      <c r="I1649" t="inlineStr">
        <is>
          <t>L</t>
        </is>
      </c>
      <c r="J1649" t="inlineStr">
        <is>
          <t>I</t>
        </is>
      </c>
      <c r="K1649" t="inlineStr"/>
      <c r="L1649" t="inlineStr"/>
      <c r="M1649" s="30">
        <f>0.005454*F1649^2</f>
        <v/>
      </c>
      <c r="N1649" s="31">
        <f>IF(D1649="BAF20",20/M1649,100)</f>
        <v/>
      </c>
      <c r="O1649" s="31">
        <f>M1649*N1649</f>
        <v/>
      </c>
      <c r="P1649" s="32">
        <f>439.3*N1649</f>
        <v/>
      </c>
    </row>
    <row r="1650">
      <c r="A1650" t="inlineStr">
        <is>
          <t>U5-04</t>
        </is>
      </c>
      <c r="B1650" t="n">
        <v>5</v>
      </c>
      <c r="C1650" t="n">
        <v>4</v>
      </c>
      <c r="D1650" t="inlineStr">
        <is>
          <t>BAF20</t>
        </is>
      </c>
      <c r="E1650" t="inlineStr">
        <is>
          <t>PP</t>
        </is>
      </c>
      <c r="F1650" t="n">
        <v>32.9</v>
      </c>
      <c r="G1650" t="n">
        <v>120</v>
      </c>
      <c r="H1650" t="n">
        <v>3</v>
      </c>
      <c r="I1650" t="inlineStr">
        <is>
          <t>L</t>
        </is>
      </c>
      <c r="J1650" t="inlineStr">
        <is>
          <t>D</t>
        </is>
      </c>
      <c r="K1650" t="inlineStr">
        <is>
          <t>Y</t>
        </is>
      </c>
      <c r="L1650" t="inlineStr"/>
      <c r="M1650" s="30">
        <f>0.005454*F1650^2</f>
        <v/>
      </c>
      <c r="N1650" s="31">
        <f>IF(D1650="BAF20",20/M1650,100)</f>
        <v/>
      </c>
      <c r="O1650" s="31">
        <f>M1650*N1650</f>
        <v/>
      </c>
      <c r="P1650" s="32">
        <f>1522.4*N1650</f>
        <v/>
      </c>
    </row>
    <row r="1651">
      <c r="A1651" t="inlineStr">
        <is>
          <t>U5-04</t>
        </is>
      </c>
      <c r="B1651" t="n">
        <v>5</v>
      </c>
      <c r="C1651" t="n">
        <v>5</v>
      </c>
      <c r="D1651" t="inlineStr">
        <is>
          <t>BAF20</t>
        </is>
      </c>
      <c r="E1651" t="inlineStr">
        <is>
          <t>IC</t>
        </is>
      </c>
      <c r="F1651" t="n">
        <v>5.2</v>
      </c>
      <c r="G1651" t="n">
        <v>25</v>
      </c>
      <c r="H1651" t="n">
        <v>4</v>
      </c>
      <c r="I1651" t="inlineStr">
        <is>
          <t>L</t>
        </is>
      </c>
      <c r="J1651" t="inlineStr">
        <is>
          <t>S</t>
        </is>
      </c>
      <c r="K1651" t="inlineStr"/>
      <c r="L1651" t="inlineStr"/>
      <c r="M1651" s="30">
        <f>0.005454*F1651^2</f>
        <v/>
      </c>
      <c r="N1651" s="31">
        <f>IF(D1651="BAF20",20/M1651,100)</f>
        <v/>
      </c>
      <c r="O1651" s="31">
        <f>M1651*N1651</f>
        <v/>
      </c>
      <c r="P1651" s="32">
        <f>0.0*N1651</f>
        <v/>
      </c>
    </row>
    <row r="1652">
      <c r="A1652" t="inlineStr">
        <is>
          <t>U5-04</t>
        </is>
      </c>
      <c r="B1652" t="n">
        <v>5</v>
      </c>
      <c r="C1652" t="n">
        <v>6</v>
      </c>
      <c r="D1652" t="inlineStr">
        <is>
          <t>BAF20</t>
        </is>
      </c>
      <c r="E1652" t="inlineStr">
        <is>
          <t>BO</t>
        </is>
      </c>
      <c r="F1652" t="n">
        <v>7.7</v>
      </c>
      <c r="G1652" t="n">
        <v>34</v>
      </c>
      <c r="H1652" t="n">
        <v>21</v>
      </c>
      <c r="I1652" t="inlineStr">
        <is>
          <t>L</t>
        </is>
      </c>
      <c r="J1652" t="inlineStr">
        <is>
          <t>S</t>
        </is>
      </c>
      <c r="K1652" t="inlineStr"/>
      <c r="L1652" t="inlineStr"/>
      <c r="M1652" s="30">
        <f>0.005454*F1652^2</f>
        <v/>
      </c>
      <c r="N1652" s="31">
        <f>IF(D1652="BAF20",20/M1652,100)</f>
        <v/>
      </c>
      <c r="O1652" s="31">
        <f>M1652*N1652</f>
        <v/>
      </c>
      <c r="P1652" s="32">
        <f>0.0*N1652</f>
        <v/>
      </c>
    </row>
    <row r="1653">
      <c r="A1653" t="inlineStr">
        <is>
          <t>U5-04</t>
        </is>
      </c>
      <c r="B1653" t="n">
        <v>5</v>
      </c>
      <c r="C1653" t="n">
        <v>7</v>
      </c>
      <c r="D1653" t="inlineStr">
        <is>
          <t>BAF20</t>
        </is>
      </c>
      <c r="E1653" t="inlineStr">
        <is>
          <t>IC</t>
        </is>
      </c>
      <c r="F1653" t="n">
        <v>15.2</v>
      </c>
      <c r="G1653" t="n">
        <v>60</v>
      </c>
      <c r="H1653" t="n">
        <v>5</v>
      </c>
      <c r="I1653" t="inlineStr">
        <is>
          <t>L</t>
        </is>
      </c>
      <c r="J1653" t="inlineStr">
        <is>
          <t>S</t>
        </is>
      </c>
      <c r="K1653" t="inlineStr"/>
      <c r="L1653" t="inlineStr"/>
      <c r="M1653" s="30">
        <f>0.005454*F1653^2</f>
        <v/>
      </c>
      <c r="N1653" s="31">
        <f>IF(D1653="BAF20",20/M1653,100)</f>
        <v/>
      </c>
      <c r="O1653" s="31">
        <f>M1653*N1653</f>
        <v/>
      </c>
      <c r="P1653" s="32">
        <f>115.9*N1653</f>
        <v/>
      </c>
    </row>
    <row r="1654">
      <c r="A1654" t="inlineStr">
        <is>
          <t>U5-04</t>
        </is>
      </c>
      <c r="B1654" t="n">
        <v>5</v>
      </c>
      <c r="C1654" t="n">
        <v>8</v>
      </c>
      <c r="D1654" t="inlineStr">
        <is>
          <t>BAF20</t>
        </is>
      </c>
      <c r="E1654" t="inlineStr">
        <is>
          <t>IC</t>
        </is>
      </c>
      <c r="F1654" t="n">
        <v>33.5</v>
      </c>
      <c r="G1654" t="n">
        <v>93</v>
      </c>
      <c r="H1654" t="n">
        <v>1</v>
      </c>
      <c r="I1654" t="inlineStr">
        <is>
          <t>L</t>
        </is>
      </c>
      <c r="J1654" t="inlineStr">
        <is>
          <t>D</t>
        </is>
      </c>
      <c r="K1654" t="inlineStr"/>
      <c r="L1654" t="inlineStr"/>
      <c r="M1654" s="30">
        <f>0.005454*F1654^2</f>
        <v/>
      </c>
      <c r="N1654" s="31">
        <f>IF(D1654="BAF20",20/M1654,100)</f>
        <v/>
      </c>
      <c r="O1654" s="31">
        <f>M1654*N1654</f>
        <v/>
      </c>
      <c r="P1654" s="32">
        <f>1260.0*N1654</f>
        <v/>
      </c>
    </row>
    <row r="1655">
      <c r="A1655" t="inlineStr">
        <is>
          <t>U5-04</t>
        </is>
      </c>
      <c r="B1655" t="n">
        <v>5</v>
      </c>
      <c r="C1655" t="n">
        <v>9</v>
      </c>
      <c r="D1655" t="inlineStr">
        <is>
          <t>BAF20</t>
        </is>
      </c>
      <c r="E1655" t="inlineStr">
        <is>
          <t>BO</t>
        </is>
      </c>
      <c r="F1655" t="n">
        <v>8.699999999999999</v>
      </c>
      <c r="G1655" t="n">
        <v>37</v>
      </c>
      <c r="H1655" t="n">
        <v>8</v>
      </c>
      <c r="I1655" t="inlineStr">
        <is>
          <t>L</t>
        </is>
      </c>
      <c r="J1655" t="inlineStr">
        <is>
          <t>S</t>
        </is>
      </c>
      <c r="K1655" t="inlineStr"/>
      <c r="L1655" t="inlineStr"/>
      <c r="M1655" s="30">
        <f>0.005454*F1655^2</f>
        <v/>
      </c>
      <c r="N1655" s="31">
        <f>IF(D1655="BAF20",20/M1655,100)</f>
        <v/>
      </c>
      <c r="O1655" s="31">
        <f>M1655*N1655</f>
        <v/>
      </c>
      <c r="P1655" s="32">
        <f>0.0*N1655</f>
        <v/>
      </c>
    </row>
    <row r="1656">
      <c r="A1656" t="inlineStr">
        <is>
          <t>U5-04</t>
        </is>
      </c>
      <c r="B1656" t="n">
        <v>5</v>
      </c>
      <c r="C1656" t="n">
        <v>10</v>
      </c>
      <c r="D1656" t="inlineStr">
        <is>
          <t>BAF20</t>
        </is>
      </c>
      <c r="E1656" t="inlineStr">
        <is>
          <t>DF</t>
        </is>
      </c>
      <c r="F1656" t="n">
        <v>11.4</v>
      </c>
      <c r="G1656" t="n">
        <v>58</v>
      </c>
      <c r="H1656" t="n">
        <v>10</v>
      </c>
      <c r="I1656" t="inlineStr">
        <is>
          <t>L</t>
        </is>
      </c>
      <c r="J1656" t="inlineStr">
        <is>
          <t>S</t>
        </is>
      </c>
      <c r="K1656" t="inlineStr"/>
      <c r="L1656" t="inlineStr"/>
      <c r="M1656" s="30">
        <f>0.005454*F1656^2</f>
        <v/>
      </c>
      <c r="N1656" s="31">
        <f>IF(D1656="BAF20",20/M1656,100)</f>
        <v/>
      </c>
      <c r="O1656" s="31">
        <f>M1656*N1656</f>
        <v/>
      </c>
      <c r="P1656" s="32">
        <f>54.9*N1656</f>
        <v/>
      </c>
    </row>
    <row r="1657">
      <c r="A1657" t="inlineStr">
        <is>
          <t>U5-04</t>
        </is>
      </c>
      <c r="B1657" t="n">
        <v>5</v>
      </c>
      <c r="C1657" t="n">
        <v>11</v>
      </c>
      <c r="D1657" t="inlineStr">
        <is>
          <t>BAF20</t>
        </is>
      </c>
      <c r="E1657" t="inlineStr">
        <is>
          <t>WF</t>
        </is>
      </c>
      <c r="F1657" t="n">
        <v>6.9</v>
      </c>
      <c r="G1657" t="n">
        <v>41</v>
      </c>
      <c r="H1657" t="n">
        <v>8</v>
      </c>
      <c r="I1657" t="inlineStr">
        <is>
          <t>L</t>
        </is>
      </c>
      <c r="J1657" t="inlineStr">
        <is>
          <t>S</t>
        </is>
      </c>
      <c r="K1657" t="inlineStr"/>
      <c r="L1657" t="inlineStr"/>
      <c r="M1657" s="30">
        <f>0.005454*F1657^2</f>
        <v/>
      </c>
      <c r="N1657" s="31">
        <f>IF(D1657="BAF20",20/M1657,100)</f>
        <v/>
      </c>
      <c r="O1657" s="31">
        <f>M1657*N1657</f>
        <v/>
      </c>
      <c r="P1657" s="32">
        <f>0.0*N1657</f>
        <v/>
      </c>
    </row>
    <row r="1658">
      <c r="A1658" t="inlineStr">
        <is>
          <t>U5-04</t>
        </is>
      </c>
      <c r="B1658" t="n">
        <v>5</v>
      </c>
      <c r="C1658" t="n">
        <v>12</v>
      </c>
      <c r="D1658" t="inlineStr">
        <is>
          <t>BAF20</t>
        </is>
      </c>
      <c r="E1658" t="inlineStr">
        <is>
          <t>DF</t>
        </is>
      </c>
      <c r="F1658" t="n">
        <v>28.6</v>
      </c>
      <c r="G1658" t="n">
        <v>121</v>
      </c>
      <c r="H1658" t="n">
        <v>4</v>
      </c>
      <c r="I1658" t="inlineStr">
        <is>
          <t>L</t>
        </is>
      </c>
      <c r="J1658" t="inlineStr">
        <is>
          <t>C</t>
        </is>
      </c>
      <c r="K1658" t="inlineStr"/>
      <c r="L1658" t="inlineStr"/>
      <c r="M1658" s="30">
        <f>0.005454*F1658^2</f>
        <v/>
      </c>
      <c r="N1658" s="31">
        <f>IF(D1658="BAF20",20/M1658,100)</f>
        <v/>
      </c>
      <c r="O1658" s="31">
        <f>M1658*N1658</f>
        <v/>
      </c>
      <c r="P1658" s="32">
        <f>1072.3*N1658</f>
        <v/>
      </c>
    </row>
    <row r="1659">
      <c r="A1659" t="inlineStr">
        <is>
          <t>U5-05</t>
        </is>
      </c>
      <c r="B1659" t="n">
        <v>5</v>
      </c>
      <c r="C1659" t="n">
        <v>1</v>
      </c>
      <c r="D1659" t="inlineStr">
        <is>
          <t>BAF20</t>
        </is>
      </c>
      <c r="E1659" t="inlineStr">
        <is>
          <t>IC</t>
        </is>
      </c>
      <c r="F1659" t="n">
        <v>28</v>
      </c>
      <c r="G1659" t="n">
        <v>99</v>
      </c>
      <c r="H1659" t="n">
        <v>2</v>
      </c>
      <c r="I1659" t="inlineStr">
        <is>
          <t>L</t>
        </is>
      </c>
      <c r="J1659" t="inlineStr">
        <is>
          <t>C</t>
        </is>
      </c>
      <c r="K1659" t="inlineStr"/>
      <c r="L1659" t="inlineStr"/>
      <c r="M1659" s="30">
        <f>0.005454*F1659^2</f>
        <v/>
      </c>
      <c r="N1659" s="31">
        <f>IF(D1659="BAF20",20/M1659,100)</f>
        <v/>
      </c>
      <c r="O1659" s="31">
        <f>M1659*N1659</f>
        <v/>
      </c>
      <c r="P1659" s="32">
        <f>849.9*N1659</f>
        <v/>
      </c>
    </row>
    <row r="1660">
      <c r="A1660" t="inlineStr">
        <is>
          <t>U5-05</t>
        </is>
      </c>
      <c r="B1660" t="n">
        <v>5</v>
      </c>
      <c r="C1660" t="n">
        <v>2</v>
      </c>
      <c r="D1660" t="inlineStr">
        <is>
          <t>BAF20</t>
        </is>
      </c>
      <c r="E1660" t="inlineStr">
        <is>
          <t>SP</t>
        </is>
      </c>
      <c r="F1660" t="n">
        <v>55.7</v>
      </c>
      <c r="G1660" t="n">
        <v>166</v>
      </c>
      <c r="H1660" t="n">
        <v>0</v>
      </c>
      <c r="I1660" t="inlineStr">
        <is>
          <t>L</t>
        </is>
      </c>
      <c r="J1660" t="inlineStr">
        <is>
          <t>D</t>
        </is>
      </c>
      <c r="K1660" t="inlineStr"/>
      <c r="L1660" t="inlineStr"/>
      <c r="M1660" s="30">
        <f>0.005454*F1660^2</f>
        <v/>
      </c>
      <c r="N1660" s="31">
        <f>IF(D1660="BAF20",20/M1660,100)</f>
        <v/>
      </c>
      <c r="O1660" s="31">
        <f>M1660*N1660</f>
        <v/>
      </c>
      <c r="P1660" s="32">
        <f>6582.9*N1660</f>
        <v/>
      </c>
    </row>
    <row r="1661">
      <c r="A1661" t="inlineStr">
        <is>
          <t>U5-05</t>
        </is>
      </c>
      <c r="B1661" t="n">
        <v>5</v>
      </c>
      <c r="C1661" t="n">
        <v>3</v>
      </c>
      <c r="D1661" t="inlineStr">
        <is>
          <t>BAF20</t>
        </is>
      </c>
      <c r="E1661" t="inlineStr">
        <is>
          <t>BO</t>
        </is>
      </c>
      <c r="F1661" t="n">
        <v>8.6</v>
      </c>
      <c r="G1661" t="n">
        <v>36</v>
      </c>
      <c r="H1661" t="n">
        <v>17</v>
      </c>
      <c r="I1661" t="inlineStr">
        <is>
          <t>L</t>
        </is>
      </c>
      <c r="J1661" t="inlineStr">
        <is>
          <t>S</t>
        </is>
      </c>
      <c r="K1661" t="inlineStr"/>
      <c r="L1661" t="inlineStr"/>
      <c r="M1661" s="30">
        <f>0.005454*F1661^2</f>
        <v/>
      </c>
      <c r="N1661" s="31">
        <f>IF(D1661="BAF20",20/M1661,100)</f>
        <v/>
      </c>
      <c r="O1661" s="31">
        <f>M1661*N1661</f>
        <v/>
      </c>
      <c r="P1661" s="32">
        <f>0.0*N1661</f>
        <v/>
      </c>
    </row>
    <row r="1662">
      <c r="A1662" t="inlineStr">
        <is>
          <t>U5-05</t>
        </is>
      </c>
      <c r="B1662" t="n">
        <v>5</v>
      </c>
      <c r="C1662" t="n">
        <v>4</v>
      </c>
      <c r="D1662" t="inlineStr">
        <is>
          <t>BAF20</t>
        </is>
      </c>
      <c r="E1662" t="inlineStr">
        <is>
          <t>IC</t>
        </is>
      </c>
      <c r="F1662" t="n">
        <v>24.3</v>
      </c>
      <c r="G1662" t="n">
        <v>83</v>
      </c>
      <c r="H1662" t="n">
        <v>6</v>
      </c>
      <c r="I1662" t="inlineStr">
        <is>
          <t>L</t>
        </is>
      </c>
      <c r="J1662" t="inlineStr">
        <is>
          <t>C</t>
        </is>
      </c>
      <c r="K1662" t="inlineStr"/>
      <c r="L1662" t="inlineStr"/>
      <c r="M1662" s="30">
        <f>0.005454*F1662^2</f>
        <v/>
      </c>
      <c r="N1662" s="31">
        <f>IF(D1662="BAF20",20/M1662,100)</f>
        <v/>
      </c>
      <c r="O1662" s="31">
        <f>M1662*N1662</f>
        <v/>
      </c>
      <c r="P1662" s="32">
        <f>483.2*N1662</f>
        <v/>
      </c>
    </row>
    <row r="1663">
      <c r="A1663" t="inlineStr">
        <is>
          <t>U5-05</t>
        </is>
      </c>
      <c r="B1663" t="n">
        <v>5</v>
      </c>
      <c r="C1663" t="n">
        <v>5</v>
      </c>
      <c r="D1663" t="inlineStr">
        <is>
          <t>BAF20</t>
        </is>
      </c>
      <c r="E1663" t="inlineStr">
        <is>
          <t>WF</t>
        </is>
      </c>
      <c r="F1663" t="n">
        <v>5.7</v>
      </c>
      <c r="G1663" t="n">
        <v>33</v>
      </c>
      <c r="H1663" t="n">
        <v>9</v>
      </c>
      <c r="I1663" t="inlineStr">
        <is>
          <t>L</t>
        </is>
      </c>
      <c r="J1663" t="inlineStr">
        <is>
          <t>S</t>
        </is>
      </c>
      <c r="K1663" t="inlineStr"/>
      <c r="L1663" t="inlineStr"/>
      <c r="M1663" s="30">
        <f>0.005454*F1663^2</f>
        <v/>
      </c>
      <c r="N1663" s="31">
        <f>IF(D1663="BAF20",20/M1663,100)</f>
        <v/>
      </c>
      <c r="O1663" s="31">
        <f>M1663*N1663</f>
        <v/>
      </c>
      <c r="P1663" s="32">
        <f>0.0*N1663</f>
        <v/>
      </c>
    </row>
    <row r="1664">
      <c r="A1664" t="inlineStr">
        <is>
          <t>U5-05</t>
        </is>
      </c>
      <c r="B1664" t="n">
        <v>5</v>
      </c>
      <c r="C1664" t="n">
        <v>6</v>
      </c>
      <c r="D1664" t="inlineStr">
        <is>
          <t>BAF20</t>
        </is>
      </c>
      <c r="E1664" t="inlineStr">
        <is>
          <t>IC</t>
        </is>
      </c>
      <c r="F1664" t="n">
        <v>17.6</v>
      </c>
      <c r="G1664" t="n">
        <v>70</v>
      </c>
      <c r="H1664" t="n">
        <v>3</v>
      </c>
      <c r="I1664" t="inlineStr">
        <is>
          <t>L</t>
        </is>
      </c>
      <c r="J1664" t="inlineStr">
        <is>
          <t>I</t>
        </is>
      </c>
      <c r="K1664" t="inlineStr">
        <is>
          <t>Y</t>
        </is>
      </c>
      <c r="L1664" t="inlineStr"/>
      <c r="M1664" s="30">
        <f>0.005454*F1664^2</f>
        <v/>
      </c>
      <c r="N1664" s="31">
        <f>IF(D1664="BAF20",20/M1664,100)</f>
        <v/>
      </c>
      <c r="O1664" s="31">
        <f>M1664*N1664</f>
        <v/>
      </c>
      <c r="P1664" s="32">
        <f>194.4*N1664</f>
        <v/>
      </c>
    </row>
    <row r="1665">
      <c r="A1665" t="inlineStr">
        <is>
          <t>U5-05</t>
        </is>
      </c>
      <c r="B1665" t="n">
        <v>5</v>
      </c>
      <c r="C1665" t="n">
        <v>7</v>
      </c>
      <c r="D1665" t="inlineStr">
        <is>
          <t>BAF20</t>
        </is>
      </c>
      <c r="E1665" t="inlineStr">
        <is>
          <t>IC</t>
        </is>
      </c>
      <c r="F1665" t="n">
        <v>6.7</v>
      </c>
      <c r="G1665" t="n">
        <v>29</v>
      </c>
      <c r="H1665" t="n">
        <v>1</v>
      </c>
      <c r="I1665" t="inlineStr">
        <is>
          <t>L</t>
        </is>
      </c>
      <c r="J1665" t="inlineStr">
        <is>
          <t>S</t>
        </is>
      </c>
      <c r="K1665" t="inlineStr"/>
      <c r="L1665" t="inlineStr"/>
      <c r="M1665" s="30">
        <f>0.005454*F1665^2</f>
        <v/>
      </c>
      <c r="N1665" s="31">
        <f>IF(D1665="BAF20",20/M1665,100)</f>
        <v/>
      </c>
      <c r="O1665" s="31">
        <f>M1665*N1665</f>
        <v/>
      </c>
      <c r="P1665" s="32">
        <f>0.0*N1665</f>
        <v/>
      </c>
    </row>
    <row r="1666">
      <c r="A1666" t="inlineStr">
        <is>
          <t>U5-05</t>
        </is>
      </c>
      <c r="B1666" t="n">
        <v>5</v>
      </c>
      <c r="C1666" t="n">
        <v>8</v>
      </c>
      <c r="D1666" t="inlineStr">
        <is>
          <t>BAF20</t>
        </is>
      </c>
      <c r="E1666" t="inlineStr">
        <is>
          <t>BO</t>
        </is>
      </c>
      <c r="F1666" t="n">
        <v>5.3</v>
      </c>
      <c r="G1666" t="n">
        <v>23</v>
      </c>
      <c r="H1666" t="n">
        <v>4</v>
      </c>
      <c r="I1666" t="inlineStr">
        <is>
          <t>L</t>
        </is>
      </c>
      <c r="J1666" t="inlineStr">
        <is>
          <t>S</t>
        </is>
      </c>
      <c r="K1666" t="inlineStr"/>
      <c r="L1666" t="inlineStr"/>
      <c r="M1666" s="30">
        <f>0.005454*F1666^2</f>
        <v/>
      </c>
      <c r="N1666" s="31">
        <f>IF(D1666="BAF20",20/M1666,100)</f>
        <v/>
      </c>
      <c r="O1666" s="31">
        <f>M1666*N1666</f>
        <v/>
      </c>
      <c r="P1666" s="32">
        <f>0.0*N1666</f>
        <v/>
      </c>
    </row>
    <row r="1667">
      <c r="A1667" t="inlineStr">
        <is>
          <t>U5-05</t>
        </is>
      </c>
      <c r="B1667" t="n">
        <v>5</v>
      </c>
      <c r="C1667" t="n">
        <v>9</v>
      </c>
      <c r="D1667" t="inlineStr">
        <is>
          <t>BAF20</t>
        </is>
      </c>
      <c r="E1667" t="inlineStr">
        <is>
          <t>WF</t>
        </is>
      </c>
      <c r="F1667" t="n">
        <v>34.2</v>
      </c>
      <c r="G1667" t="n">
        <v>139</v>
      </c>
      <c r="H1667" t="n">
        <v>5</v>
      </c>
      <c r="I1667" t="inlineStr">
        <is>
          <t>L</t>
        </is>
      </c>
      <c r="J1667" t="inlineStr">
        <is>
          <t>D</t>
        </is>
      </c>
      <c r="K1667" t="inlineStr"/>
      <c r="L1667" t="inlineStr"/>
      <c r="M1667" s="30">
        <f>0.005454*F1667^2</f>
        <v/>
      </c>
      <c r="N1667" s="31">
        <f>IF(D1667="BAF20",20/M1667,100)</f>
        <v/>
      </c>
      <c r="O1667" s="31">
        <f>M1667*N1667</f>
        <v/>
      </c>
      <c r="P1667" s="32">
        <f>1903.5*N1667</f>
        <v/>
      </c>
    </row>
    <row r="1668">
      <c r="A1668" t="inlineStr">
        <is>
          <t>U5-05</t>
        </is>
      </c>
      <c r="B1668" t="n">
        <v>5</v>
      </c>
      <c r="C1668" t="n">
        <v>10</v>
      </c>
      <c r="D1668" t="inlineStr">
        <is>
          <t>BAF20</t>
        </is>
      </c>
      <c r="E1668" t="inlineStr">
        <is>
          <t>IC</t>
        </is>
      </c>
      <c r="F1668" t="n">
        <v>17.8</v>
      </c>
      <c r="G1668" t="n">
        <v>66</v>
      </c>
      <c r="H1668" t="n">
        <v>100</v>
      </c>
      <c r="I1668" t="inlineStr">
        <is>
          <t>D</t>
        </is>
      </c>
      <c r="J1668" t="inlineStr">
        <is>
          <t>I</t>
        </is>
      </c>
      <c r="K1668" t="inlineStr"/>
      <c r="L1668" t="inlineStr"/>
      <c r="M1668" s="30">
        <f>0.005454*F1668^2</f>
        <v/>
      </c>
      <c r="N1668" s="31">
        <f>IF(D1668="BAF20",20/M1668,100)</f>
        <v/>
      </c>
      <c r="O1668" s="31">
        <f>M1668*N1668</f>
        <v/>
      </c>
      <c r="P1668" s="32">
        <f>0.0*N1668</f>
        <v/>
      </c>
    </row>
    <row r="1669">
      <c r="A1669" t="inlineStr">
        <is>
          <t>U5-05</t>
        </is>
      </c>
      <c r="B1669" t="n">
        <v>5</v>
      </c>
      <c r="C1669" t="n">
        <v>11</v>
      </c>
      <c r="D1669" t="inlineStr">
        <is>
          <t>BAF20</t>
        </is>
      </c>
      <c r="E1669" t="inlineStr">
        <is>
          <t>WF</t>
        </is>
      </c>
      <c r="F1669" t="n">
        <v>13.9</v>
      </c>
      <c r="G1669" t="n">
        <v>71</v>
      </c>
      <c r="H1669" t="n">
        <v>6</v>
      </c>
      <c r="I1669" t="inlineStr">
        <is>
          <t>L</t>
        </is>
      </c>
      <c r="J1669" t="inlineStr">
        <is>
          <t>S</t>
        </is>
      </c>
      <c r="K1669" t="inlineStr"/>
      <c r="L1669" t="inlineStr"/>
      <c r="M1669" s="30">
        <f>0.005454*F1669^2</f>
        <v/>
      </c>
      <c r="N1669" s="31">
        <f>IF(D1669="BAF20",20/M1669,100)</f>
        <v/>
      </c>
      <c r="O1669" s="31">
        <f>M1669*N1669</f>
        <v/>
      </c>
      <c r="P1669" s="32">
        <f>110.4*N1669</f>
        <v/>
      </c>
    </row>
    <row r="1670">
      <c r="A1670" t="inlineStr">
        <is>
          <t>U5-05</t>
        </is>
      </c>
      <c r="B1670" t="n">
        <v>5</v>
      </c>
      <c r="C1670" t="n">
        <v>12</v>
      </c>
      <c r="D1670" t="inlineStr">
        <is>
          <t>FIX100</t>
        </is>
      </c>
      <c r="E1670" t="inlineStr">
        <is>
          <t>PP</t>
        </is>
      </c>
      <c r="F1670" t="n">
        <v>2.9</v>
      </c>
      <c r="G1670" t="n">
        <v>20</v>
      </c>
      <c r="H1670" t="n">
        <v>0</v>
      </c>
      <c r="I1670" t="inlineStr">
        <is>
          <t>L</t>
        </is>
      </c>
      <c r="J1670" t="inlineStr">
        <is>
          <t>S</t>
        </is>
      </c>
      <c r="K1670" t="inlineStr"/>
      <c r="L1670" t="inlineStr"/>
      <c r="M1670" s="30">
        <f>0.005454*F1670^2</f>
        <v/>
      </c>
      <c r="N1670" s="31">
        <f>IF(D1670="BAF20",20/M1670,100)</f>
        <v/>
      </c>
      <c r="O1670" s="31">
        <f>M1670*N1670</f>
        <v/>
      </c>
      <c r="P1670" s="32">
        <f>0.0*N1670</f>
        <v/>
      </c>
    </row>
    <row r="1671">
      <c r="A1671" t="inlineStr">
        <is>
          <t>U5-05</t>
        </is>
      </c>
      <c r="B1671" t="n">
        <v>5</v>
      </c>
      <c r="C1671" t="n">
        <v>13</v>
      </c>
      <c r="D1671" t="inlineStr">
        <is>
          <t>FIX100</t>
        </is>
      </c>
      <c r="E1671" t="inlineStr">
        <is>
          <t>SP</t>
        </is>
      </c>
      <c r="F1671" t="n">
        <v>2.2</v>
      </c>
      <c r="G1671" t="n">
        <v>15</v>
      </c>
      <c r="H1671" t="n">
        <v>0</v>
      </c>
      <c r="I1671" t="inlineStr">
        <is>
          <t>L</t>
        </is>
      </c>
      <c r="J1671" t="inlineStr">
        <is>
          <t>S</t>
        </is>
      </c>
      <c r="K1671" t="inlineStr"/>
      <c r="L1671" t="inlineStr"/>
      <c r="M1671" s="30">
        <f>0.005454*F1671^2</f>
        <v/>
      </c>
      <c r="N1671" s="31">
        <f>IF(D1671="BAF20",20/M1671,100)</f>
        <v/>
      </c>
      <c r="O1671" s="31">
        <f>M1671*N1671</f>
        <v/>
      </c>
      <c r="P1671" s="32">
        <f>0.0*N1671</f>
        <v/>
      </c>
    </row>
    <row r="1672">
      <c r="A1672" t="inlineStr">
        <is>
          <t>U5-06</t>
        </is>
      </c>
      <c r="B1672" t="n">
        <v>5</v>
      </c>
      <c r="C1672" t="n">
        <v>1</v>
      </c>
      <c r="D1672" t="inlineStr">
        <is>
          <t>BAF20</t>
        </is>
      </c>
      <c r="E1672" t="inlineStr">
        <is>
          <t>SP</t>
        </is>
      </c>
      <c r="F1672" t="n">
        <v>8.1</v>
      </c>
      <c r="G1672" t="n">
        <v>39</v>
      </c>
      <c r="H1672" t="n">
        <v>1</v>
      </c>
      <c r="I1672" t="inlineStr">
        <is>
          <t>L</t>
        </is>
      </c>
      <c r="J1672" t="inlineStr">
        <is>
          <t>S</t>
        </is>
      </c>
      <c r="K1672" t="inlineStr"/>
      <c r="L1672" t="inlineStr"/>
      <c r="M1672" s="30">
        <f>0.005454*F1672^2</f>
        <v/>
      </c>
      <c r="N1672" s="31">
        <f>IF(D1672="BAF20",20/M1672,100)</f>
        <v/>
      </c>
      <c r="O1672" s="31">
        <f>M1672*N1672</f>
        <v/>
      </c>
      <c r="P1672" s="32">
        <f>0.0*N1672</f>
        <v/>
      </c>
    </row>
    <row r="1673">
      <c r="A1673" t="inlineStr">
        <is>
          <t>U5-06</t>
        </is>
      </c>
      <c r="B1673" t="n">
        <v>5</v>
      </c>
      <c r="C1673" t="n">
        <v>2</v>
      </c>
      <c r="D1673" t="inlineStr">
        <is>
          <t>BAF20</t>
        </is>
      </c>
      <c r="E1673" t="inlineStr">
        <is>
          <t>WF</t>
        </is>
      </c>
      <c r="F1673" t="n">
        <v>36.9</v>
      </c>
      <c r="G1673" t="n">
        <v>131</v>
      </c>
      <c r="H1673" t="n">
        <v>29</v>
      </c>
      <c r="I1673" t="inlineStr">
        <is>
          <t>L</t>
        </is>
      </c>
      <c r="J1673" t="inlineStr">
        <is>
          <t>D</t>
        </is>
      </c>
      <c r="K1673" t="inlineStr"/>
      <c r="L1673" t="inlineStr"/>
      <c r="M1673" s="30">
        <f>0.005454*F1673^2</f>
        <v/>
      </c>
      <c r="N1673" s="31">
        <f>IF(D1673="BAF20",20/M1673,100)</f>
        <v/>
      </c>
      <c r="O1673" s="31">
        <f>M1673*N1673</f>
        <v/>
      </c>
      <c r="P1673" s="32">
        <f>1618.8*N1673</f>
        <v/>
      </c>
    </row>
    <row r="1674">
      <c r="A1674" t="inlineStr">
        <is>
          <t>U5-06</t>
        </is>
      </c>
      <c r="B1674" t="n">
        <v>5</v>
      </c>
      <c r="C1674" t="n">
        <v>3</v>
      </c>
      <c r="D1674" t="inlineStr">
        <is>
          <t>BAF20</t>
        </is>
      </c>
      <c r="E1674" t="inlineStr">
        <is>
          <t>DF</t>
        </is>
      </c>
      <c r="F1674" t="n">
        <v>9.1</v>
      </c>
      <c r="G1674" t="n">
        <v>47</v>
      </c>
      <c r="H1674" t="n">
        <v>1</v>
      </c>
      <c r="I1674" t="inlineStr">
        <is>
          <t>L</t>
        </is>
      </c>
      <c r="J1674" t="inlineStr">
        <is>
          <t>S</t>
        </is>
      </c>
      <c r="K1674" t="inlineStr"/>
      <c r="L1674" t="inlineStr"/>
      <c r="M1674" s="30">
        <f>0.005454*F1674^2</f>
        <v/>
      </c>
      <c r="N1674" s="31">
        <f>IF(D1674="BAF20",20/M1674,100)</f>
        <v/>
      </c>
      <c r="O1674" s="31">
        <f>M1674*N1674</f>
        <v/>
      </c>
      <c r="P1674" s="32">
        <f>0.0*N1674</f>
        <v/>
      </c>
    </row>
    <row r="1675">
      <c r="A1675" t="inlineStr">
        <is>
          <t>U5-06</t>
        </is>
      </c>
      <c r="B1675" t="n">
        <v>5</v>
      </c>
      <c r="C1675" t="n">
        <v>4</v>
      </c>
      <c r="D1675" t="inlineStr">
        <is>
          <t>BAF20</t>
        </is>
      </c>
      <c r="E1675" t="inlineStr">
        <is>
          <t>SP</t>
        </is>
      </c>
      <c r="F1675" t="n">
        <v>22.7</v>
      </c>
      <c r="G1675" t="n">
        <v>99</v>
      </c>
      <c r="H1675" t="n">
        <v>6</v>
      </c>
      <c r="I1675" t="inlineStr">
        <is>
          <t>L</t>
        </is>
      </c>
      <c r="J1675" t="inlineStr">
        <is>
          <t>I</t>
        </is>
      </c>
      <c r="K1675" t="inlineStr"/>
      <c r="L1675" t="inlineStr"/>
      <c r="M1675" s="30">
        <f>0.005454*F1675^2</f>
        <v/>
      </c>
      <c r="N1675" s="31">
        <f>IF(D1675="BAF20",20/M1675,100)</f>
        <v/>
      </c>
      <c r="O1675" s="31">
        <f>M1675*N1675</f>
        <v/>
      </c>
      <c r="P1675" s="32">
        <f>488.7*N1675</f>
        <v/>
      </c>
    </row>
    <row r="1676">
      <c r="A1676" t="inlineStr">
        <is>
          <t>U5-06</t>
        </is>
      </c>
      <c r="B1676" t="n">
        <v>5</v>
      </c>
      <c r="C1676" t="n">
        <v>5</v>
      </c>
      <c r="D1676" t="inlineStr">
        <is>
          <t>BAF20</t>
        </is>
      </c>
      <c r="E1676" t="inlineStr">
        <is>
          <t>WF</t>
        </is>
      </c>
      <c r="F1676" t="n">
        <v>45.5</v>
      </c>
      <c r="G1676" t="n">
        <v>142</v>
      </c>
      <c r="H1676" t="n">
        <v>11</v>
      </c>
      <c r="I1676" t="inlineStr">
        <is>
          <t>L</t>
        </is>
      </c>
      <c r="J1676" t="inlineStr">
        <is>
          <t>D</t>
        </is>
      </c>
      <c r="K1676" t="inlineStr">
        <is>
          <t>Y</t>
        </is>
      </c>
      <c r="L1676" t="inlineStr"/>
      <c r="M1676" s="30">
        <f>0.005454*F1676^2</f>
        <v/>
      </c>
      <c r="N1676" s="31">
        <f>IF(D1676="BAF20",20/M1676,100)</f>
        <v/>
      </c>
      <c r="O1676" s="31">
        <f>M1676*N1676</f>
        <v/>
      </c>
      <c r="P1676" s="32">
        <f>3344.3*N1676</f>
        <v/>
      </c>
    </row>
    <row r="1677">
      <c r="A1677" t="inlineStr">
        <is>
          <t>U5-06</t>
        </is>
      </c>
      <c r="B1677" t="n">
        <v>5</v>
      </c>
      <c r="C1677" t="n">
        <v>6</v>
      </c>
      <c r="D1677" t="inlineStr">
        <is>
          <t>FIX100</t>
        </is>
      </c>
      <c r="E1677" t="inlineStr">
        <is>
          <t>IC</t>
        </is>
      </c>
      <c r="F1677" t="n">
        <v>3.8</v>
      </c>
      <c r="G1677" t="n">
        <v>15</v>
      </c>
      <c r="H1677" t="n">
        <v>0</v>
      </c>
      <c r="I1677" t="inlineStr">
        <is>
          <t>L</t>
        </is>
      </c>
      <c r="J1677" t="inlineStr">
        <is>
          <t>S</t>
        </is>
      </c>
      <c r="K1677" t="inlineStr"/>
      <c r="L1677" t="inlineStr"/>
      <c r="M1677" s="30">
        <f>0.005454*F1677^2</f>
        <v/>
      </c>
      <c r="N1677" s="31">
        <f>IF(D1677="BAF20",20/M1677,100)</f>
        <v/>
      </c>
      <c r="O1677" s="31">
        <f>M1677*N1677</f>
        <v/>
      </c>
      <c r="P1677" s="32">
        <f>0.0*N1677</f>
        <v/>
      </c>
    </row>
    <row r="1678">
      <c r="A1678" t="inlineStr">
        <is>
          <t>U5-07</t>
        </is>
      </c>
      <c r="B1678" t="n">
        <v>5</v>
      </c>
      <c r="C1678" t="n">
        <v>1</v>
      </c>
      <c r="D1678" t="inlineStr">
        <is>
          <t>BAF20</t>
        </is>
      </c>
      <c r="E1678" t="inlineStr">
        <is>
          <t>IC</t>
        </is>
      </c>
      <c r="F1678" t="n">
        <v>8.300000000000001</v>
      </c>
      <c r="G1678" t="n">
        <v>30</v>
      </c>
      <c r="H1678" t="n">
        <v>6</v>
      </c>
      <c r="I1678" t="inlineStr">
        <is>
          <t>L</t>
        </is>
      </c>
      <c r="J1678" t="inlineStr">
        <is>
          <t>S</t>
        </is>
      </c>
      <c r="K1678" t="inlineStr"/>
      <c r="L1678" t="inlineStr"/>
      <c r="M1678" s="30">
        <f>0.005454*F1678^2</f>
        <v/>
      </c>
      <c r="N1678" s="31">
        <f>IF(D1678="BAF20",20/M1678,100)</f>
        <v/>
      </c>
      <c r="O1678" s="31">
        <f>M1678*N1678</f>
        <v/>
      </c>
      <c r="P1678" s="32">
        <f>0.0*N1678</f>
        <v/>
      </c>
    </row>
    <row r="1679">
      <c r="A1679" t="inlineStr">
        <is>
          <t>U5-07</t>
        </is>
      </c>
      <c r="B1679" t="n">
        <v>5</v>
      </c>
      <c r="C1679" t="n">
        <v>2</v>
      </c>
      <c r="D1679" t="inlineStr">
        <is>
          <t>BAF20</t>
        </is>
      </c>
      <c r="E1679" t="inlineStr">
        <is>
          <t>IC</t>
        </is>
      </c>
      <c r="F1679" t="n">
        <v>41.4</v>
      </c>
      <c r="G1679" t="n">
        <v>121</v>
      </c>
      <c r="H1679" t="n">
        <v>12</v>
      </c>
      <c r="I1679" t="inlineStr">
        <is>
          <t>L</t>
        </is>
      </c>
      <c r="J1679" t="inlineStr">
        <is>
          <t>D</t>
        </is>
      </c>
      <c r="K1679" t="inlineStr"/>
      <c r="L1679" t="inlineStr"/>
      <c r="M1679" s="30">
        <f>0.005454*F1679^2</f>
        <v/>
      </c>
      <c r="N1679" s="31">
        <f>IF(D1679="BAF20",20/M1679,100)</f>
        <v/>
      </c>
      <c r="O1679" s="31">
        <f>M1679*N1679</f>
        <v/>
      </c>
      <c r="P1679" s="32">
        <f>2332.7*N1679</f>
        <v/>
      </c>
    </row>
    <row r="1680">
      <c r="A1680" t="inlineStr">
        <is>
          <t>U5-07</t>
        </is>
      </c>
      <c r="B1680" t="n">
        <v>5</v>
      </c>
      <c r="C1680" t="n">
        <v>3</v>
      </c>
      <c r="D1680" t="inlineStr">
        <is>
          <t>BAF20</t>
        </is>
      </c>
      <c r="E1680" t="inlineStr">
        <is>
          <t>DF</t>
        </is>
      </c>
      <c r="F1680" t="n">
        <v>33.7</v>
      </c>
      <c r="G1680" t="n">
        <v>127</v>
      </c>
      <c r="H1680" t="n">
        <v>4</v>
      </c>
      <c r="I1680" t="inlineStr">
        <is>
          <t>L</t>
        </is>
      </c>
      <c r="J1680" t="inlineStr">
        <is>
          <t>D</t>
        </is>
      </c>
      <c r="K1680" t="inlineStr"/>
      <c r="L1680" t="inlineStr"/>
      <c r="M1680" s="30">
        <f>0.005454*F1680^2</f>
        <v/>
      </c>
      <c r="N1680" s="31">
        <f>IF(D1680="BAF20",20/M1680,100)</f>
        <v/>
      </c>
      <c r="O1680" s="31">
        <f>M1680*N1680</f>
        <v/>
      </c>
      <c r="P1680" s="32">
        <f>1693.6*N1680</f>
        <v/>
      </c>
    </row>
    <row r="1681">
      <c r="A1681" t="inlineStr">
        <is>
          <t>U5-07</t>
        </is>
      </c>
      <c r="B1681" t="n">
        <v>5</v>
      </c>
      <c r="C1681" t="n">
        <v>4</v>
      </c>
      <c r="D1681" t="inlineStr">
        <is>
          <t>BAF20</t>
        </is>
      </c>
      <c r="E1681" t="inlineStr">
        <is>
          <t>PP</t>
        </is>
      </c>
      <c r="F1681" t="n">
        <v>37.1</v>
      </c>
      <c r="G1681" t="n">
        <v>128</v>
      </c>
      <c r="H1681" t="n">
        <v>3</v>
      </c>
      <c r="I1681" t="inlineStr">
        <is>
          <t>L</t>
        </is>
      </c>
      <c r="J1681" t="inlineStr">
        <is>
          <t>D</t>
        </is>
      </c>
      <c r="K1681" t="inlineStr"/>
      <c r="L1681" t="inlineStr"/>
      <c r="M1681" s="30">
        <f>0.005454*F1681^2</f>
        <v/>
      </c>
      <c r="N1681" s="31">
        <f>IF(D1681="BAF20",20/M1681,100)</f>
        <v/>
      </c>
      <c r="O1681" s="31">
        <f>M1681*N1681</f>
        <v/>
      </c>
      <c r="P1681" s="32">
        <f>2184.4*N1681</f>
        <v/>
      </c>
    </row>
    <row r="1682">
      <c r="A1682" t="inlineStr">
        <is>
          <t>U5-07</t>
        </is>
      </c>
      <c r="B1682" t="n">
        <v>5</v>
      </c>
      <c r="C1682" t="n">
        <v>5</v>
      </c>
      <c r="D1682" t="inlineStr">
        <is>
          <t>BAF20</t>
        </is>
      </c>
      <c r="E1682" t="inlineStr">
        <is>
          <t>IC</t>
        </is>
      </c>
      <c r="F1682" t="n">
        <v>13.8</v>
      </c>
      <c r="G1682" t="n">
        <v>53</v>
      </c>
      <c r="H1682" t="n">
        <v>1</v>
      </c>
      <c r="I1682" t="inlineStr">
        <is>
          <t>L</t>
        </is>
      </c>
      <c r="J1682" t="inlineStr">
        <is>
          <t>S</t>
        </is>
      </c>
      <c r="K1682" t="inlineStr">
        <is>
          <t>Y</t>
        </is>
      </c>
      <c r="L1682" t="inlineStr"/>
      <c r="M1682" s="30">
        <f>0.005454*F1682^2</f>
        <v/>
      </c>
      <c r="N1682" s="31">
        <f>IF(D1682="BAF20",20/M1682,100)</f>
        <v/>
      </c>
      <c r="O1682" s="31">
        <f>M1682*N1682</f>
        <v/>
      </c>
      <c r="P1682" s="32">
        <f>85.3*N1682</f>
        <v/>
      </c>
    </row>
    <row r="1683">
      <c r="A1683" t="inlineStr">
        <is>
          <t>U5-07</t>
        </is>
      </c>
      <c r="B1683" t="n">
        <v>5</v>
      </c>
      <c r="C1683" t="n">
        <v>6</v>
      </c>
      <c r="D1683" t="inlineStr">
        <is>
          <t>BAF20</t>
        </is>
      </c>
      <c r="E1683" t="inlineStr">
        <is>
          <t>DF</t>
        </is>
      </c>
      <c r="F1683" t="n">
        <v>26.4</v>
      </c>
      <c r="G1683" t="n">
        <v>117</v>
      </c>
      <c r="H1683" t="n">
        <v>2</v>
      </c>
      <c r="I1683" t="inlineStr">
        <is>
          <t>L</t>
        </is>
      </c>
      <c r="J1683" t="inlineStr">
        <is>
          <t>C</t>
        </is>
      </c>
      <c r="K1683" t="inlineStr"/>
      <c r="L1683" t="inlineStr"/>
      <c r="M1683" s="30">
        <f>0.005454*F1683^2</f>
        <v/>
      </c>
      <c r="N1683" s="31">
        <f>IF(D1683="BAF20",20/M1683,100)</f>
        <v/>
      </c>
      <c r="O1683" s="31">
        <f>M1683*N1683</f>
        <v/>
      </c>
      <c r="P1683" s="32">
        <f>869.2*N1683</f>
        <v/>
      </c>
    </row>
    <row r="1684">
      <c r="A1684" t="inlineStr">
        <is>
          <t>U5-07</t>
        </is>
      </c>
      <c r="B1684" t="n">
        <v>5</v>
      </c>
      <c r="C1684" t="n">
        <v>7</v>
      </c>
      <c r="D1684" t="inlineStr">
        <is>
          <t>BAF20</t>
        </is>
      </c>
      <c r="E1684" t="inlineStr">
        <is>
          <t>DF</t>
        </is>
      </c>
      <c r="F1684" t="n">
        <v>16.1</v>
      </c>
      <c r="G1684" t="n">
        <v>72</v>
      </c>
      <c r="H1684" t="n">
        <v>6</v>
      </c>
      <c r="I1684" t="inlineStr">
        <is>
          <t>L</t>
        </is>
      </c>
      <c r="J1684" t="inlineStr">
        <is>
          <t>S</t>
        </is>
      </c>
      <c r="K1684" t="inlineStr"/>
      <c r="L1684" t="inlineStr"/>
      <c r="M1684" s="30">
        <f>0.005454*F1684^2</f>
        <v/>
      </c>
      <c r="N1684" s="31">
        <f>IF(D1684="BAF20",20/M1684,100)</f>
        <v/>
      </c>
      <c r="O1684" s="31">
        <f>M1684*N1684</f>
        <v/>
      </c>
      <c r="P1684" s="32">
        <f>157.3*N1684</f>
        <v/>
      </c>
    </row>
    <row r="1685">
      <c r="A1685" t="inlineStr">
        <is>
          <t>U5-08</t>
        </is>
      </c>
      <c r="B1685" t="n">
        <v>5</v>
      </c>
      <c r="C1685" t="n">
        <v>1</v>
      </c>
      <c r="D1685" t="inlineStr">
        <is>
          <t>BAF20</t>
        </is>
      </c>
      <c r="E1685" t="inlineStr">
        <is>
          <t>WF</t>
        </is>
      </c>
      <c r="F1685" t="n">
        <v>24.8</v>
      </c>
      <c r="G1685" t="n">
        <v>98</v>
      </c>
      <c r="H1685" t="n">
        <v>6</v>
      </c>
      <c r="I1685" t="inlineStr">
        <is>
          <t>L</t>
        </is>
      </c>
      <c r="J1685" t="inlineStr">
        <is>
          <t>C</t>
        </is>
      </c>
      <c r="K1685" t="inlineStr">
        <is>
          <t>Y</t>
        </is>
      </c>
      <c r="L1685" t="inlineStr"/>
      <c r="M1685" s="30">
        <f>0.005454*F1685^2</f>
        <v/>
      </c>
      <c r="N1685" s="31">
        <f>IF(D1685="BAF20",20/M1685,100)</f>
        <v/>
      </c>
      <c r="O1685" s="31">
        <f>M1685*N1685</f>
        <v/>
      </c>
      <c r="P1685" s="32">
        <f>599.4*N1685</f>
        <v/>
      </c>
    </row>
    <row r="1686">
      <c r="A1686" t="inlineStr">
        <is>
          <t>U5-08</t>
        </is>
      </c>
      <c r="B1686" t="n">
        <v>5</v>
      </c>
      <c r="C1686" t="n">
        <v>2</v>
      </c>
      <c r="D1686" t="inlineStr">
        <is>
          <t>BAF20</t>
        </is>
      </c>
      <c r="E1686" t="inlineStr">
        <is>
          <t>WF</t>
        </is>
      </c>
      <c r="F1686" t="n">
        <v>51.3</v>
      </c>
      <c r="G1686" t="n">
        <v>165</v>
      </c>
      <c r="H1686" t="n">
        <v>4</v>
      </c>
      <c r="I1686" t="inlineStr">
        <is>
          <t>L</t>
        </is>
      </c>
      <c r="J1686" t="inlineStr">
        <is>
          <t>D</t>
        </is>
      </c>
      <c r="K1686" t="inlineStr"/>
      <c r="L1686" t="inlineStr"/>
      <c r="M1686" s="30">
        <f>0.005454*F1686^2</f>
        <v/>
      </c>
      <c r="N1686" s="31">
        <f>IF(D1686="BAF20",20/M1686,100)</f>
        <v/>
      </c>
      <c r="O1686" s="31">
        <f>M1686*N1686</f>
        <v/>
      </c>
      <c r="P1686" s="32">
        <f>5328.3*N1686</f>
        <v/>
      </c>
    </row>
    <row r="1687">
      <c r="A1687" t="inlineStr">
        <is>
          <t>U5-08</t>
        </is>
      </c>
      <c r="B1687" t="n">
        <v>5</v>
      </c>
      <c r="C1687" t="n">
        <v>3</v>
      </c>
      <c r="D1687" t="inlineStr">
        <is>
          <t>BAF20</t>
        </is>
      </c>
      <c r="E1687" t="inlineStr">
        <is>
          <t>DF</t>
        </is>
      </c>
      <c r="F1687" t="n">
        <v>5</v>
      </c>
      <c r="G1687" t="n">
        <v>29</v>
      </c>
      <c r="H1687" t="n">
        <v>8</v>
      </c>
      <c r="I1687" t="inlineStr">
        <is>
          <t>L</t>
        </is>
      </c>
      <c r="J1687" t="inlineStr">
        <is>
          <t>S</t>
        </is>
      </c>
      <c r="K1687" t="inlineStr"/>
      <c r="L1687" t="inlineStr"/>
      <c r="M1687" s="30">
        <f>0.005454*F1687^2</f>
        <v/>
      </c>
      <c r="N1687" s="31">
        <f>IF(D1687="BAF20",20/M1687,100)</f>
        <v/>
      </c>
      <c r="O1687" s="31">
        <f>M1687*N1687</f>
        <v/>
      </c>
      <c r="P1687" s="32">
        <f>0.0*N1687</f>
        <v/>
      </c>
    </row>
    <row r="1688">
      <c r="A1688" t="inlineStr">
        <is>
          <t>U5-08</t>
        </is>
      </c>
      <c r="B1688" t="n">
        <v>5</v>
      </c>
      <c r="C1688" t="n">
        <v>4</v>
      </c>
      <c r="D1688" t="inlineStr">
        <is>
          <t>BAF20</t>
        </is>
      </c>
      <c r="E1688" t="inlineStr">
        <is>
          <t>IC</t>
        </is>
      </c>
      <c r="F1688" t="n">
        <v>8.1</v>
      </c>
      <c r="G1688" t="n">
        <v>35</v>
      </c>
      <c r="H1688" t="n">
        <v>0</v>
      </c>
      <c r="I1688" t="inlineStr">
        <is>
          <t>L</t>
        </is>
      </c>
      <c r="J1688" t="inlineStr">
        <is>
          <t>S</t>
        </is>
      </c>
      <c r="K1688" t="inlineStr"/>
      <c r="L1688" t="inlineStr"/>
      <c r="M1688" s="30">
        <f>0.005454*F1688^2</f>
        <v/>
      </c>
      <c r="N1688" s="31">
        <f>IF(D1688="BAF20",20/M1688,100)</f>
        <v/>
      </c>
      <c r="O1688" s="31">
        <f>M1688*N1688</f>
        <v/>
      </c>
      <c r="P1688" s="32">
        <f>0.0*N1688</f>
        <v/>
      </c>
    </row>
    <row r="1689">
      <c r="A1689" t="inlineStr">
        <is>
          <t>U5-08</t>
        </is>
      </c>
      <c r="B1689" t="n">
        <v>5</v>
      </c>
      <c r="C1689" t="n">
        <v>5</v>
      </c>
      <c r="D1689" t="inlineStr">
        <is>
          <t>BAF20</t>
        </is>
      </c>
      <c r="E1689" t="inlineStr">
        <is>
          <t>PP</t>
        </is>
      </c>
      <c r="F1689" t="n">
        <v>36</v>
      </c>
      <c r="G1689" t="n">
        <v>130</v>
      </c>
      <c r="H1689" t="n">
        <v>7</v>
      </c>
      <c r="I1689" t="inlineStr">
        <is>
          <t>L</t>
        </is>
      </c>
      <c r="J1689" t="inlineStr">
        <is>
          <t>D</t>
        </is>
      </c>
      <c r="K1689" t="inlineStr"/>
      <c r="L1689" t="inlineStr"/>
      <c r="M1689" s="30">
        <f>0.005454*F1689^2</f>
        <v/>
      </c>
      <c r="N1689" s="31">
        <f>IF(D1689="BAF20",20/M1689,100)</f>
        <v/>
      </c>
      <c r="O1689" s="31">
        <f>M1689*N1689</f>
        <v/>
      </c>
      <c r="P1689" s="32">
        <f>1983.4*N1689</f>
        <v/>
      </c>
    </row>
    <row r="1690">
      <c r="A1690" t="inlineStr">
        <is>
          <t>U5-08</t>
        </is>
      </c>
      <c r="B1690" t="n">
        <v>5</v>
      </c>
      <c r="C1690" t="n">
        <v>6</v>
      </c>
      <c r="D1690" t="inlineStr">
        <is>
          <t>BAF20</t>
        </is>
      </c>
      <c r="E1690" t="inlineStr">
        <is>
          <t>WF</t>
        </is>
      </c>
      <c r="F1690" t="n">
        <v>21.4</v>
      </c>
      <c r="G1690" t="n">
        <v>91</v>
      </c>
      <c r="H1690" t="n">
        <v>1</v>
      </c>
      <c r="I1690" t="inlineStr">
        <is>
          <t>L</t>
        </is>
      </c>
      <c r="J1690" t="inlineStr">
        <is>
          <t>I</t>
        </is>
      </c>
      <c r="K1690" t="inlineStr">
        <is>
          <t>Y</t>
        </is>
      </c>
      <c r="L1690" t="inlineStr"/>
      <c r="M1690" s="30">
        <f>0.005454*F1690^2</f>
        <v/>
      </c>
      <c r="N1690" s="31">
        <f>IF(D1690="BAF20",20/M1690,100)</f>
        <v/>
      </c>
      <c r="O1690" s="31">
        <f>M1690*N1690</f>
        <v/>
      </c>
      <c r="P1690" s="32">
        <f>410.5*N1690</f>
        <v/>
      </c>
    </row>
    <row r="1691">
      <c r="A1691" t="inlineStr">
        <is>
          <t>U5-08</t>
        </is>
      </c>
      <c r="B1691" t="n">
        <v>5</v>
      </c>
      <c r="C1691" t="n">
        <v>7</v>
      </c>
      <c r="D1691" t="inlineStr">
        <is>
          <t>BAF20</t>
        </is>
      </c>
      <c r="E1691" t="inlineStr">
        <is>
          <t>WF</t>
        </is>
      </c>
      <c r="F1691" t="n">
        <v>23.6</v>
      </c>
      <c r="G1691" t="n">
        <v>93</v>
      </c>
      <c r="H1691" t="n">
        <v>18</v>
      </c>
      <c r="I1691" t="inlineStr">
        <is>
          <t>L</t>
        </is>
      </c>
      <c r="J1691" t="inlineStr">
        <is>
          <t>I</t>
        </is>
      </c>
      <c r="K1691" t="inlineStr">
        <is>
          <t>Y</t>
        </is>
      </c>
      <c r="L1691" t="inlineStr"/>
      <c r="M1691" s="30">
        <f>0.005454*F1691^2</f>
        <v/>
      </c>
      <c r="N1691" s="31">
        <f>IF(D1691="BAF20",20/M1691,100)</f>
        <v/>
      </c>
      <c r="O1691" s="31">
        <f>M1691*N1691</f>
        <v/>
      </c>
      <c r="P1691" s="32">
        <f>439.9*N1691</f>
        <v/>
      </c>
    </row>
    <row r="1692">
      <c r="A1692" t="inlineStr">
        <is>
          <t>U5-08</t>
        </is>
      </c>
      <c r="B1692" t="n">
        <v>5</v>
      </c>
      <c r="C1692" t="n">
        <v>8</v>
      </c>
      <c r="D1692" t="inlineStr">
        <is>
          <t>BAF20</t>
        </is>
      </c>
      <c r="E1692" t="inlineStr">
        <is>
          <t>IC</t>
        </is>
      </c>
      <c r="F1692" t="n">
        <v>22.6</v>
      </c>
      <c r="G1692" t="n">
        <v>79</v>
      </c>
      <c r="H1692" t="n">
        <v>16</v>
      </c>
      <c r="I1692" t="inlineStr">
        <is>
          <t>L</t>
        </is>
      </c>
      <c r="J1692" t="inlineStr">
        <is>
          <t>I</t>
        </is>
      </c>
      <c r="K1692" t="inlineStr"/>
      <c r="L1692" t="inlineStr"/>
      <c r="M1692" s="30">
        <f>0.005454*F1692^2</f>
        <v/>
      </c>
      <c r="N1692" s="31">
        <f>IF(D1692="BAF20",20/M1692,100)</f>
        <v/>
      </c>
      <c r="O1692" s="31">
        <f>M1692*N1692</f>
        <v/>
      </c>
      <c r="P1692" s="32">
        <f>344.8*N1692</f>
        <v/>
      </c>
    </row>
    <row r="1693">
      <c r="A1693" t="inlineStr">
        <is>
          <t>U5-08</t>
        </is>
      </c>
      <c r="B1693" t="n">
        <v>5</v>
      </c>
      <c r="C1693" t="n">
        <v>9</v>
      </c>
      <c r="D1693" t="inlineStr">
        <is>
          <t>FIX100</t>
        </is>
      </c>
      <c r="E1693" t="inlineStr">
        <is>
          <t>BO</t>
        </is>
      </c>
      <c r="F1693" t="n">
        <v>1.6</v>
      </c>
      <c r="G1693" t="n">
        <v>11</v>
      </c>
      <c r="H1693" t="n">
        <v>0</v>
      </c>
      <c r="I1693" t="inlineStr">
        <is>
          <t>L</t>
        </is>
      </c>
      <c r="J1693" t="inlineStr">
        <is>
          <t>S</t>
        </is>
      </c>
      <c r="K1693" t="inlineStr"/>
      <c r="L1693" t="inlineStr"/>
      <c r="M1693" s="30">
        <f>0.005454*F1693^2</f>
        <v/>
      </c>
      <c r="N1693" s="31">
        <f>IF(D1693="BAF20",20/M1693,100)</f>
        <v/>
      </c>
      <c r="O1693" s="31">
        <f>M1693*N1693</f>
        <v/>
      </c>
      <c r="P1693" s="32">
        <f>0.0*N1693</f>
        <v/>
      </c>
    </row>
    <row r="1694">
      <c r="A1694" t="inlineStr">
        <is>
          <t>U5-09</t>
        </is>
      </c>
      <c r="B1694" t="n">
        <v>5</v>
      </c>
      <c r="C1694" t="n">
        <v>1</v>
      </c>
      <c r="D1694" t="inlineStr">
        <is>
          <t>BAF20</t>
        </is>
      </c>
      <c r="E1694" t="inlineStr">
        <is>
          <t>IC</t>
        </is>
      </c>
      <c r="F1694" t="n">
        <v>6.2</v>
      </c>
      <c r="G1694" t="n">
        <v>25</v>
      </c>
      <c r="H1694" t="n">
        <v>0</v>
      </c>
      <c r="I1694" t="inlineStr">
        <is>
          <t>L</t>
        </is>
      </c>
      <c r="J1694" t="inlineStr">
        <is>
          <t>S</t>
        </is>
      </c>
      <c r="K1694" t="inlineStr"/>
      <c r="L1694" t="inlineStr"/>
      <c r="M1694" s="30">
        <f>0.005454*F1694^2</f>
        <v/>
      </c>
      <c r="N1694" s="31">
        <f>IF(D1694="BAF20",20/M1694,100)</f>
        <v/>
      </c>
      <c r="O1694" s="31">
        <f>M1694*N1694</f>
        <v/>
      </c>
      <c r="P1694" s="32">
        <f>0.0*N1694</f>
        <v/>
      </c>
    </row>
    <row r="1695">
      <c r="A1695" t="inlineStr">
        <is>
          <t>U5-09</t>
        </is>
      </c>
      <c r="B1695" t="n">
        <v>5</v>
      </c>
      <c r="C1695" t="n">
        <v>2</v>
      </c>
      <c r="D1695" t="inlineStr">
        <is>
          <t>BAF20</t>
        </is>
      </c>
      <c r="E1695" t="inlineStr">
        <is>
          <t>PP</t>
        </is>
      </c>
      <c r="F1695" t="n">
        <v>28.4</v>
      </c>
      <c r="G1695" t="n">
        <v>124</v>
      </c>
      <c r="H1695" t="n">
        <v>2</v>
      </c>
      <c r="I1695" t="inlineStr">
        <is>
          <t>L</t>
        </is>
      </c>
      <c r="J1695" t="inlineStr">
        <is>
          <t>C</t>
        </is>
      </c>
      <c r="K1695" t="inlineStr"/>
      <c r="L1695" t="inlineStr"/>
      <c r="M1695" s="30">
        <f>0.005454*F1695^2</f>
        <v/>
      </c>
      <c r="N1695" s="31">
        <f>IF(D1695="BAF20",20/M1695,100)</f>
        <v/>
      </c>
      <c r="O1695" s="31">
        <f>M1695*N1695</f>
        <v/>
      </c>
      <c r="P1695" s="32">
        <f>1102.5*N1695</f>
        <v/>
      </c>
    </row>
    <row r="1696">
      <c r="A1696" t="inlineStr">
        <is>
          <t>U5-09</t>
        </is>
      </c>
      <c r="B1696" t="n">
        <v>5</v>
      </c>
      <c r="C1696" t="n">
        <v>3</v>
      </c>
      <c r="D1696" t="inlineStr">
        <is>
          <t>BAF20</t>
        </is>
      </c>
      <c r="E1696" t="inlineStr">
        <is>
          <t>BO</t>
        </is>
      </c>
      <c r="F1696" t="n">
        <v>5</v>
      </c>
      <c r="G1696" t="n">
        <v>25</v>
      </c>
      <c r="H1696" t="n">
        <v>100</v>
      </c>
      <c r="I1696" t="inlineStr">
        <is>
          <t>D</t>
        </is>
      </c>
      <c r="J1696" t="inlineStr">
        <is>
          <t>S</t>
        </is>
      </c>
      <c r="K1696" t="inlineStr"/>
      <c r="L1696" t="inlineStr"/>
      <c r="M1696" s="30">
        <f>0.005454*F1696^2</f>
        <v/>
      </c>
      <c r="N1696" s="31">
        <f>IF(D1696="BAF20",20/M1696,100)</f>
        <v/>
      </c>
      <c r="O1696" s="31">
        <f>M1696*N1696</f>
        <v/>
      </c>
      <c r="P1696" s="32">
        <f>0.0*N1696</f>
        <v/>
      </c>
    </row>
    <row r="1697">
      <c r="A1697" t="inlineStr">
        <is>
          <t>U5-09</t>
        </is>
      </c>
      <c r="B1697" t="n">
        <v>5</v>
      </c>
      <c r="C1697" t="n">
        <v>4</v>
      </c>
      <c r="D1697" t="inlineStr">
        <is>
          <t>BAF20</t>
        </is>
      </c>
      <c r="E1697" t="inlineStr">
        <is>
          <t>DF</t>
        </is>
      </c>
      <c r="F1697" t="n">
        <v>31.5</v>
      </c>
      <c r="G1697" t="n">
        <v>109</v>
      </c>
      <c r="H1697" t="n">
        <v>100</v>
      </c>
      <c r="I1697" t="inlineStr">
        <is>
          <t>D</t>
        </is>
      </c>
      <c r="J1697" t="inlineStr">
        <is>
          <t>D</t>
        </is>
      </c>
      <c r="K1697" t="inlineStr"/>
      <c r="L1697" t="inlineStr"/>
      <c r="M1697" s="30">
        <f>0.005454*F1697^2</f>
        <v/>
      </c>
      <c r="N1697" s="31">
        <f>IF(D1697="BAF20",20/M1697,100)</f>
        <v/>
      </c>
      <c r="O1697" s="31">
        <f>M1697*N1697</f>
        <v/>
      </c>
      <c r="P1697" s="32">
        <f>0.0*N1697</f>
        <v/>
      </c>
    </row>
    <row r="1698">
      <c r="A1698" t="inlineStr">
        <is>
          <t>U5-09</t>
        </is>
      </c>
      <c r="B1698" t="n">
        <v>5</v>
      </c>
      <c r="C1698" t="n">
        <v>5</v>
      </c>
      <c r="D1698" t="inlineStr">
        <is>
          <t>BAF20</t>
        </is>
      </c>
      <c r="E1698" t="inlineStr">
        <is>
          <t>WF</t>
        </is>
      </c>
      <c r="F1698" t="n">
        <v>19.7</v>
      </c>
      <c r="G1698" t="n">
        <v>86</v>
      </c>
      <c r="H1698" t="n">
        <v>10</v>
      </c>
      <c r="I1698" t="inlineStr">
        <is>
          <t>L</t>
        </is>
      </c>
      <c r="J1698" t="inlineStr">
        <is>
          <t>I</t>
        </is>
      </c>
      <c r="K1698" t="inlineStr">
        <is>
          <t>Y</t>
        </is>
      </c>
      <c r="L1698" t="inlineStr"/>
      <c r="M1698" s="30">
        <f>0.005454*F1698^2</f>
        <v/>
      </c>
      <c r="N1698" s="31">
        <f>IF(D1698="BAF20",20/M1698,100)</f>
        <v/>
      </c>
      <c r="O1698" s="31">
        <f>M1698*N1698</f>
        <v/>
      </c>
      <c r="P1698" s="32">
        <f>289.4*N1698</f>
        <v/>
      </c>
    </row>
    <row r="1699">
      <c r="A1699" t="inlineStr">
        <is>
          <t>U5-09</t>
        </is>
      </c>
      <c r="B1699" t="n">
        <v>5</v>
      </c>
      <c r="C1699" t="n">
        <v>6</v>
      </c>
      <c r="D1699" t="inlineStr">
        <is>
          <t>BAF20</t>
        </is>
      </c>
      <c r="E1699" t="inlineStr">
        <is>
          <t>BO</t>
        </is>
      </c>
      <c r="F1699" t="n">
        <v>18.2</v>
      </c>
      <c r="G1699" t="n">
        <v>64</v>
      </c>
      <c r="H1699" t="n">
        <v>5</v>
      </c>
      <c r="I1699" t="inlineStr">
        <is>
          <t>L</t>
        </is>
      </c>
      <c r="J1699" t="inlineStr">
        <is>
          <t>I</t>
        </is>
      </c>
      <c r="K1699" t="inlineStr"/>
      <c r="L1699" t="inlineStr"/>
      <c r="M1699" s="30">
        <f>0.005454*F1699^2</f>
        <v/>
      </c>
      <c r="N1699" s="31">
        <f>IF(D1699="BAF20",20/M1699,100)</f>
        <v/>
      </c>
      <c r="O1699" s="31">
        <f>M1699*N1699</f>
        <v/>
      </c>
      <c r="P1699" s="32">
        <f>170.5*N1699</f>
        <v/>
      </c>
    </row>
    <row r="1700">
      <c r="A1700" t="inlineStr">
        <is>
          <t>U5-09</t>
        </is>
      </c>
      <c r="B1700" t="n">
        <v>5</v>
      </c>
      <c r="C1700" t="n">
        <v>7</v>
      </c>
      <c r="D1700" t="inlineStr">
        <is>
          <t>BAF20</t>
        </is>
      </c>
      <c r="E1700" t="inlineStr">
        <is>
          <t>BO</t>
        </is>
      </c>
      <c r="F1700" t="n">
        <v>14.5</v>
      </c>
      <c r="G1700" t="n">
        <v>51</v>
      </c>
      <c r="H1700" t="n">
        <v>31</v>
      </c>
      <c r="I1700" t="inlineStr">
        <is>
          <t>L</t>
        </is>
      </c>
      <c r="J1700" t="inlineStr">
        <is>
          <t>S</t>
        </is>
      </c>
      <c r="K1700" t="inlineStr"/>
      <c r="L1700" t="inlineStr"/>
      <c r="M1700" s="30">
        <f>0.005454*F1700^2</f>
        <v/>
      </c>
      <c r="N1700" s="31">
        <f>IF(D1700="BAF20",20/M1700,100)</f>
        <v/>
      </c>
      <c r="O1700" s="31">
        <f>M1700*N1700</f>
        <v/>
      </c>
      <c r="P1700" s="32">
        <f>58.0*N1700</f>
        <v/>
      </c>
    </row>
    <row r="1701">
      <c r="A1701" t="inlineStr">
        <is>
          <t>U5-09</t>
        </is>
      </c>
      <c r="B1701" t="n">
        <v>5</v>
      </c>
      <c r="C1701" t="n">
        <v>8</v>
      </c>
      <c r="D1701" t="inlineStr">
        <is>
          <t>BAF20</t>
        </is>
      </c>
      <c r="E1701" t="inlineStr">
        <is>
          <t>IC</t>
        </is>
      </c>
      <c r="F1701" t="n">
        <v>23.8</v>
      </c>
      <c r="G1701" t="n">
        <v>88</v>
      </c>
      <c r="H1701" t="n">
        <v>5</v>
      </c>
      <c r="I1701" t="inlineStr">
        <is>
          <t>L</t>
        </is>
      </c>
      <c r="J1701" t="inlineStr">
        <is>
          <t>I</t>
        </is>
      </c>
      <c r="K1701" t="inlineStr">
        <is>
          <t>Y</t>
        </is>
      </c>
      <c r="L1701" t="inlineStr"/>
      <c r="M1701" s="30">
        <f>0.005454*F1701^2</f>
        <v/>
      </c>
      <c r="N1701" s="31">
        <f>IF(D1701="BAF20",20/M1701,100)</f>
        <v/>
      </c>
      <c r="O1701" s="31">
        <f>M1701*N1701</f>
        <v/>
      </c>
      <c r="P1701" s="32">
        <f>492.2*N1701</f>
        <v/>
      </c>
    </row>
    <row r="1702">
      <c r="A1702" t="inlineStr">
        <is>
          <t>U5-09</t>
        </is>
      </c>
      <c r="B1702" t="n">
        <v>5</v>
      </c>
      <c r="C1702" t="n">
        <v>9</v>
      </c>
      <c r="D1702" t="inlineStr">
        <is>
          <t>BAF20</t>
        </is>
      </c>
      <c r="E1702" t="inlineStr">
        <is>
          <t>DF</t>
        </is>
      </c>
      <c r="F1702" t="n">
        <v>22</v>
      </c>
      <c r="G1702" t="n">
        <v>98</v>
      </c>
      <c r="H1702" t="n">
        <v>3</v>
      </c>
      <c r="I1702" t="inlineStr">
        <is>
          <t>L</t>
        </is>
      </c>
      <c r="J1702" t="inlineStr">
        <is>
          <t>I</t>
        </is>
      </c>
      <c r="K1702" t="inlineStr"/>
      <c r="L1702" t="inlineStr"/>
      <c r="M1702" s="30">
        <f>0.005454*F1702^2</f>
        <v/>
      </c>
      <c r="N1702" s="31">
        <f>IF(D1702="BAF20",20/M1702,100)</f>
        <v/>
      </c>
      <c r="O1702" s="31">
        <f>M1702*N1702</f>
        <v/>
      </c>
      <c r="P1702" s="32">
        <f>462.9*N1702</f>
        <v/>
      </c>
    </row>
    <row r="1703">
      <c r="A1703" t="inlineStr">
        <is>
          <t>U5-09</t>
        </is>
      </c>
      <c r="B1703" t="n">
        <v>5</v>
      </c>
      <c r="C1703" t="n">
        <v>10</v>
      </c>
      <c r="D1703" t="inlineStr">
        <is>
          <t>BAF20</t>
        </is>
      </c>
      <c r="E1703" t="inlineStr">
        <is>
          <t>WF</t>
        </is>
      </c>
      <c r="F1703" t="n">
        <v>20.4</v>
      </c>
      <c r="G1703" t="n">
        <v>100</v>
      </c>
      <c r="H1703" t="n">
        <v>15</v>
      </c>
      <c r="I1703" t="inlineStr">
        <is>
          <t>L</t>
        </is>
      </c>
      <c r="J1703" t="inlineStr">
        <is>
          <t>I</t>
        </is>
      </c>
      <c r="K1703" t="inlineStr"/>
      <c r="L1703" t="inlineStr"/>
      <c r="M1703" s="30">
        <f>0.005454*F1703^2</f>
        <v/>
      </c>
      <c r="N1703" s="31">
        <f>IF(D1703="BAF20",20/M1703,100)</f>
        <v/>
      </c>
      <c r="O1703" s="31">
        <f>M1703*N1703</f>
        <v/>
      </c>
      <c r="P1703" s="32">
        <f>345.4*N1703</f>
        <v/>
      </c>
    </row>
    <row r="1704">
      <c r="A1704" t="inlineStr">
        <is>
          <t>U5-09</t>
        </is>
      </c>
      <c r="B1704" t="n">
        <v>5</v>
      </c>
      <c r="C1704" t="n">
        <v>11</v>
      </c>
      <c r="D1704" t="inlineStr">
        <is>
          <t>BAF20</t>
        </is>
      </c>
      <c r="E1704" t="inlineStr">
        <is>
          <t>WF</t>
        </is>
      </c>
      <c r="F1704" t="n">
        <v>46.6</v>
      </c>
      <c r="G1704" t="n">
        <v>141</v>
      </c>
      <c r="H1704" t="n">
        <v>7</v>
      </c>
      <c r="I1704" t="inlineStr">
        <is>
          <t>L</t>
        </is>
      </c>
      <c r="J1704" t="inlineStr">
        <is>
          <t>D</t>
        </is>
      </c>
      <c r="K1704" t="inlineStr"/>
      <c r="L1704" t="inlineStr"/>
      <c r="M1704" s="30">
        <f>0.005454*F1704^2</f>
        <v/>
      </c>
      <c r="N1704" s="31">
        <f>IF(D1704="BAF20",20/M1704,100)</f>
        <v/>
      </c>
      <c r="O1704" s="31">
        <f>M1704*N1704</f>
        <v/>
      </c>
      <c r="P1704" s="32">
        <f>3639.8*N1704</f>
        <v/>
      </c>
    </row>
    <row r="1705">
      <c r="A1705" t="inlineStr">
        <is>
          <t>U5-09</t>
        </is>
      </c>
      <c r="B1705" t="n">
        <v>5</v>
      </c>
      <c r="C1705" t="n">
        <v>12</v>
      </c>
      <c r="D1705" t="inlineStr">
        <is>
          <t>BAF20</t>
        </is>
      </c>
      <c r="E1705" t="inlineStr">
        <is>
          <t>DF</t>
        </is>
      </c>
      <c r="F1705" t="n">
        <v>53.4</v>
      </c>
      <c r="G1705" t="n">
        <v>146</v>
      </c>
      <c r="H1705" t="n">
        <v>6</v>
      </c>
      <c r="I1705" t="inlineStr">
        <is>
          <t>L</t>
        </is>
      </c>
      <c r="J1705" t="inlineStr">
        <is>
          <t>D</t>
        </is>
      </c>
      <c r="K1705" t="inlineStr"/>
      <c r="L1705" t="inlineStr"/>
      <c r="M1705" s="30">
        <f>0.005454*F1705^2</f>
        <v/>
      </c>
      <c r="N1705" s="31">
        <f>IF(D1705="BAF20",20/M1705,100)</f>
        <v/>
      </c>
      <c r="O1705" s="31">
        <f>M1705*N1705</f>
        <v/>
      </c>
      <c r="P1705" s="32">
        <f>5002.2*N1705</f>
        <v/>
      </c>
    </row>
    <row r="1706">
      <c r="A1706" t="inlineStr">
        <is>
          <t>U5-09</t>
        </is>
      </c>
      <c r="B1706" t="n">
        <v>5</v>
      </c>
      <c r="C1706" t="n">
        <v>13</v>
      </c>
      <c r="D1706" t="inlineStr">
        <is>
          <t>BAF20</t>
        </is>
      </c>
      <c r="E1706" t="inlineStr">
        <is>
          <t>WF</t>
        </is>
      </c>
      <c r="F1706" t="n">
        <v>14.9</v>
      </c>
      <c r="G1706" t="n">
        <v>70</v>
      </c>
      <c r="H1706" t="n">
        <v>13</v>
      </c>
      <c r="I1706" t="inlineStr">
        <is>
          <t>L</t>
        </is>
      </c>
      <c r="J1706" t="inlineStr">
        <is>
          <t>S</t>
        </is>
      </c>
      <c r="K1706" t="inlineStr"/>
      <c r="L1706" t="inlineStr"/>
      <c r="M1706" s="30">
        <f>0.005454*F1706^2</f>
        <v/>
      </c>
      <c r="N1706" s="31">
        <f>IF(D1706="BAF20",20/M1706,100)</f>
        <v/>
      </c>
      <c r="O1706" s="31">
        <f>M1706*N1706</f>
        <v/>
      </c>
      <c r="P1706" s="32">
        <f>118.2*N1706</f>
        <v/>
      </c>
    </row>
    <row r="1707">
      <c r="A1707" t="inlineStr">
        <is>
          <t>U5-09</t>
        </is>
      </c>
      <c r="B1707" t="n">
        <v>5</v>
      </c>
      <c r="C1707" t="n">
        <v>14</v>
      </c>
      <c r="D1707" t="inlineStr">
        <is>
          <t>BAF20</t>
        </is>
      </c>
      <c r="E1707" t="inlineStr">
        <is>
          <t>SP</t>
        </is>
      </c>
      <c r="F1707" t="n">
        <v>30.9</v>
      </c>
      <c r="G1707" t="n">
        <v>139</v>
      </c>
      <c r="H1707" t="n">
        <v>100</v>
      </c>
      <c r="I1707" t="inlineStr">
        <is>
          <t>D</t>
        </is>
      </c>
      <c r="J1707" t="inlineStr">
        <is>
          <t>C</t>
        </is>
      </c>
      <c r="K1707" t="inlineStr"/>
      <c r="L1707" t="inlineStr"/>
      <c r="M1707" s="30">
        <f>0.005454*F1707^2</f>
        <v/>
      </c>
      <c r="N1707" s="31">
        <f>IF(D1707="BAF20",20/M1707,100)</f>
        <v/>
      </c>
      <c r="O1707" s="31">
        <f>M1707*N1707</f>
        <v/>
      </c>
      <c r="P1707" s="32">
        <f>0.0*N1707</f>
        <v/>
      </c>
    </row>
    <row r="1708">
      <c r="A1708" t="inlineStr">
        <is>
          <t>U5-09</t>
        </is>
      </c>
      <c r="B1708" t="n">
        <v>5</v>
      </c>
      <c r="C1708" t="n">
        <v>15</v>
      </c>
      <c r="D1708" t="inlineStr">
        <is>
          <t>BAF20</t>
        </is>
      </c>
      <c r="E1708" t="inlineStr">
        <is>
          <t>PP</t>
        </is>
      </c>
      <c r="F1708" t="n">
        <v>23.8</v>
      </c>
      <c r="G1708" t="n">
        <v>107</v>
      </c>
      <c r="H1708" t="n">
        <v>0</v>
      </c>
      <c r="I1708" t="inlineStr">
        <is>
          <t>L</t>
        </is>
      </c>
      <c r="J1708" t="inlineStr">
        <is>
          <t>I</t>
        </is>
      </c>
      <c r="K1708" t="inlineStr"/>
      <c r="L1708" t="inlineStr"/>
      <c r="M1708" s="30">
        <f>0.005454*F1708^2</f>
        <v/>
      </c>
      <c r="N1708" s="31">
        <f>IF(D1708="BAF20",20/M1708,100)</f>
        <v/>
      </c>
      <c r="O1708" s="31">
        <f>M1708*N1708</f>
        <v/>
      </c>
      <c r="P1708" s="32">
        <f>630.0*N1708</f>
        <v/>
      </c>
    </row>
    <row r="1709">
      <c r="A1709" t="inlineStr">
        <is>
          <t>U5-09</t>
        </is>
      </c>
      <c r="B1709" t="n">
        <v>5</v>
      </c>
      <c r="C1709" t="n">
        <v>16</v>
      </c>
      <c r="D1709" t="inlineStr">
        <is>
          <t>BAF20</t>
        </is>
      </c>
      <c r="E1709" t="inlineStr">
        <is>
          <t>PP</t>
        </is>
      </c>
      <c r="F1709" t="n">
        <v>5</v>
      </c>
      <c r="G1709" t="n">
        <v>26</v>
      </c>
      <c r="H1709" t="n">
        <v>1</v>
      </c>
      <c r="I1709" t="inlineStr">
        <is>
          <t>L</t>
        </is>
      </c>
      <c r="J1709" t="inlineStr">
        <is>
          <t>S</t>
        </is>
      </c>
      <c r="K1709" t="inlineStr"/>
      <c r="L1709" t="inlineStr"/>
      <c r="M1709" s="30">
        <f>0.005454*F1709^2</f>
        <v/>
      </c>
      <c r="N1709" s="31">
        <f>IF(D1709="BAF20",20/M1709,100)</f>
        <v/>
      </c>
      <c r="O1709" s="31">
        <f>M1709*N1709</f>
        <v/>
      </c>
      <c r="P1709" s="32">
        <f>0.0*N1709</f>
        <v/>
      </c>
    </row>
    <row r="1710">
      <c r="A1710" t="inlineStr">
        <is>
          <t>U5-09</t>
        </is>
      </c>
      <c r="B1710" t="n">
        <v>5</v>
      </c>
      <c r="C1710" t="n">
        <v>17</v>
      </c>
      <c r="D1710" t="inlineStr">
        <is>
          <t>BAF20</t>
        </is>
      </c>
      <c r="E1710" t="inlineStr">
        <is>
          <t>DF</t>
        </is>
      </c>
      <c r="F1710" t="n">
        <v>11.8</v>
      </c>
      <c r="G1710" t="n">
        <v>63</v>
      </c>
      <c r="H1710" t="n">
        <v>1</v>
      </c>
      <c r="I1710" t="inlineStr">
        <is>
          <t>L</t>
        </is>
      </c>
      <c r="J1710" t="inlineStr">
        <is>
          <t>S</t>
        </is>
      </c>
      <c r="K1710" t="inlineStr"/>
      <c r="L1710" t="inlineStr"/>
      <c r="M1710" s="30">
        <f>0.005454*F1710^2</f>
        <v/>
      </c>
      <c r="N1710" s="31">
        <f>IF(D1710="BAF20",20/M1710,100)</f>
        <v/>
      </c>
      <c r="O1710" s="31">
        <f>M1710*N1710</f>
        <v/>
      </c>
      <c r="P1710" s="32">
        <f>70.9*N1710</f>
        <v/>
      </c>
    </row>
    <row r="1711">
      <c r="A1711" t="inlineStr">
        <is>
          <t>U5-09</t>
        </is>
      </c>
      <c r="B1711" t="n">
        <v>5</v>
      </c>
      <c r="C1711" t="n">
        <v>18</v>
      </c>
      <c r="D1711" t="inlineStr">
        <is>
          <t>BAF20</t>
        </is>
      </c>
      <c r="E1711" t="inlineStr">
        <is>
          <t>IC</t>
        </is>
      </c>
      <c r="F1711" t="n">
        <v>8</v>
      </c>
      <c r="G1711" t="n">
        <v>35</v>
      </c>
      <c r="H1711" t="n">
        <v>13</v>
      </c>
      <c r="I1711" t="inlineStr">
        <is>
          <t>L</t>
        </is>
      </c>
      <c r="J1711" t="inlineStr">
        <is>
          <t>S</t>
        </is>
      </c>
      <c r="K1711" t="inlineStr"/>
      <c r="L1711" t="inlineStr"/>
      <c r="M1711" s="30">
        <f>0.005454*F1711^2</f>
        <v/>
      </c>
      <c r="N1711" s="31">
        <f>IF(D1711="BAF20",20/M1711,100)</f>
        <v/>
      </c>
      <c r="O1711" s="31">
        <f>M1711*N1711</f>
        <v/>
      </c>
      <c r="P1711" s="32">
        <f>0.0*N1711</f>
        <v/>
      </c>
    </row>
    <row r="1712">
      <c r="A1712" t="inlineStr">
        <is>
          <t>U6-01</t>
        </is>
      </c>
      <c r="B1712" t="n">
        <v>6</v>
      </c>
      <c r="C1712" t="n">
        <v>1</v>
      </c>
      <c r="D1712" t="inlineStr">
        <is>
          <t>BAF20</t>
        </is>
      </c>
      <c r="E1712" t="inlineStr">
        <is>
          <t>PP</t>
        </is>
      </c>
      <c r="F1712" t="n">
        <v>5</v>
      </c>
      <c r="G1712" t="n">
        <v>29</v>
      </c>
      <c r="H1712" t="n">
        <v>7</v>
      </c>
      <c r="I1712" t="inlineStr">
        <is>
          <t>L</t>
        </is>
      </c>
      <c r="J1712" t="inlineStr">
        <is>
          <t>S</t>
        </is>
      </c>
      <c r="K1712" t="inlineStr"/>
      <c r="L1712" t="inlineStr"/>
      <c r="M1712" s="30">
        <f>0.005454*F1712^2</f>
        <v/>
      </c>
      <c r="N1712" s="31">
        <f>IF(D1712="BAF20",20/M1712,100)</f>
        <v/>
      </c>
      <c r="O1712" s="31">
        <f>M1712*N1712</f>
        <v/>
      </c>
      <c r="P1712" s="32">
        <f>0.0*N1712</f>
        <v/>
      </c>
    </row>
    <row r="1713">
      <c r="A1713" t="inlineStr">
        <is>
          <t>U6-01</t>
        </is>
      </c>
      <c r="B1713" t="n">
        <v>6</v>
      </c>
      <c r="C1713" t="n">
        <v>2</v>
      </c>
      <c r="D1713" t="inlineStr">
        <is>
          <t>BAF20</t>
        </is>
      </c>
      <c r="E1713" t="inlineStr">
        <is>
          <t>PP</t>
        </is>
      </c>
      <c r="F1713" t="n">
        <v>21.2</v>
      </c>
      <c r="G1713" t="n">
        <v>87</v>
      </c>
      <c r="H1713" t="n">
        <v>7</v>
      </c>
      <c r="I1713" t="inlineStr">
        <is>
          <t>L</t>
        </is>
      </c>
      <c r="J1713" t="inlineStr">
        <is>
          <t>I</t>
        </is>
      </c>
      <c r="K1713" t="inlineStr"/>
      <c r="L1713" t="inlineStr"/>
      <c r="M1713" s="30">
        <f>0.005454*F1713^2</f>
        <v/>
      </c>
      <c r="N1713" s="31">
        <f>IF(D1713="BAF20",20/M1713,100)</f>
        <v/>
      </c>
      <c r="O1713" s="31">
        <f>M1713*N1713</f>
        <v/>
      </c>
      <c r="P1713" s="32">
        <f>360.5*N1713</f>
        <v/>
      </c>
    </row>
    <row r="1714">
      <c r="A1714" t="inlineStr">
        <is>
          <t>U6-01</t>
        </is>
      </c>
      <c r="B1714" t="n">
        <v>6</v>
      </c>
      <c r="C1714" t="n">
        <v>3</v>
      </c>
      <c r="D1714" t="inlineStr">
        <is>
          <t>BAF20</t>
        </is>
      </c>
      <c r="E1714" t="inlineStr">
        <is>
          <t>SP</t>
        </is>
      </c>
      <c r="F1714" t="n">
        <v>23.7</v>
      </c>
      <c r="G1714" t="n">
        <v>112</v>
      </c>
      <c r="H1714" t="n">
        <v>4</v>
      </c>
      <c r="I1714" t="inlineStr">
        <is>
          <t>L</t>
        </is>
      </c>
      <c r="J1714" t="inlineStr">
        <is>
          <t>C</t>
        </is>
      </c>
      <c r="K1714" t="inlineStr"/>
      <c r="L1714" t="inlineStr"/>
      <c r="M1714" s="30">
        <f>0.005454*F1714^2</f>
        <v/>
      </c>
      <c r="N1714" s="31">
        <f>IF(D1714="BAF20",20/M1714,100)</f>
        <v/>
      </c>
      <c r="O1714" s="31">
        <f>M1714*N1714</f>
        <v/>
      </c>
      <c r="P1714" s="32">
        <f>626.6*N1714</f>
        <v/>
      </c>
    </row>
    <row r="1715">
      <c r="A1715" t="inlineStr">
        <is>
          <t>U6-01</t>
        </is>
      </c>
      <c r="B1715" t="n">
        <v>6</v>
      </c>
      <c r="C1715" t="n">
        <v>4</v>
      </c>
      <c r="D1715" t="inlineStr">
        <is>
          <t>BAF20</t>
        </is>
      </c>
      <c r="E1715" t="inlineStr">
        <is>
          <t>DF</t>
        </is>
      </c>
      <c r="F1715" t="n">
        <v>22.9</v>
      </c>
      <c r="G1715" t="n">
        <v>93</v>
      </c>
      <c r="H1715" t="n">
        <v>100</v>
      </c>
      <c r="I1715" t="inlineStr">
        <is>
          <t>D</t>
        </is>
      </c>
      <c r="J1715" t="inlineStr">
        <is>
          <t>I</t>
        </is>
      </c>
      <c r="K1715" t="inlineStr"/>
      <c r="L1715" t="inlineStr"/>
      <c r="M1715" s="30">
        <f>0.005454*F1715^2</f>
        <v/>
      </c>
      <c r="N1715" s="31">
        <f>IF(D1715="BAF20",20/M1715,100)</f>
        <v/>
      </c>
      <c r="O1715" s="31">
        <f>M1715*N1715</f>
        <v/>
      </c>
      <c r="P1715" s="32">
        <f>0.0*N1715</f>
        <v/>
      </c>
    </row>
    <row r="1716">
      <c r="A1716" t="inlineStr">
        <is>
          <t>U6-01</t>
        </is>
      </c>
      <c r="B1716" t="n">
        <v>6</v>
      </c>
      <c r="C1716" t="n">
        <v>5</v>
      </c>
      <c r="D1716" t="inlineStr">
        <is>
          <t>BAF20</t>
        </is>
      </c>
      <c r="E1716" t="inlineStr">
        <is>
          <t>SP</t>
        </is>
      </c>
      <c r="F1716" t="n">
        <v>51.9</v>
      </c>
      <c r="G1716" t="n">
        <v>151</v>
      </c>
      <c r="H1716" t="n">
        <v>9</v>
      </c>
      <c r="I1716" t="inlineStr">
        <is>
          <t>L</t>
        </is>
      </c>
      <c r="J1716" t="inlineStr">
        <is>
          <t>D</t>
        </is>
      </c>
      <c r="K1716" t="inlineStr"/>
      <c r="L1716" t="inlineStr"/>
      <c r="M1716" s="30">
        <f>0.005454*F1716^2</f>
        <v/>
      </c>
      <c r="N1716" s="31">
        <f>IF(D1716="BAF20",20/M1716,100)</f>
        <v/>
      </c>
      <c r="O1716" s="31">
        <f>M1716*N1716</f>
        <v/>
      </c>
      <c r="P1716" s="32">
        <f>4731.0*N1716</f>
        <v/>
      </c>
    </row>
    <row r="1717">
      <c r="A1717" t="inlineStr">
        <is>
          <t>U6-01</t>
        </is>
      </c>
      <c r="B1717" t="n">
        <v>6</v>
      </c>
      <c r="C1717" t="n">
        <v>6</v>
      </c>
      <c r="D1717" t="inlineStr">
        <is>
          <t>BAF20</t>
        </is>
      </c>
      <c r="E1717" t="inlineStr">
        <is>
          <t>IC</t>
        </is>
      </c>
      <c r="F1717" t="n">
        <v>14</v>
      </c>
      <c r="G1717" t="n">
        <v>62</v>
      </c>
      <c r="H1717" t="n">
        <v>12</v>
      </c>
      <c r="I1717" t="inlineStr">
        <is>
          <t>L</t>
        </is>
      </c>
      <c r="J1717" t="inlineStr">
        <is>
          <t>S</t>
        </is>
      </c>
      <c r="K1717" t="inlineStr"/>
      <c r="L1717" t="inlineStr"/>
      <c r="M1717" s="30">
        <f>0.005454*F1717^2</f>
        <v/>
      </c>
      <c r="N1717" s="31">
        <f>IF(D1717="BAF20",20/M1717,100)</f>
        <v/>
      </c>
      <c r="O1717" s="31">
        <f>M1717*N1717</f>
        <v/>
      </c>
      <c r="P1717" s="32">
        <f>91.7*N1717</f>
        <v/>
      </c>
    </row>
    <row r="1718">
      <c r="A1718" t="inlineStr">
        <is>
          <t>U6-01</t>
        </is>
      </c>
      <c r="B1718" t="n">
        <v>6</v>
      </c>
      <c r="C1718" t="n">
        <v>7</v>
      </c>
      <c r="D1718" t="inlineStr">
        <is>
          <t>BAF20</t>
        </is>
      </c>
      <c r="E1718" t="inlineStr">
        <is>
          <t>PP</t>
        </is>
      </c>
      <c r="F1718" t="n">
        <v>8.9</v>
      </c>
      <c r="G1718" t="n">
        <v>47</v>
      </c>
      <c r="H1718" t="n">
        <v>2</v>
      </c>
      <c r="I1718" t="inlineStr">
        <is>
          <t>L</t>
        </is>
      </c>
      <c r="J1718" t="inlineStr">
        <is>
          <t>S</t>
        </is>
      </c>
      <c r="K1718" t="inlineStr"/>
      <c r="L1718" t="inlineStr"/>
      <c r="M1718" s="30">
        <f>0.005454*F1718^2</f>
        <v/>
      </c>
      <c r="N1718" s="31">
        <f>IF(D1718="BAF20",20/M1718,100)</f>
        <v/>
      </c>
      <c r="O1718" s="31">
        <f>M1718*N1718</f>
        <v/>
      </c>
      <c r="P1718" s="32">
        <f>0.0*N1718</f>
        <v/>
      </c>
    </row>
    <row r="1719">
      <c r="A1719" t="inlineStr">
        <is>
          <t>U6-01</t>
        </is>
      </c>
      <c r="B1719" t="n">
        <v>6</v>
      </c>
      <c r="C1719" t="n">
        <v>8</v>
      </c>
      <c r="D1719" t="inlineStr">
        <is>
          <t>BAF20</t>
        </is>
      </c>
      <c r="E1719" t="inlineStr">
        <is>
          <t>PP</t>
        </is>
      </c>
      <c r="F1719" t="n">
        <v>5.8</v>
      </c>
      <c r="G1719" t="n">
        <v>35</v>
      </c>
      <c r="H1719" t="n">
        <v>1</v>
      </c>
      <c r="I1719" t="inlineStr">
        <is>
          <t>L</t>
        </is>
      </c>
      <c r="J1719" t="inlineStr">
        <is>
          <t>S</t>
        </is>
      </c>
      <c r="K1719" t="inlineStr"/>
      <c r="L1719" t="inlineStr"/>
      <c r="M1719" s="30">
        <f>0.005454*F1719^2</f>
        <v/>
      </c>
      <c r="N1719" s="31">
        <f>IF(D1719="BAF20",20/M1719,100)</f>
        <v/>
      </c>
      <c r="O1719" s="31">
        <f>M1719*N1719</f>
        <v/>
      </c>
      <c r="P1719" s="32">
        <f>0.0*N1719</f>
        <v/>
      </c>
    </row>
    <row r="1720">
      <c r="A1720" t="inlineStr">
        <is>
          <t>U6-01</t>
        </is>
      </c>
      <c r="B1720" t="n">
        <v>6</v>
      </c>
      <c r="C1720" t="n">
        <v>9</v>
      </c>
      <c r="D1720" t="inlineStr">
        <is>
          <t>BAF20</t>
        </is>
      </c>
      <c r="E1720" t="inlineStr">
        <is>
          <t>PP</t>
        </is>
      </c>
      <c r="F1720" t="n">
        <v>44</v>
      </c>
      <c r="G1720" t="n">
        <v>150</v>
      </c>
      <c r="H1720" t="n">
        <v>2</v>
      </c>
      <c r="I1720" t="inlineStr">
        <is>
          <t>L</t>
        </is>
      </c>
      <c r="J1720" t="inlineStr">
        <is>
          <t>D</t>
        </is>
      </c>
      <c r="K1720" t="inlineStr"/>
      <c r="L1720" t="inlineStr"/>
      <c r="M1720" s="30">
        <f>0.005454*F1720^2</f>
        <v/>
      </c>
      <c r="N1720" s="31">
        <f>IF(D1720="BAF20",20/M1720,100)</f>
        <v/>
      </c>
      <c r="O1720" s="31">
        <f>M1720*N1720</f>
        <v/>
      </c>
      <c r="P1720" s="32">
        <f>3637.7*N1720</f>
        <v/>
      </c>
    </row>
    <row r="1721">
      <c r="A1721" t="inlineStr">
        <is>
          <t>U6-01</t>
        </is>
      </c>
      <c r="B1721" t="n">
        <v>6</v>
      </c>
      <c r="C1721" t="n">
        <v>10</v>
      </c>
      <c r="D1721" t="inlineStr">
        <is>
          <t>BAF20</t>
        </is>
      </c>
      <c r="E1721" t="inlineStr">
        <is>
          <t>PP</t>
        </is>
      </c>
      <c r="F1721" t="n">
        <v>17.6</v>
      </c>
      <c r="G1721" t="n">
        <v>71</v>
      </c>
      <c r="H1721" t="n">
        <v>100</v>
      </c>
      <c r="I1721" t="inlineStr">
        <is>
          <t>D</t>
        </is>
      </c>
      <c r="J1721" t="inlineStr">
        <is>
          <t>I</t>
        </is>
      </c>
      <c r="K1721" t="inlineStr"/>
      <c r="L1721" t="inlineStr"/>
      <c r="M1721" s="30">
        <f>0.005454*F1721^2</f>
        <v/>
      </c>
      <c r="N1721" s="31">
        <f>IF(D1721="BAF20",20/M1721,100)</f>
        <v/>
      </c>
      <c r="O1721" s="31">
        <f>M1721*N1721</f>
        <v/>
      </c>
      <c r="P1721" s="32">
        <f>0.0*N1721</f>
        <v/>
      </c>
    </row>
    <row r="1722">
      <c r="A1722" t="inlineStr">
        <is>
          <t>U6-01</t>
        </is>
      </c>
      <c r="B1722" t="n">
        <v>6</v>
      </c>
      <c r="C1722" t="n">
        <v>11</v>
      </c>
      <c r="D1722" t="inlineStr">
        <is>
          <t>BAF20</t>
        </is>
      </c>
      <c r="E1722" t="inlineStr">
        <is>
          <t>BO</t>
        </is>
      </c>
      <c r="F1722" t="n">
        <v>13.8</v>
      </c>
      <c r="G1722" t="n">
        <v>48</v>
      </c>
      <c r="H1722" t="n">
        <v>100</v>
      </c>
      <c r="I1722" t="inlineStr">
        <is>
          <t>D</t>
        </is>
      </c>
      <c r="J1722" t="inlineStr">
        <is>
          <t>S</t>
        </is>
      </c>
      <c r="K1722" t="inlineStr"/>
      <c r="L1722" t="inlineStr"/>
      <c r="M1722" s="30">
        <f>0.005454*F1722^2</f>
        <v/>
      </c>
      <c r="N1722" s="31">
        <f>IF(D1722="BAF20",20/M1722,100)</f>
        <v/>
      </c>
      <c r="O1722" s="31">
        <f>M1722*N1722</f>
        <v/>
      </c>
      <c r="P1722" s="32">
        <f>0.0*N1722</f>
        <v/>
      </c>
    </row>
    <row r="1723">
      <c r="A1723" t="inlineStr">
        <is>
          <t>U6-01</t>
        </is>
      </c>
      <c r="B1723" t="n">
        <v>6</v>
      </c>
      <c r="C1723" t="n">
        <v>12</v>
      </c>
      <c r="D1723" t="inlineStr">
        <is>
          <t>BAF20</t>
        </is>
      </c>
      <c r="E1723" t="inlineStr">
        <is>
          <t>BO</t>
        </is>
      </c>
      <c r="F1723" t="n">
        <v>8.199999999999999</v>
      </c>
      <c r="G1723" t="n">
        <v>32</v>
      </c>
      <c r="H1723" t="n">
        <v>11</v>
      </c>
      <c r="I1723" t="inlineStr">
        <is>
          <t>L</t>
        </is>
      </c>
      <c r="J1723" t="inlineStr">
        <is>
          <t>S</t>
        </is>
      </c>
      <c r="K1723" t="inlineStr"/>
      <c r="L1723" t="inlineStr"/>
      <c r="M1723" s="30">
        <f>0.005454*F1723^2</f>
        <v/>
      </c>
      <c r="N1723" s="31">
        <f>IF(D1723="BAF20",20/M1723,100)</f>
        <v/>
      </c>
      <c r="O1723" s="31">
        <f>M1723*N1723</f>
        <v/>
      </c>
      <c r="P1723" s="32">
        <f>0.0*N1723</f>
        <v/>
      </c>
    </row>
    <row r="1724">
      <c r="A1724" t="inlineStr">
        <is>
          <t>U6-02</t>
        </is>
      </c>
      <c r="B1724" t="n">
        <v>6</v>
      </c>
      <c r="C1724" t="n">
        <v>1</v>
      </c>
      <c r="D1724" t="inlineStr">
        <is>
          <t>BAF20</t>
        </is>
      </c>
      <c r="E1724" t="inlineStr">
        <is>
          <t>PP</t>
        </is>
      </c>
      <c r="F1724" t="n">
        <v>27.5</v>
      </c>
      <c r="G1724" t="n">
        <v>103</v>
      </c>
      <c r="H1724" t="n">
        <v>1</v>
      </c>
      <c r="I1724" t="inlineStr">
        <is>
          <t>L</t>
        </is>
      </c>
      <c r="J1724" t="inlineStr">
        <is>
          <t>C</t>
        </is>
      </c>
      <c r="K1724" t="inlineStr"/>
      <c r="L1724" t="inlineStr"/>
      <c r="M1724" s="30">
        <f>0.005454*F1724^2</f>
        <v/>
      </c>
      <c r="N1724" s="31">
        <f>IF(D1724="BAF20",20/M1724,100)</f>
        <v/>
      </c>
      <c r="O1724" s="31">
        <f>M1724*N1724</f>
        <v/>
      </c>
      <c r="P1724" s="32">
        <f>854.5*N1724</f>
        <v/>
      </c>
    </row>
    <row r="1725">
      <c r="A1725" t="inlineStr">
        <is>
          <t>U6-02</t>
        </is>
      </c>
      <c r="B1725" t="n">
        <v>6</v>
      </c>
      <c r="C1725" t="n">
        <v>2</v>
      </c>
      <c r="D1725" t="inlineStr">
        <is>
          <t>BAF20</t>
        </is>
      </c>
      <c r="E1725" t="inlineStr">
        <is>
          <t>PP</t>
        </is>
      </c>
      <c r="F1725" t="n">
        <v>21.4</v>
      </c>
      <c r="G1725" t="n">
        <v>98</v>
      </c>
      <c r="H1725" t="n">
        <v>7</v>
      </c>
      <c r="I1725" t="inlineStr">
        <is>
          <t>L</t>
        </is>
      </c>
      <c r="J1725" t="inlineStr">
        <is>
          <t>I</t>
        </is>
      </c>
      <c r="K1725" t="inlineStr">
        <is>
          <t>Y</t>
        </is>
      </c>
      <c r="L1725" t="inlineStr"/>
      <c r="M1725" s="30">
        <f>0.005454*F1725^2</f>
        <v/>
      </c>
      <c r="N1725" s="31">
        <f>IF(D1725="BAF20",20/M1725,100)</f>
        <v/>
      </c>
      <c r="O1725" s="31">
        <f>M1725*N1725</f>
        <v/>
      </c>
      <c r="P1725" s="32">
        <f>415.3*N1725</f>
        <v/>
      </c>
    </row>
    <row r="1726">
      <c r="A1726" t="inlineStr">
        <is>
          <t>U6-02</t>
        </is>
      </c>
      <c r="B1726" t="n">
        <v>6</v>
      </c>
      <c r="C1726" t="n">
        <v>3</v>
      </c>
      <c r="D1726" t="inlineStr">
        <is>
          <t>BAF20</t>
        </is>
      </c>
      <c r="E1726" t="inlineStr">
        <is>
          <t>PP</t>
        </is>
      </c>
      <c r="F1726" t="n">
        <v>14</v>
      </c>
      <c r="G1726" t="n">
        <v>57</v>
      </c>
      <c r="H1726" t="n">
        <v>7</v>
      </c>
      <c r="I1726" t="inlineStr">
        <is>
          <t>L</t>
        </is>
      </c>
      <c r="J1726" t="inlineStr">
        <is>
          <t>S</t>
        </is>
      </c>
      <c r="K1726" t="inlineStr"/>
      <c r="L1726" t="inlineStr"/>
      <c r="M1726" s="30">
        <f>0.005454*F1726^2</f>
        <v/>
      </c>
      <c r="N1726" s="31">
        <f>IF(D1726="BAF20",20/M1726,100)</f>
        <v/>
      </c>
      <c r="O1726" s="31">
        <f>M1726*N1726</f>
        <v/>
      </c>
      <c r="P1726" s="32">
        <f>89.1*N1726</f>
        <v/>
      </c>
    </row>
    <row r="1727">
      <c r="A1727" t="inlineStr">
        <is>
          <t>U6-02</t>
        </is>
      </c>
      <c r="B1727" t="n">
        <v>6</v>
      </c>
      <c r="C1727" t="n">
        <v>4</v>
      </c>
      <c r="D1727" t="inlineStr">
        <is>
          <t>BAF20</t>
        </is>
      </c>
      <c r="E1727" t="inlineStr">
        <is>
          <t>WF</t>
        </is>
      </c>
      <c r="F1727" t="n">
        <v>17</v>
      </c>
      <c r="G1727" t="n">
        <v>74</v>
      </c>
      <c r="H1727" t="n">
        <v>100</v>
      </c>
      <c r="I1727" t="inlineStr">
        <is>
          <t>D</t>
        </is>
      </c>
      <c r="J1727" t="inlineStr">
        <is>
          <t>I</t>
        </is>
      </c>
      <c r="K1727" t="inlineStr"/>
      <c r="L1727" t="inlineStr"/>
      <c r="M1727" s="30">
        <f>0.005454*F1727^2</f>
        <v/>
      </c>
      <c r="N1727" s="31">
        <f>IF(D1727="BAF20",20/M1727,100)</f>
        <v/>
      </c>
      <c r="O1727" s="31">
        <f>M1727*N1727</f>
        <v/>
      </c>
      <c r="P1727" s="32">
        <f>0.0*N1727</f>
        <v/>
      </c>
    </row>
    <row r="1728">
      <c r="A1728" t="inlineStr">
        <is>
          <t>U6-02</t>
        </is>
      </c>
      <c r="B1728" t="n">
        <v>6</v>
      </c>
      <c r="C1728" t="n">
        <v>5</v>
      </c>
      <c r="D1728" t="inlineStr">
        <is>
          <t>BAF20</t>
        </is>
      </c>
      <c r="E1728" t="inlineStr">
        <is>
          <t>SP</t>
        </is>
      </c>
      <c r="F1728" t="n">
        <v>11.2</v>
      </c>
      <c r="G1728" t="n">
        <v>51</v>
      </c>
      <c r="H1728" t="n">
        <v>1</v>
      </c>
      <c r="I1728" t="inlineStr">
        <is>
          <t>L</t>
        </is>
      </c>
      <c r="J1728" t="inlineStr">
        <is>
          <t>S</t>
        </is>
      </c>
      <c r="K1728" t="inlineStr"/>
      <c r="L1728" t="inlineStr"/>
      <c r="M1728" s="30">
        <f>0.005454*F1728^2</f>
        <v/>
      </c>
      <c r="N1728" s="31">
        <f>IF(D1728="BAF20",20/M1728,100)</f>
        <v/>
      </c>
      <c r="O1728" s="31">
        <f>M1728*N1728</f>
        <v/>
      </c>
      <c r="P1728" s="32">
        <f>51.0*N1728</f>
        <v/>
      </c>
    </row>
    <row r="1729">
      <c r="A1729" t="inlineStr">
        <is>
          <t>U6-02</t>
        </is>
      </c>
      <c r="B1729" t="n">
        <v>6</v>
      </c>
      <c r="C1729" t="n">
        <v>6</v>
      </c>
      <c r="D1729" t="inlineStr">
        <is>
          <t>BAF20</t>
        </is>
      </c>
      <c r="E1729" t="inlineStr">
        <is>
          <t>DF</t>
        </is>
      </c>
      <c r="F1729" t="n">
        <v>19.5</v>
      </c>
      <c r="G1729" t="n">
        <v>93</v>
      </c>
      <c r="H1729" t="n">
        <v>6</v>
      </c>
      <c r="I1729" t="inlineStr">
        <is>
          <t>L</t>
        </is>
      </c>
      <c r="J1729" t="inlineStr">
        <is>
          <t>I</t>
        </is>
      </c>
      <c r="K1729" t="inlineStr"/>
      <c r="L1729" t="inlineStr"/>
      <c r="M1729" s="30">
        <f>0.005454*F1729^2</f>
        <v/>
      </c>
      <c r="N1729" s="31">
        <f>IF(D1729="BAF20",20/M1729,100)</f>
        <v/>
      </c>
      <c r="O1729" s="31">
        <f>M1729*N1729</f>
        <v/>
      </c>
      <c r="P1729" s="32">
        <f>319.0*N1729</f>
        <v/>
      </c>
    </row>
    <row r="1730">
      <c r="A1730" t="inlineStr">
        <is>
          <t>U6-02</t>
        </is>
      </c>
      <c r="B1730" t="n">
        <v>6</v>
      </c>
      <c r="C1730" t="n">
        <v>7</v>
      </c>
      <c r="D1730" t="inlineStr">
        <is>
          <t>BAF20</t>
        </is>
      </c>
      <c r="E1730" t="inlineStr">
        <is>
          <t>DF</t>
        </is>
      </c>
      <c r="F1730" t="n">
        <v>8.5</v>
      </c>
      <c r="G1730" t="n">
        <v>47</v>
      </c>
      <c r="H1730" t="n">
        <v>1</v>
      </c>
      <c r="I1730" t="inlineStr">
        <is>
          <t>L</t>
        </is>
      </c>
      <c r="J1730" t="inlineStr">
        <is>
          <t>S</t>
        </is>
      </c>
      <c r="K1730" t="inlineStr"/>
      <c r="L1730" t="inlineStr"/>
      <c r="M1730" s="30">
        <f>0.005454*F1730^2</f>
        <v/>
      </c>
      <c r="N1730" s="31">
        <f>IF(D1730="BAF20",20/M1730,100)</f>
        <v/>
      </c>
      <c r="O1730" s="31">
        <f>M1730*N1730</f>
        <v/>
      </c>
      <c r="P1730" s="32">
        <f>0.0*N1730</f>
        <v/>
      </c>
    </row>
    <row r="1731">
      <c r="A1731" t="inlineStr">
        <is>
          <t>U6-02</t>
        </is>
      </c>
      <c r="B1731" t="n">
        <v>6</v>
      </c>
      <c r="C1731" t="n">
        <v>8</v>
      </c>
      <c r="D1731" t="inlineStr">
        <is>
          <t>BAF20</t>
        </is>
      </c>
      <c r="E1731" t="inlineStr">
        <is>
          <t>BO</t>
        </is>
      </c>
      <c r="F1731" t="n">
        <v>8.6</v>
      </c>
      <c r="G1731" t="n">
        <v>34</v>
      </c>
      <c r="H1731" t="n">
        <v>10</v>
      </c>
      <c r="I1731" t="inlineStr">
        <is>
          <t>L</t>
        </is>
      </c>
      <c r="J1731" t="inlineStr">
        <is>
          <t>S</t>
        </is>
      </c>
      <c r="K1731" t="inlineStr"/>
      <c r="L1731" t="inlineStr"/>
      <c r="M1731" s="30">
        <f>0.005454*F1731^2</f>
        <v/>
      </c>
      <c r="N1731" s="31">
        <f>IF(D1731="BAF20",20/M1731,100)</f>
        <v/>
      </c>
      <c r="O1731" s="31">
        <f>M1731*N1731</f>
        <v/>
      </c>
      <c r="P1731" s="32">
        <f>0.0*N1731</f>
        <v/>
      </c>
    </row>
    <row r="1732">
      <c r="A1732" t="inlineStr">
        <is>
          <t>U6-02</t>
        </is>
      </c>
      <c r="B1732" t="n">
        <v>6</v>
      </c>
      <c r="C1732" t="n">
        <v>9</v>
      </c>
      <c r="D1732" t="inlineStr">
        <is>
          <t>BAF20</t>
        </is>
      </c>
      <c r="E1732" t="inlineStr">
        <is>
          <t>BO</t>
        </is>
      </c>
      <c r="F1732" t="n">
        <v>16.8</v>
      </c>
      <c r="G1732" t="n">
        <v>61</v>
      </c>
      <c r="H1732" t="n">
        <v>8</v>
      </c>
      <c r="I1732" t="inlineStr">
        <is>
          <t>L</t>
        </is>
      </c>
      <c r="J1732" t="inlineStr">
        <is>
          <t>I</t>
        </is>
      </c>
      <c r="K1732" t="inlineStr"/>
      <c r="L1732" t="inlineStr"/>
      <c r="M1732" s="30">
        <f>0.005454*F1732^2</f>
        <v/>
      </c>
      <c r="N1732" s="31">
        <f>IF(D1732="BAF20",20/M1732,100)</f>
        <v/>
      </c>
      <c r="O1732" s="31">
        <f>M1732*N1732</f>
        <v/>
      </c>
      <c r="P1732" s="32">
        <f>130.4*N1732</f>
        <v/>
      </c>
    </row>
    <row r="1733">
      <c r="A1733" t="inlineStr">
        <is>
          <t>U6-02</t>
        </is>
      </c>
      <c r="B1733" t="n">
        <v>6</v>
      </c>
      <c r="C1733" t="n">
        <v>10</v>
      </c>
      <c r="D1733" t="inlineStr">
        <is>
          <t>BAF20</t>
        </is>
      </c>
      <c r="E1733" t="inlineStr">
        <is>
          <t>DF</t>
        </is>
      </c>
      <c r="F1733" t="n">
        <v>15.6</v>
      </c>
      <c r="G1733" t="n">
        <v>81</v>
      </c>
      <c r="H1733" t="n">
        <v>5</v>
      </c>
      <c r="I1733" t="inlineStr">
        <is>
          <t>L</t>
        </is>
      </c>
      <c r="J1733" t="inlineStr">
        <is>
          <t>S</t>
        </is>
      </c>
      <c r="K1733" t="inlineStr"/>
      <c r="L1733" t="inlineStr"/>
      <c r="M1733" s="30">
        <f>0.005454*F1733^2</f>
        <v/>
      </c>
      <c r="N1733" s="31">
        <f>IF(D1733="BAF20",20/M1733,100)</f>
        <v/>
      </c>
      <c r="O1733" s="31">
        <f>M1733*N1733</f>
        <v/>
      </c>
      <c r="P1733" s="32">
        <f>166.2*N1733</f>
        <v/>
      </c>
    </row>
    <row r="1734">
      <c r="A1734" t="inlineStr">
        <is>
          <t>U6-02</t>
        </is>
      </c>
      <c r="B1734" t="n">
        <v>6</v>
      </c>
      <c r="C1734" t="n">
        <v>11</v>
      </c>
      <c r="D1734" t="inlineStr">
        <is>
          <t>BAF20</t>
        </is>
      </c>
      <c r="E1734" t="inlineStr">
        <is>
          <t>PP</t>
        </is>
      </c>
      <c r="F1734" t="n">
        <v>30.2</v>
      </c>
      <c r="G1734" t="n">
        <v>117</v>
      </c>
      <c r="H1734" t="n">
        <v>2</v>
      </c>
      <c r="I1734" t="inlineStr">
        <is>
          <t>L</t>
        </is>
      </c>
      <c r="J1734" t="inlineStr">
        <is>
          <t>D</t>
        </is>
      </c>
      <c r="K1734" t="inlineStr"/>
      <c r="L1734" t="inlineStr"/>
      <c r="M1734" s="30">
        <f>0.005454*F1734^2</f>
        <v/>
      </c>
      <c r="N1734" s="31">
        <f>IF(D1734="BAF20",20/M1734,100)</f>
        <v/>
      </c>
      <c r="O1734" s="31">
        <f>M1734*N1734</f>
        <v/>
      </c>
      <c r="P1734" s="32">
        <f>1211.2*N1734</f>
        <v/>
      </c>
    </row>
    <row r="1735">
      <c r="A1735" t="inlineStr">
        <is>
          <t>U6-02</t>
        </is>
      </c>
      <c r="B1735" t="n">
        <v>6</v>
      </c>
      <c r="C1735" t="n">
        <v>12</v>
      </c>
      <c r="D1735" t="inlineStr">
        <is>
          <t>FIX100</t>
        </is>
      </c>
      <c r="E1735" t="inlineStr">
        <is>
          <t>BO</t>
        </is>
      </c>
      <c r="F1735" t="n">
        <v>3.5</v>
      </c>
      <c r="G1735" t="n">
        <v>17</v>
      </c>
      <c r="H1735" t="n">
        <v>0</v>
      </c>
      <c r="I1735" t="inlineStr">
        <is>
          <t>L</t>
        </is>
      </c>
      <c r="J1735" t="inlineStr">
        <is>
          <t>S</t>
        </is>
      </c>
      <c r="K1735" t="inlineStr"/>
      <c r="L1735" t="inlineStr"/>
      <c r="M1735" s="30">
        <f>0.005454*F1735^2</f>
        <v/>
      </c>
      <c r="N1735" s="31">
        <f>IF(D1735="BAF20",20/M1735,100)</f>
        <v/>
      </c>
      <c r="O1735" s="31">
        <f>M1735*N1735</f>
        <v/>
      </c>
      <c r="P1735" s="32">
        <f>0.0*N1735</f>
        <v/>
      </c>
    </row>
    <row r="1736">
      <c r="A1736" t="inlineStr">
        <is>
          <t>U6-02</t>
        </is>
      </c>
      <c r="B1736" t="n">
        <v>6</v>
      </c>
      <c r="C1736" t="n">
        <v>13</v>
      </c>
      <c r="D1736" t="inlineStr">
        <is>
          <t>FIX100</t>
        </is>
      </c>
      <c r="E1736" t="inlineStr">
        <is>
          <t>BO</t>
        </is>
      </c>
      <c r="F1736" t="n">
        <v>3.5</v>
      </c>
      <c r="G1736" t="n">
        <v>16</v>
      </c>
      <c r="H1736" t="n">
        <v>0</v>
      </c>
      <c r="I1736" t="inlineStr">
        <is>
          <t>L</t>
        </is>
      </c>
      <c r="J1736" t="inlineStr">
        <is>
          <t>S</t>
        </is>
      </c>
      <c r="K1736" t="inlineStr"/>
      <c r="L1736" t="inlineStr"/>
      <c r="M1736" s="30">
        <f>0.005454*F1736^2</f>
        <v/>
      </c>
      <c r="N1736" s="31">
        <f>IF(D1736="BAF20",20/M1736,100)</f>
        <v/>
      </c>
      <c r="O1736" s="31">
        <f>M1736*N1736</f>
        <v/>
      </c>
      <c r="P1736" s="32">
        <f>0.0*N1736</f>
        <v/>
      </c>
    </row>
    <row r="1737">
      <c r="A1737" t="inlineStr">
        <is>
          <t>U6-03</t>
        </is>
      </c>
      <c r="B1737" t="n">
        <v>6</v>
      </c>
      <c r="C1737" t="n">
        <v>1</v>
      </c>
      <c r="D1737" t="inlineStr">
        <is>
          <t>BAF20</t>
        </is>
      </c>
      <c r="E1737" t="inlineStr">
        <is>
          <t>WF</t>
        </is>
      </c>
      <c r="F1737" t="n">
        <v>14.9</v>
      </c>
      <c r="G1737" t="n">
        <v>69</v>
      </c>
      <c r="H1737" t="n">
        <v>8</v>
      </c>
      <c r="I1737" t="inlineStr">
        <is>
          <t>L</t>
        </is>
      </c>
      <c r="J1737" t="inlineStr">
        <is>
          <t>S</t>
        </is>
      </c>
      <c r="K1737" t="inlineStr">
        <is>
          <t>Y</t>
        </is>
      </c>
      <c r="L1737" t="inlineStr"/>
      <c r="M1737" s="30">
        <f>0.005454*F1737^2</f>
        <v/>
      </c>
      <c r="N1737" s="31">
        <f>IF(D1737="BAF20",20/M1737,100)</f>
        <v/>
      </c>
      <c r="O1737" s="31">
        <f>M1737*N1737</f>
        <v/>
      </c>
      <c r="P1737" s="32">
        <f>123.2*N1737</f>
        <v/>
      </c>
    </row>
    <row r="1738">
      <c r="A1738" t="inlineStr">
        <is>
          <t>U6-03</t>
        </is>
      </c>
      <c r="B1738" t="n">
        <v>6</v>
      </c>
      <c r="C1738" t="n">
        <v>2</v>
      </c>
      <c r="D1738" t="inlineStr">
        <is>
          <t>BAF20</t>
        </is>
      </c>
      <c r="E1738" t="inlineStr">
        <is>
          <t>PP</t>
        </is>
      </c>
      <c r="F1738" t="n">
        <v>21.9</v>
      </c>
      <c r="G1738" t="n">
        <v>91</v>
      </c>
      <c r="H1738" t="n">
        <v>7</v>
      </c>
      <c r="I1738" t="inlineStr">
        <is>
          <t>L</t>
        </is>
      </c>
      <c r="J1738" t="inlineStr">
        <is>
          <t>I</t>
        </is>
      </c>
      <c r="K1738" t="inlineStr"/>
      <c r="L1738" t="inlineStr"/>
      <c r="M1738" s="30">
        <f>0.005454*F1738^2</f>
        <v/>
      </c>
      <c r="N1738" s="31">
        <f>IF(D1738="BAF20",20/M1738,100)</f>
        <v/>
      </c>
      <c r="O1738" s="31">
        <f>M1738*N1738</f>
        <v/>
      </c>
      <c r="P1738" s="32">
        <f>407.6*N1738</f>
        <v/>
      </c>
    </row>
    <row r="1739">
      <c r="A1739" t="inlineStr">
        <is>
          <t>U6-03</t>
        </is>
      </c>
      <c r="B1739" t="n">
        <v>6</v>
      </c>
      <c r="C1739" t="n">
        <v>3</v>
      </c>
      <c r="D1739" t="inlineStr">
        <is>
          <t>BAF20</t>
        </is>
      </c>
      <c r="E1739" t="inlineStr">
        <is>
          <t>IC</t>
        </is>
      </c>
      <c r="F1739" t="n">
        <v>5</v>
      </c>
      <c r="G1739" t="n">
        <v>24</v>
      </c>
      <c r="H1739" t="n">
        <v>10</v>
      </c>
      <c r="I1739" t="inlineStr">
        <is>
          <t>L</t>
        </is>
      </c>
      <c r="J1739" t="inlineStr">
        <is>
          <t>S</t>
        </is>
      </c>
      <c r="K1739" t="inlineStr"/>
      <c r="L1739" t="inlineStr"/>
      <c r="M1739" s="30">
        <f>0.005454*F1739^2</f>
        <v/>
      </c>
      <c r="N1739" s="31">
        <f>IF(D1739="BAF20",20/M1739,100)</f>
        <v/>
      </c>
      <c r="O1739" s="31">
        <f>M1739*N1739</f>
        <v/>
      </c>
      <c r="P1739" s="32">
        <f>0.0*N1739</f>
        <v/>
      </c>
    </row>
    <row r="1740">
      <c r="A1740" t="inlineStr">
        <is>
          <t>U6-03</t>
        </is>
      </c>
      <c r="B1740" t="n">
        <v>6</v>
      </c>
      <c r="C1740" t="n">
        <v>4</v>
      </c>
      <c r="D1740" t="inlineStr">
        <is>
          <t>BAF20</t>
        </is>
      </c>
      <c r="E1740" t="inlineStr">
        <is>
          <t>BO</t>
        </is>
      </c>
      <c r="F1740" t="n">
        <v>20.4</v>
      </c>
      <c r="G1740" t="n">
        <v>62</v>
      </c>
      <c r="H1740" t="n">
        <v>9</v>
      </c>
      <c r="I1740" t="inlineStr">
        <is>
          <t>L</t>
        </is>
      </c>
      <c r="J1740" t="inlineStr">
        <is>
          <t>I</t>
        </is>
      </c>
      <c r="K1740" t="inlineStr"/>
      <c r="L1740" t="inlineStr"/>
      <c r="M1740" s="30">
        <f>0.005454*F1740^2</f>
        <v/>
      </c>
      <c r="N1740" s="31">
        <f>IF(D1740="BAF20",20/M1740,100)</f>
        <v/>
      </c>
      <c r="O1740" s="31">
        <f>M1740*N1740</f>
        <v/>
      </c>
      <c r="P1740" s="32">
        <f>207.4*N1740</f>
        <v/>
      </c>
    </row>
    <row r="1741">
      <c r="A1741" t="inlineStr">
        <is>
          <t>U6-03</t>
        </is>
      </c>
      <c r="B1741" t="n">
        <v>6</v>
      </c>
      <c r="C1741" t="n">
        <v>5</v>
      </c>
      <c r="D1741" t="inlineStr">
        <is>
          <t>BAF20</t>
        </is>
      </c>
      <c r="E1741" t="inlineStr">
        <is>
          <t>IC</t>
        </is>
      </c>
      <c r="F1741" t="n">
        <v>20.8</v>
      </c>
      <c r="G1741" t="n">
        <v>71</v>
      </c>
      <c r="H1741" t="n">
        <v>9</v>
      </c>
      <c r="I1741" t="inlineStr">
        <is>
          <t>L</t>
        </is>
      </c>
      <c r="J1741" t="inlineStr">
        <is>
          <t>I</t>
        </is>
      </c>
      <c r="K1741" t="inlineStr"/>
      <c r="L1741" t="inlineStr"/>
      <c r="M1741" s="30">
        <f>0.005454*F1741^2</f>
        <v/>
      </c>
      <c r="N1741" s="31">
        <f>IF(D1741="BAF20",20/M1741,100)</f>
        <v/>
      </c>
      <c r="O1741" s="31">
        <f>M1741*N1741</f>
        <v/>
      </c>
      <c r="P1741" s="32">
        <f>275.0*N1741</f>
        <v/>
      </c>
    </row>
    <row r="1742">
      <c r="A1742" t="inlineStr">
        <is>
          <t>U6-03</t>
        </is>
      </c>
      <c r="B1742" t="n">
        <v>6</v>
      </c>
      <c r="C1742" t="n">
        <v>6</v>
      </c>
      <c r="D1742" t="inlineStr">
        <is>
          <t>BAF20</t>
        </is>
      </c>
      <c r="E1742" t="inlineStr">
        <is>
          <t>PP</t>
        </is>
      </c>
      <c r="F1742" t="n">
        <v>39.6</v>
      </c>
      <c r="G1742" t="n">
        <v>136</v>
      </c>
      <c r="H1742" t="n">
        <v>1</v>
      </c>
      <c r="I1742" t="inlineStr">
        <is>
          <t>L</t>
        </is>
      </c>
      <c r="J1742" t="inlineStr">
        <is>
          <t>D</t>
        </is>
      </c>
      <c r="K1742" t="inlineStr"/>
      <c r="L1742" t="inlineStr"/>
      <c r="M1742" s="30">
        <f>0.005454*F1742^2</f>
        <v/>
      </c>
      <c r="N1742" s="31">
        <f>IF(D1742="BAF20",20/M1742,100)</f>
        <v/>
      </c>
      <c r="O1742" s="31">
        <f>M1742*N1742</f>
        <v/>
      </c>
      <c r="P1742" s="32">
        <f>2698.8*N1742</f>
        <v/>
      </c>
    </row>
    <row r="1743">
      <c r="A1743" t="inlineStr">
        <is>
          <t>U6-03</t>
        </is>
      </c>
      <c r="B1743" t="n">
        <v>6</v>
      </c>
      <c r="C1743" t="n">
        <v>7</v>
      </c>
      <c r="D1743" t="inlineStr">
        <is>
          <t>BAF20</t>
        </is>
      </c>
      <c r="E1743" t="inlineStr">
        <is>
          <t>PP</t>
        </is>
      </c>
      <c r="F1743" t="n">
        <v>15.7</v>
      </c>
      <c r="G1743" t="n">
        <v>78</v>
      </c>
      <c r="H1743" t="n">
        <v>2</v>
      </c>
      <c r="I1743" t="inlineStr">
        <is>
          <t>L</t>
        </is>
      </c>
      <c r="J1743" t="inlineStr">
        <is>
          <t>S</t>
        </is>
      </c>
      <c r="K1743" t="inlineStr"/>
      <c r="L1743" t="inlineStr"/>
      <c r="M1743" s="30">
        <f>0.005454*F1743^2</f>
        <v/>
      </c>
      <c r="N1743" s="31">
        <f>IF(D1743="BAF20",20/M1743,100)</f>
        <v/>
      </c>
      <c r="O1743" s="31">
        <f>M1743*N1743</f>
        <v/>
      </c>
      <c r="P1743" s="32">
        <f>167.5*N1743</f>
        <v/>
      </c>
    </row>
    <row r="1744">
      <c r="A1744" t="inlineStr">
        <is>
          <t>U6-03</t>
        </is>
      </c>
      <c r="B1744" t="n">
        <v>6</v>
      </c>
      <c r="C1744" t="n">
        <v>8</v>
      </c>
      <c r="D1744" t="inlineStr">
        <is>
          <t>BAF20</t>
        </is>
      </c>
      <c r="E1744" t="inlineStr">
        <is>
          <t>PP</t>
        </is>
      </c>
      <c r="F1744" t="n">
        <v>14</v>
      </c>
      <c r="G1744" t="n">
        <v>67</v>
      </c>
      <c r="H1744" t="n">
        <v>0</v>
      </c>
      <c r="I1744" t="inlineStr">
        <is>
          <t>L</t>
        </is>
      </c>
      <c r="J1744" t="inlineStr">
        <is>
          <t>S</t>
        </is>
      </c>
      <c r="K1744" t="inlineStr"/>
      <c r="L1744" t="inlineStr"/>
      <c r="M1744" s="30">
        <f>0.005454*F1744^2</f>
        <v/>
      </c>
      <c r="N1744" s="31">
        <f>IF(D1744="BAF20",20/M1744,100)</f>
        <v/>
      </c>
      <c r="O1744" s="31">
        <f>M1744*N1744</f>
        <v/>
      </c>
      <c r="P1744" s="32">
        <f>112.6*N1744</f>
        <v/>
      </c>
    </row>
    <row r="1745">
      <c r="A1745" t="inlineStr">
        <is>
          <t>U6-03</t>
        </is>
      </c>
      <c r="B1745" t="n">
        <v>6</v>
      </c>
      <c r="C1745" t="n">
        <v>9</v>
      </c>
      <c r="D1745" t="inlineStr">
        <is>
          <t>BAF20</t>
        </is>
      </c>
      <c r="E1745" t="inlineStr">
        <is>
          <t>IC</t>
        </is>
      </c>
      <c r="F1745" t="n">
        <v>14.9</v>
      </c>
      <c r="G1745" t="n">
        <v>65</v>
      </c>
      <c r="H1745" t="n">
        <v>4</v>
      </c>
      <c r="I1745" t="inlineStr">
        <is>
          <t>L</t>
        </is>
      </c>
      <c r="J1745" t="inlineStr">
        <is>
          <t>S</t>
        </is>
      </c>
      <c r="K1745" t="inlineStr"/>
      <c r="L1745" t="inlineStr"/>
      <c r="M1745" s="30">
        <f>0.005454*F1745^2</f>
        <v/>
      </c>
      <c r="N1745" s="31">
        <f>IF(D1745="BAF20",20/M1745,100)</f>
        <v/>
      </c>
      <c r="O1745" s="31">
        <f>M1745*N1745</f>
        <v/>
      </c>
      <c r="P1745" s="32">
        <f>121.1*N1745</f>
        <v/>
      </c>
    </row>
    <row r="1746">
      <c r="A1746" t="inlineStr">
        <is>
          <t>U6-03</t>
        </is>
      </c>
      <c r="B1746" t="n">
        <v>6</v>
      </c>
      <c r="C1746" t="n">
        <v>10</v>
      </c>
      <c r="D1746" t="inlineStr">
        <is>
          <t>BAF20</t>
        </is>
      </c>
      <c r="E1746" t="inlineStr">
        <is>
          <t>IC</t>
        </is>
      </c>
      <c r="F1746" t="n">
        <v>17.6</v>
      </c>
      <c r="G1746" t="n">
        <v>69</v>
      </c>
      <c r="H1746" t="n">
        <v>1</v>
      </c>
      <c r="I1746" t="inlineStr">
        <is>
          <t>L</t>
        </is>
      </c>
      <c r="J1746" t="inlineStr">
        <is>
          <t>I</t>
        </is>
      </c>
      <c r="K1746" t="inlineStr"/>
      <c r="L1746" t="inlineStr"/>
      <c r="M1746" s="30">
        <f>0.005454*F1746^2</f>
        <v/>
      </c>
      <c r="N1746" s="31">
        <f>IF(D1746="BAF20",20/M1746,100)</f>
        <v/>
      </c>
      <c r="O1746" s="31">
        <f>M1746*N1746</f>
        <v/>
      </c>
      <c r="P1746" s="32">
        <f>195.6*N1746</f>
        <v/>
      </c>
    </row>
    <row r="1747">
      <c r="A1747" t="inlineStr">
        <is>
          <t>U6-03</t>
        </is>
      </c>
      <c r="B1747" t="n">
        <v>6</v>
      </c>
      <c r="C1747" t="n">
        <v>11</v>
      </c>
      <c r="D1747" t="inlineStr">
        <is>
          <t>BAF20</t>
        </is>
      </c>
      <c r="E1747" t="inlineStr">
        <is>
          <t>IC</t>
        </is>
      </c>
      <c r="F1747" t="n">
        <v>16.8</v>
      </c>
      <c r="G1747" t="n">
        <v>64</v>
      </c>
      <c r="H1747" t="n">
        <v>1</v>
      </c>
      <c r="I1747" t="inlineStr">
        <is>
          <t>L</t>
        </is>
      </c>
      <c r="J1747" t="inlineStr">
        <is>
          <t>I</t>
        </is>
      </c>
      <c r="K1747" t="inlineStr"/>
      <c r="L1747" t="inlineStr"/>
      <c r="M1747" s="30">
        <f>0.005454*F1747^2</f>
        <v/>
      </c>
      <c r="N1747" s="31">
        <f>IF(D1747="BAF20",20/M1747,100)</f>
        <v/>
      </c>
      <c r="O1747" s="31">
        <f>M1747*N1747</f>
        <v/>
      </c>
      <c r="P1747" s="32">
        <f>162.7*N1747</f>
        <v/>
      </c>
    </row>
    <row r="1748">
      <c r="A1748" t="inlineStr">
        <is>
          <t>U6-04</t>
        </is>
      </c>
      <c r="B1748" t="n">
        <v>6</v>
      </c>
      <c r="C1748" t="n">
        <v>1</v>
      </c>
      <c r="D1748" t="inlineStr">
        <is>
          <t>BAF20</t>
        </is>
      </c>
      <c r="E1748" t="inlineStr">
        <is>
          <t>SP</t>
        </is>
      </c>
      <c r="F1748" t="n">
        <v>35.9</v>
      </c>
      <c r="G1748" t="n">
        <v>133</v>
      </c>
      <c r="H1748" t="n">
        <v>5</v>
      </c>
      <c r="I1748" t="inlineStr">
        <is>
          <t>L</t>
        </is>
      </c>
      <c r="J1748" t="inlineStr">
        <is>
          <t>D</t>
        </is>
      </c>
      <c r="K1748" t="inlineStr"/>
      <c r="L1748" t="inlineStr"/>
      <c r="M1748" s="30">
        <f>0.005454*F1748^2</f>
        <v/>
      </c>
      <c r="N1748" s="31">
        <f>IF(D1748="BAF20",20/M1748,100)</f>
        <v/>
      </c>
      <c r="O1748" s="31">
        <f>M1748*N1748</f>
        <v/>
      </c>
      <c r="P1748" s="32">
        <f>2058.3*N1748</f>
        <v/>
      </c>
    </row>
    <row r="1749">
      <c r="A1749" t="inlineStr">
        <is>
          <t>U6-04</t>
        </is>
      </c>
      <c r="B1749" t="n">
        <v>6</v>
      </c>
      <c r="C1749" t="n">
        <v>2</v>
      </c>
      <c r="D1749" t="inlineStr">
        <is>
          <t>BAF20</t>
        </is>
      </c>
      <c r="E1749" t="inlineStr">
        <is>
          <t>DF</t>
        </is>
      </c>
      <c r="F1749" t="n">
        <v>9.5</v>
      </c>
      <c r="G1749" t="n">
        <v>53</v>
      </c>
      <c r="H1749" t="n">
        <v>9</v>
      </c>
      <c r="I1749" t="inlineStr">
        <is>
          <t>L</t>
        </is>
      </c>
      <c r="J1749" t="inlineStr">
        <is>
          <t>S</t>
        </is>
      </c>
      <c r="K1749" t="inlineStr"/>
      <c r="L1749" t="inlineStr"/>
      <c r="M1749" s="30">
        <f>0.005454*F1749^2</f>
        <v/>
      </c>
      <c r="N1749" s="31">
        <f>IF(D1749="BAF20",20/M1749,100)</f>
        <v/>
      </c>
      <c r="O1749" s="31">
        <f>M1749*N1749</f>
        <v/>
      </c>
      <c r="P1749" s="32">
        <f>0.0*N1749</f>
        <v/>
      </c>
    </row>
    <row r="1750">
      <c r="A1750" t="inlineStr">
        <is>
          <t>U6-04</t>
        </is>
      </c>
      <c r="B1750" t="n">
        <v>6</v>
      </c>
      <c r="C1750" t="n">
        <v>3</v>
      </c>
      <c r="D1750" t="inlineStr">
        <is>
          <t>BAF20</t>
        </is>
      </c>
      <c r="E1750" t="inlineStr">
        <is>
          <t>IC</t>
        </is>
      </c>
      <c r="F1750" t="n">
        <v>33.5</v>
      </c>
      <c r="G1750" t="n">
        <v>110</v>
      </c>
      <c r="H1750" t="n">
        <v>3</v>
      </c>
      <c r="I1750" t="inlineStr">
        <is>
          <t>L</t>
        </is>
      </c>
      <c r="J1750" t="inlineStr">
        <is>
          <t>D</t>
        </is>
      </c>
      <c r="K1750" t="inlineStr"/>
      <c r="L1750" t="inlineStr"/>
      <c r="M1750" s="30">
        <f>0.005454*F1750^2</f>
        <v/>
      </c>
      <c r="N1750" s="31">
        <f>IF(D1750="BAF20",20/M1750,100)</f>
        <v/>
      </c>
      <c r="O1750" s="31">
        <f>M1750*N1750</f>
        <v/>
      </c>
      <c r="P1750" s="32">
        <f>1460.2*N1750</f>
        <v/>
      </c>
    </row>
    <row r="1751">
      <c r="A1751" t="inlineStr">
        <is>
          <t>U6-04</t>
        </is>
      </c>
      <c r="B1751" t="n">
        <v>6</v>
      </c>
      <c r="C1751" t="n">
        <v>4</v>
      </c>
      <c r="D1751" t="inlineStr">
        <is>
          <t>BAF20</t>
        </is>
      </c>
      <c r="E1751" t="inlineStr">
        <is>
          <t>BO</t>
        </is>
      </c>
      <c r="F1751" t="n">
        <v>34.3</v>
      </c>
      <c r="G1751" t="n">
        <v>77</v>
      </c>
      <c r="H1751" t="n">
        <v>41</v>
      </c>
      <c r="I1751" t="inlineStr">
        <is>
          <t>L</t>
        </is>
      </c>
      <c r="J1751" t="inlineStr">
        <is>
          <t>D</t>
        </is>
      </c>
      <c r="K1751" t="inlineStr"/>
      <c r="L1751" t="inlineStr"/>
      <c r="M1751" s="30">
        <f>0.005454*F1751^2</f>
        <v/>
      </c>
      <c r="N1751" s="31">
        <f>IF(D1751="BAF20",20/M1751,100)</f>
        <v/>
      </c>
      <c r="O1751" s="31">
        <f>M1751*N1751</f>
        <v/>
      </c>
      <c r="P1751" s="32">
        <f>596.9*N1751</f>
        <v/>
      </c>
    </row>
    <row r="1752">
      <c r="A1752" t="inlineStr">
        <is>
          <t>U6-04</t>
        </is>
      </c>
      <c r="B1752" t="n">
        <v>6</v>
      </c>
      <c r="C1752" t="n">
        <v>5</v>
      </c>
      <c r="D1752" t="inlineStr">
        <is>
          <t>BAF20</t>
        </is>
      </c>
      <c r="E1752" t="inlineStr">
        <is>
          <t>PP</t>
        </is>
      </c>
      <c r="F1752" t="n">
        <v>27.5</v>
      </c>
      <c r="G1752" t="n">
        <v>109</v>
      </c>
      <c r="H1752" t="n">
        <v>3</v>
      </c>
      <c r="I1752" t="inlineStr">
        <is>
          <t>L</t>
        </is>
      </c>
      <c r="J1752" t="inlineStr">
        <is>
          <t>C</t>
        </is>
      </c>
      <c r="K1752" t="inlineStr"/>
      <c r="L1752" t="inlineStr"/>
      <c r="M1752" s="30">
        <f>0.005454*F1752^2</f>
        <v/>
      </c>
      <c r="N1752" s="31">
        <f>IF(D1752="BAF20",20/M1752,100)</f>
        <v/>
      </c>
      <c r="O1752" s="31">
        <f>M1752*N1752</f>
        <v/>
      </c>
      <c r="P1752" s="32">
        <f>886.0*N1752</f>
        <v/>
      </c>
    </row>
    <row r="1753">
      <c r="A1753" t="inlineStr">
        <is>
          <t>U6-04</t>
        </is>
      </c>
      <c r="B1753" t="n">
        <v>6</v>
      </c>
      <c r="C1753" t="n">
        <v>6</v>
      </c>
      <c r="D1753" t="inlineStr">
        <is>
          <t>BAF20</t>
        </is>
      </c>
      <c r="E1753" t="inlineStr">
        <is>
          <t>BO</t>
        </is>
      </c>
      <c r="F1753" t="n">
        <v>21</v>
      </c>
      <c r="G1753" t="n">
        <v>55</v>
      </c>
      <c r="H1753" t="n">
        <v>15</v>
      </c>
      <c r="I1753" t="inlineStr">
        <is>
          <t>L</t>
        </is>
      </c>
      <c r="J1753" t="inlineStr">
        <is>
          <t>I</t>
        </is>
      </c>
      <c r="K1753" t="inlineStr"/>
      <c r="L1753" t="inlineStr"/>
      <c r="M1753" s="30">
        <f>0.005454*F1753^2</f>
        <v/>
      </c>
      <c r="N1753" s="31">
        <f>IF(D1753="BAF20",20/M1753,100)</f>
        <v/>
      </c>
      <c r="O1753" s="31">
        <f>M1753*N1753</f>
        <v/>
      </c>
      <c r="P1753" s="32">
        <f>184.2*N1753</f>
        <v/>
      </c>
    </row>
    <row r="1754">
      <c r="A1754" t="inlineStr">
        <is>
          <t>U6-04</t>
        </is>
      </c>
      <c r="B1754" t="n">
        <v>6</v>
      </c>
      <c r="C1754" t="n">
        <v>7</v>
      </c>
      <c r="D1754" t="inlineStr">
        <is>
          <t>BAF20</t>
        </is>
      </c>
      <c r="E1754" t="inlineStr">
        <is>
          <t>DF</t>
        </is>
      </c>
      <c r="F1754" t="n">
        <v>11.1</v>
      </c>
      <c r="G1754" t="n">
        <v>62</v>
      </c>
      <c r="H1754" t="n">
        <v>7</v>
      </c>
      <c r="I1754" t="inlineStr">
        <is>
          <t>L</t>
        </is>
      </c>
      <c r="J1754" t="inlineStr">
        <is>
          <t>S</t>
        </is>
      </c>
      <c r="K1754" t="inlineStr"/>
      <c r="L1754" t="inlineStr"/>
      <c r="M1754" s="30">
        <f>0.005454*F1754^2</f>
        <v/>
      </c>
      <c r="N1754" s="31">
        <f>IF(D1754="BAF20",20/M1754,100)</f>
        <v/>
      </c>
      <c r="O1754" s="31">
        <f>M1754*N1754</f>
        <v/>
      </c>
      <c r="P1754" s="32">
        <f>57.1*N1754</f>
        <v/>
      </c>
    </row>
    <row r="1755">
      <c r="A1755" t="inlineStr">
        <is>
          <t>U6-04</t>
        </is>
      </c>
      <c r="B1755" t="n">
        <v>6</v>
      </c>
      <c r="C1755" t="n">
        <v>8</v>
      </c>
      <c r="D1755" t="inlineStr">
        <is>
          <t>BAF20</t>
        </is>
      </c>
      <c r="E1755" t="inlineStr">
        <is>
          <t>IC</t>
        </is>
      </c>
      <c r="F1755" t="n">
        <v>12.5</v>
      </c>
      <c r="G1755" t="n">
        <v>54</v>
      </c>
      <c r="H1755" t="n">
        <v>2</v>
      </c>
      <c r="I1755" t="inlineStr">
        <is>
          <t>L</t>
        </is>
      </c>
      <c r="J1755" t="inlineStr">
        <is>
          <t>S</t>
        </is>
      </c>
      <c r="K1755" t="inlineStr"/>
      <c r="L1755" t="inlineStr"/>
      <c r="M1755" s="30">
        <f>0.005454*F1755^2</f>
        <v/>
      </c>
      <c r="N1755" s="31">
        <f>IF(D1755="BAF20",20/M1755,100)</f>
        <v/>
      </c>
      <c r="O1755" s="31">
        <f>M1755*N1755</f>
        <v/>
      </c>
      <c r="P1755" s="32">
        <f>68.6*N1755</f>
        <v/>
      </c>
    </row>
    <row r="1756">
      <c r="A1756" t="inlineStr">
        <is>
          <t>U6-04</t>
        </is>
      </c>
      <c r="B1756" t="n">
        <v>6</v>
      </c>
      <c r="C1756" t="n">
        <v>9</v>
      </c>
      <c r="D1756" t="inlineStr">
        <is>
          <t>BAF20</t>
        </is>
      </c>
      <c r="E1756" t="inlineStr">
        <is>
          <t>DF</t>
        </is>
      </c>
      <c r="F1756" t="n">
        <v>36.2</v>
      </c>
      <c r="G1756" t="n">
        <v>135</v>
      </c>
      <c r="H1756" t="n">
        <v>3</v>
      </c>
      <c r="I1756" t="inlineStr">
        <is>
          <t>L</t>
        </is>
      </c>
      <c r="J1756" t="inlineStr">
        <is>
          <t>D</t>
        </is>
      </c>
      <c r="K1756" t="inlineStr"/>
      <c r="L1756" t="inlineStr"/>
      <c r="M1756" s="30">
        <f>0.005454*F1756^2</f>
        <v/>
      </c>
      <c r="N1756" s="31">
        <f>IF(D1756="BAF20",20/M1756,100)</f>
        <v/>
      </c>
      <c r="O1756" s="31">
        <f>M1756*N1756</f>
        <v/>
      </c>
      <c r="P1756" s="32">
        <f>2178.6*N1756</f>
        <v/>
      </c>
    </row>
    <row r="1757">
      <c r="A1757" t="inlineStr">
        <is>
          <t>U6-04</t>
        </is>
      </c>
      <c r="B1757" t="n">
        <v>6</v>
      </c>
      <c r="C1757" t="n">
        <v>10</v>
      </c>
      <c r="D1757" t="inlineStr">
        <is>
          <t>BAF20</t>
        </is>
      </c>
      <c r="E1757" t="inlineStr">
        <is>
          <t>PP</t>
        </is>
      </c>
      <c r="F1757" t="n">
        <v>29.9</v>
      </c>
      <c r="G1757" t="n">
        <v>122</v>
      </c>
      <c r="H1757" t="n">
        <v>1</v>
      </c>
      <c r="I1757" t="inlineStr">
        <is>
          <t>L</t>
        </is>
      </c>
      <c r="J1757" t="inlineStr">
        <is>
          <t>C</t>
        </is>
      </c>
      <c r="K1757" t="inlineStr">
        <is>
          <t>Y</t>
        </is>
      </c>
      <c r="L1757" t="inlineStr"/>
      <c r="M1757" s="30">
        <f>0.005454*F1757^2</f>
        <v/>
      </c>
      <c r="N1757" s="31">
        <f>IF(D1757="BAF20",20/M1757,100)</f>
        <v/>
      </c>
      <c r="O1757" s="31">
        <f>M1757*N1757</f>
        <v/>
      </c>
      <c r="P1757" s="32">
        <f>1244.6*N1757</f>
        <v/>
      </c>
    </row>
    <row r="1758">
      <c r="A1758" t="inlineStr">
        <is>
          <t>U6-05</t>
        </is>
      </c>
      <c r="B1758" t="n">
        <v>6</v>
      </c>
      <c r="C1758" t="n">
        <v>1</v>
      </c>
      <c r="D1758" t="inlineStr">
        <is>
          <t>BAF20</t>
        </is>
      </c>
      <c r="E1758" t="inlineStr">
        <is>
          <t>PP</t>
        </is>
      </c>
      <c r="F1758" t="n">
        <v>15.8</v>
      </c>
      <c r="G1758" t="n">
        <v>80</v>
      </c>
      <c r="H1758" t="n">
        <v>7</v>
      </c>
      <c r="I1758" t="inlineStr">
        <is>
          <t>L</t>
        </is>
      </c>
      <c r="J1758" t="inlineStr">
        <is>
          <t>S</t>
        </is>
      </c>
      <c r="K1758" t="inlineStr"/>
      <c r="L1758" t="inlineStr"/>
      <c r="M1758" s="30">
        <f>0.005454*F1758^2</f>
        <v/>
      </c>
      <c r="N1758" s="31">
        <f>IF(D1758="BAF20",20/M1758,100)</f>
        <v/>
      </c>
      <c r="O1758" s="31">
        <f>M1758*N1758</f>
        <v/>
      </c>
      <c r="P1758" s="32">
        <f>165.5*N1758</f>
        <v/>
      </c>
    </row>
    <row r="1759">
      <c r="A1759" t="inlineStr">
        <is>
          <t>U6-05</t>
        </is>
      </c>
      <c r="B1759" t="n">
        <v>6</v>
      </c>
      <c r="C1759" t="n">
        <v>2</v>
      </c>
      <c r="D1759" t="inlineStr">
        <is>
          <t>BAF20</t>
        </is>
      </c>
      <c r="E1759" t="inlineStr">
        <is>
          <t>PP</t>
        </is>
      </c>
      <c r="F1759" t="n">
        <v>18.9</v>
      </c>
      <c r="G1759" t="n">
        <v>83</v>
      </c>
      <c r="H1759" t="n">
        <v>4</v>
      </c>
      <c r="I1759" t="inlineStr">
        <is>
          <t>L</t>
        </is>
      </c>
      <c r="J1759" t="inlineStr">
        <is>
          <t>I</t>
        </is>
      </c>
      <c r="K1759" t="inlineStr"/>
      <c r="L1759" t="inlineStr"/>
      <c r="M1759" s="30">
        <f>0.005454*F1759^2</f>
        <v/>
      </c>
      <c r="N1759" s="31">
        <f>IF(D1759="BAF20",20/M1759,100)</f>
        <v/>
      </c>
      <c r="O1759" s="31">
        <f>M1759*N1759</f>
        <v/>
      </c>
      <c r="P1759" s="32">
        <f>270.0*N1759</f>
        <v/>
      </c>
    </row>
    <row r="1760">
      <c r="A1760" t="inlineStr">
        <is>
          <t>U6-05</t>
        </is>
      </c>
      <c r="B1760" t="n">
        <v>6</v>
      </c>
      <c r="C1760" t="n">
        <v>3</v>
      </c>
      <c r="D1760" t="inlineStr">
        <is>
          <t>BAF20</t>
        </is>
      </c>
      <c r="E1760" t="inlineStr">
        <is>
          <t>SP</t>
        </is>
      </c>
      <c r="F1760" t="n">
        <v>40.2</v>
      </c>
      <c r="G1760" t="n">
        <v>139</v>
      </c>
      <c r="H1760" t="n">
        <v>8</v>
      </c>
      <c r="I1760" t="inlineStr">
        <is>
          <t>L</t>
        </is>
      </c>
      <c r="J1760" t="inlineStr">
        <is>
          <t>D</t>
        </is>
      </c>
      <c r="K1760" t="inlineStr"/>
      <c r="L1760" t="inlineStr"/>
      <c r="M1760" s="30">
        <f>0.005454*F1760^2</f>
        <v/>
      </c>
      <c r="N1760" s="31">
        <f>IF(D1760="BAF20",20/M1760,100)</f>
        <v/>
      </c>
      <c r="O1760" s="31">
        <f>M1760*N1760</f>
        <v/>
      </c>
      <c r="P1760" s="32">
        <f>2641.5*N1760</f>
        <v/>
      </c>
    </row>
    <row r="1761">
      <c r="A1761" t="inlineStr">
        <is>
          <t>U6-05</t>
        </is>
      </c>
      <c r="B1761" t="n">
        <v>6</v>
      </c>
      <c r="C1761" t="n">
        <v>4</v>
      </c>
      <c r="D1761" t="inlineStr">
        <is>
          <t>BAF20</t>
        </is>
      </c>
      <c r="E1761" t="inlineStr">
        <is>
          <t>IC</t>
        </is>
      </c>
      <c r="F1761" t="n">
        <v>22</v>
      </c>
      <c r="G1761" t="n">
        <v>78</v>
      </c>
      <c r="H1761" t="n">
        <v>6</v>
      </c>
      <c r="I1761" t="inlineStr">
        <is>
          <t>L</t>
        </is>
      </c>
      <c r="J1761" t="inlineStr">
        <is>
          <t>I</t>
        </is>
      </c>
      <c r="K1761" t="inlineStr">
        <is>
          <t>Y</t>
        </is>
      </c>
      <c r="L1761" t="inlineStr"/>
      <c r="M1761" s="30">
        <f>0.005454*F1761^2</f>
        <v/>
      </c>
      <c r="N1761" s="31">
        <f>IF(D1761="BAF20",20/M1761,100)</f>
        <v/>
      </c>
      <c r="O1761" s="31">
        <f>M1761*N1761</f>
        <v/>
      </c>
      <c r="P1761" s="32">
        <f>357.0*N1761</f>
        <v/>
      </c>
    </row>
    <row r="1762">
      <c r="A1762" t="inlineStr">
        <is>
          <t>U6-05</t>
        </is>
      </c>
      <c r="B1762" t="n">
        <v>6</v>
      </c>
      <c r="C1762" t="n">
        <v>5</v>
      </c>
      <c r="D1762" t="inlineStr">
        <is>
          <t>BAF20</t>
        </is>
      </c>
      <c r="E1762" t="inlineStr">
        <is>
          <t>IC</t>
        </is>
      </c>
      <c r="F1762" t="n">
        <v>23.6</v>
      </c>
      <c r="G1762" t="n">
        <v>73</v>
      </c>
      <c r="H1762" t="n">
        <v>1</v>
      </c>
      <c r="I1762" t="inlineStr">
        <is>
          <t>L</t>
        </is>
      </c>
      <c r="J1762" t="inlineStr">
        <is>
          <t>C</t>
        </is>
      </c>
      <c r="K1762" t="inlineStr"/>
      <c r="L1762" t="inlineStr"/>
      <c r="M1762" s="30">
        <f>0.005454*F1762^2</f>
        <v/>
      </c>
      <c r="N1762" s="31">
        <f>IF(D1762="BAF20",20/M1762,100)</f>
        <v/>
      </c>
      <c r="O1762" s="31">
        <f>M1762*N1762</f>
        <v/>
      </c>
      <c r="P1762" s="32">
        <f>416.9*N1762</f>
        <v/>
      </c>
    </row>
    <row r="1763">
      <c r="A1763" t="inlineStr">
        <is>
          <t>U6-05</t>
        </is>
      </c>
      <c r="B1763" t="n">
        <v>6</v>
      </c>
      <c r="C1763" t="n">
        <v>6</v>
      </c>
      <c r="D1763" t="inlineStr">
        <is>
          <t>BAF20</t>
        </is>
      </c>
      <c r="E1763" t="inlineStr">
        <is>
          <t>PP</t>
        </is>
      </c>
      <c r="F1763" t="n">
        <v>12.1</v>
      </c>
      <c r="G1763" t="n">
        <v>58</v>
      </c>
      <c r="H1763" t="n">
        <v>2</v>
      </c>
      <c r="I1763" t="inlineStr">
        <is>
          <t>L</t>
        </is>
      </c>
      <c r="J1763" t="inlineStr">
        <is>
          <t>S</t>
        </is>
      </c>
      <c r="K1763" t="inlineStr"/>
      <c r="L1763" t="inlineStr"/>
      <c r="M1763" s="30">
        <f>0.005454*F1763^2</f>
        <v/>
      </c>
      <c r="N1763" s="31">
        <f>IF(D1763="BAF20",20/M1763,100)</f>
        <v/>
      </c>
      <c r="O1763" s="31">
        <f>M1763*N1763</f>
        <v/>
      </c>
      <c r="P1763" s="32">
        <f>68.4*N1763</f>
        <v/>
      </c>
    </row>
    <row r="1764">
      <c r="A1764" t="inlineStr">
        <is>
          <t>U6-05</t>
        </is>
      </c>
      <c r="B1764" t="n">
        <v>6</v>
      </c>
      <c r="C1764" t="n">
        <v>7</v>
      </c>
      <c r="D1764" t="inlineStr">
        <is>
          <t>BAF20</t>
        </is>
      </c>
      <c r="E1764" t="inlineStr">
        <is>
          <t>PP</t>
        </is>
      </c>
      <c r="F1764" t="n">
        <v>18.4</v>
      </c>
      <c r="G1764" t="n">
        <v>77</v>
      </c>
      <c r="H1764" t="n">
        <v>4</v>
      </c>
      <c r="I1764" t="inlineStr">
        <is>
          <t>L</t>
        </is>
      </c>
      <c r="J1764" t="inlineStr">
        <is>
          <t>I</t>
        </is>
      </c>
      <c r="K1764" t="inlineStr"/>
      <c r="L1764" t="inlineStr"/>
      <c r="M1764" s="30">
        <f>0.005454*F1764^2</f>
        <v/>
      </c>
      <c r="N1764" s="31">
        <f>IF(D1764="BAF20",20/M1764,100)</f>
        <v/>
      </c>
      <c r="O1764" s="31">
        <f>M1764*N1764</f>
        <v/>
      </c>
      <c r="P1764" s="32">
        <f>235.1*N1764</f>
        <v/>
      </c>
    </row>
    <row r="1765">
      <c r="A1765" t="inlineStr">
        <is>
          <t>U6-05</t>
        </is>
      </c>
      <c r="B1765" t="n">
        <v>6</v>
      </c>
      <c r="C1765" t="n">
        <v>8</v>
      </c>
      <c r="D1765" t="inlineStr">
        <is>
          <t>BAF20</t>
        </is>
      </c>
      <c r="E1765" t="inlineStr">
        <is>
          <t>DF</t>
        </is>
      </c>
      <c r="F1765" t="n">
        <v>43.5</v>
      </c>
      <c r="G1765" t="n">
        <v>150</v>
      </c>
      <c r="H1765" t="n">
        <v>4</v>
      </c>
      <c r="I1765" t="inlineStr">
        <is>
          <t>L</t>
        </is>
      </c>
      <c r="J1765" t="inlineStr">
        <is>
          <t>D</t>
        </is>
      </c>
      <c r="K1765" t="inlineStr"/>
      <c r="L1765" t="inlineStr"/>
      <c r="M1765" s="30">
        <f>0.005454*F1765^2</f>
        <v/>
      </c>
      <c r="N1765" s="31">
        <f>IF(D1765="BAF20",20/M1765,100)</f>
        <v/>
      </c>
      <c r="O1765" s="31">
        <f>M1765*N1765</f>
        <v/>
      </c>
      <c r="P1765" s="32">
        <f>3482.9*N1765</f>
        <v/>
      </c>
    </row>
    <row r="1766">
      <c r="A1766" t="inlineStr">
        <is>
          <t>U6-05</t>
        </is>
      </c>
      <c r="B1766" t="n">
        <v>6</v>
      </c>
      <c r="C1766" t="n">
        <v>9</v>
      </c>
      <c r="D1766" t="inlineStr">
        <is>
          <t>BAF20</t>
        </is>
      </c>
      <c r="E1766" t="inlineStr">
        <is>
          <t>WF</t>
        </is>
      </c>
      <c r="F1766" t="n">
        <v>14.7</v>
      </c>
      <c r="G1766" t="n">
        <v>75</v>
      </c>
      <c r="H1766" t="n">
        <v>13</v>
      </c>
      <c r="I1766" t="inlineStr">
        <is>
          <t>L</t>
        </is>
      </c>
      <c r="J1766" t="inlineStr">
        <is>
          <t>S</t>
        </is>
      </c>
      <c r="K1766" t="inlineStr"/>
      <c r="L1766" t="inlineStr"/>
      <c r="M1766" s="30">
        <f>0.005454*F1766^2</f>
        <v/>
      </c>
      <c r="N1766" s="31">
        <f>IF(D1766="BAF20",20/M1766,100)</f>
        <v/>
      </c>
      <c r="O1766" s="31">
        <f>M1766*N1766</f>
        <v/>
      </c>
      <c r="P1766" s="32">
        <f>122.8*N1766</f>
        <v/>
      </c>
    </row>
    <row r="1767">
      <c r="A1767" t="inlineStr">
        <is>
          <t>U6-05</t>
        </is>
      </c>
      <c r="B1767" t="n">
        <v>6</v>
      </c>
      <c r="C1767" t="n">
        <v>10</v>
      </c>
      <c r="D1767" t="inlineStr">
        <is>
          <t>BAF20</t>
        </is>
      </c>
      <c r="E1767" t="inlineStr">
        <is>
          <t>DF</t>
        </is>
      </c>
      <c r="F1767" t="n">
        <v>14.5</v>
      </c>
      <c r="G1767" t="n">
        <v>82</v>
      </c>
      <c r="H1767" t="n">
        <v>2</v>
      </c>
      <c r="I1767" t="inlineStr">
        <is>
          <t>L</t>
        </is>
      </c>
      <c r="J1767" t="inlineStr">
        <is>
          <t>S</t>
        </is>
      </c>
      <c r="K1767" t="inlineStr"/>
      <c r="L1767" t="inlineStr"/>
      <c r="M1767" s="30">
        <f>0.005454*F1767^2</f>
        <v/>
      </c>
      <c r="N1767" s="31">
        <f>IF(D1767="BAF20",20/M1767,100)</f>
        <v/>
      </c>
      <c r="O1767" s="31">
        <f>M1767*N1767</f>
        <v/>
      </c>
      <c r="P1767" s="32">
        <f>146.5*N1767</f>
        <v/>
      </c>
    </row>
    <row r="1768">
      <c r="A1768" t="inlineStr">
        <is>
          <t>U6-05</t>
        </is>
      </c>
      <c r="B1768" t="n">
        <v>6</v>
      </c>
      <c r="C1768" t="n">
        <v>11</v>
      </c>
      <c r="D1768" t="inlineStr">
        <is>
          <t>BAF20</t>
        </is>
      </c>
      <c r="E1768" t="inlineStr">
        <is>
          <t>WF</t>
        </is>
      </c>
      <c r="F1768" t="n">
        <v>17.4</v>
      </c>
      <c r="G1768" t="n">
        <v>90</v>
      </c>
      <c r="H1768" t="n">
        <v>7</v>
      </c>
      <c r="I1768" t="inlineStr">
        <is>
          <t>L</t>
        </is>
      </c>
      <c r="J1768" t="inlineStr">
        <is>
          <t>I</t>
        </is>
      </c>
      <c r="K1768" t="inlineStr">
        <is>
          <t>Y</t>
        </is>
      </c>
      <c r="L1768" t="inlineStr"/>
      <c r="M1768" s="30">
        <f>0.005454*F1768^2</f>
        <v/>
      </c>
      <c r="N1768" s="31">
        <f>IF(D1768="BAF20",20/M1768,100)</f>
        <v/>
      </c>
      <c r="O1768" s="31">
        <f>M1768*N1768</f>
        <v/>
      </c>
      <c r="P1768" s="32">
        <f>233.3*N1768</f>
        <v/>
      </c>
    </row>
    <row r="1769">
      <c r="A1769" t="inlineStr">
        <is>
          <t>U6-05</t>
        </is>
      </c>
      <c r="B1769" t="n">
        <v>6</v>
      </c>
      <c r="C1769" t="n">
        <v>12</v>
      </c>
      <c r="D1769" t="inlineStr">
        <is>
          <t>BAF20</t>
        </is>
      </c>
      <c r="E1769" t="inlineStr">
        <is>
          <t>DF</t>
        </is>
      </c>
      <c r="F1769" t="n">
        <v>41.8</v>
      </c>
      <c r="G1769" t="n">
        <v>140</v>
      </c>
      <c r="H1769" t="n">
        <v>5</v>
      </c>
      <c r="I1769" t="inlineStr">
        <is>
          <t>L</t>
        </is>
      </c>
      <c r="J1769" t="inlineStr">
        <is>
          <t>D</t>
        </is>
      </c>
      <c r="K1769" t="inlineStr"/>
      <c r="L1769" t="inlineStr"/>
      <c r="M1769" s="30">
        <f>0.005454*F1769^2</f>
        <v/>
      </c>
      <c r="N1769" s="31">
        <f>IF(D1769="BAF20",20/M1769,100)</f>
        <v/>
      </c>
      <c r="O1769" s="31">
        <f>M1769*N1769</f>
        <v/>
      </c>
      <c r="P1769" s="32">
        <f>2970.3*N1769</f>
        <v/>
      </c>
    </row>
    <row r="1770">
      <c r="A1770" t="inlineStr">
        <is>
          <t>U6-06</t>
        </is>
      </c>
      <c r="B1770" t="n">
        <v>6</v>
      </c>
      <c r="C1770" t="n">
        <v>1</v>
      </c>
      <c r="D1770" t="inlineStr">
        <is>
          <t>BAF20</t>
        </is>
      </c>
      <c r="E1770" t="inlineStr">
        <is>
          <t>IC</t>
        </is>
      </c>
      <c r="F1770" t="n">
        <v>18.8</v>
      </c>
      <c r="G1770" t="n">
        <v>71</v>
      </c>
      <c r="H1770" t="n">
        <v>1</v>
      </c>
      <c r="I1770" t="inlineStr">
        <is>
          <t>L</t>
        </is>
      </c>
      <c r="J1770" t="inlineStr">
        <is>
          <t>I</t>
        </is>
      </c>
      <c r="K1770" t="inlineStr">
        <is>
          <t>Y</t>
        </is>
      </c>
      <c r="L1770" t="inlineStr"/>
      <c r="M1770" s="30">
        <f>0.005454*F1770^2</f>
        <v/>
      </c>
      <c r="N1770" s="31">
        <f>IF(D1770="BAF20",20/M1770,100)</f>
        <v/>
      </c>
      <c r="O1770" s="31">
        <f>M1770*N1770</f>
        <v/>
      </c>
      <c r="P1770" s="32">
        <f>235.2*N1770</f>
        <v/>
      </c>
    </row>
    <row r="1771">
      <c r="A1771" t="inlineStr">
        <is>
          <t>U6-06</t>
        </is>
      </c>
      <c r="B1771" t="n">
        <v>6</v>
      </c>
      <c r="C1771" t="n">
        <v>2</v>
      </c>
      <c r="D1771" t="inlineStr">
        <is>
          <t>BAF20</t>
        </is>
      </c>
      <c r="E1771" t="inlineStr">
        <is>
          <t>PP</t>
        </is>
      </c>
      <c r="F1771" t="n">
        <v>18</v>
      </c>
      <c r="G1771" t="n">
        <v>77</v>
      </c>
      <c r="H1771" t="n">
        <v>3</v>
      </c>
      <c r="I1771" t="inlineStr">
        <is>
          <t>L</t>
        </is>
      </c>
      <c r="J1771" t="inlineStr">
        <is>
          <t>I</t>
        </is>
      </c>
      <c r="K1771" t="inlineStr"/>
      <c r="L1771" t="inlineStr"/>
      <c r="M1771" s="30">
        <f>0.005454*F1771^2</f>
        <v/>
      </c>
      <c r="N1771" s="31">
        <f>IF(D1771="BAF20",20/M1771,100)</f>
        <v/>
      </c>
      <c r="O1771" s="31">
        <f>M1771*N1771</f>
        <v/>
      </c>
      <c r="P1771" s="32">
        <f>225.5*N1771</f>
        <v/>
      </c>
    </row>
    <row r="1772">
      <c r="A1772" t="inlineStr">
        <is>
          <t>U6-06</t>
        </is>
      </c>
      <c r="B1772" t="n">
        <v>6</v>
      </c>
      <c r="C1772" t="n">
        <v>3</v>
      </c>
      <c r="D1772" t="inlineStr">
        <is>
          <t>BAF20</t>
        </is>
      </c>
      <c r="E1772" t="inlineStr">
        <is>
          <t>PP</t>
        </is>
      </c>
      <c r="F1772" t="n">
        <v>25.9</v>
      </c>
      <c r="G1772" t="n">
        <v>93</v>
      </c>
      <c r="H1772" t="n">
        <v>3</v>
      </c>
      <c r="I1772" t="inlineStr">
        <is>
          <t>L</t>
        </is>
      </c>
      <c r="J1772" t="inlineStr">
        <is>
          <t>C</t>
        </is>
      </c>
      <c r="K1772" t="inlineStr"/>
      <c r="L1772" t="inlineStr"/>
      <c r="M1772" s="30">
        <f>0.005454*F1772^2</f>
        <v/>
      </c>
      <c r="N1772" s="31">
        <f>IF(D1772="BAF20",20/M1772,100)</f>
        <v/>
      </c>
      <c r="O1772" s="31">
        <f>M1772*N1772</f>
        <v/>
      </c>
      <c r="P1772" s="32">
        <f>652.6*N1772</f>
        <v/>
      </c>
    </row>
    <row r="1773">
      <c r="A1773" t="inlineStr">
        <is>
          <t>U6-06</t>
        </is>
      </c>
      <c r="B1773" t="n">
        <v>6</v>
      </c>
      <c r="C1773" t="n">
        <v>4</v>
      </c>
      <c r="D1773" t="inlineStr">
        <is>
          <t>BAF20</t>
        </is>
      </c>
      <c r="E1773" t="inlineStr">
        <is>
          <t>PP</t>
        </is>
      </c>
      <c r="F1773" t="n">
        <v>45.2</v>
      </c>
      <c r="G1773" t="n">
        <v>145</v>
      </c>
      <c r="H1773" t="n">
        <v>6</v>
      </c>
      <c r="I1773" t="inlineStr">
        <is>
          <t>L</t>
        </is>
      </c>
      <c r="J1773" t="inlineStr">
        <is>
          <t>D</t>
        </is>
      </c>
      <c r="K1773" t="inlineStr"/>
      <c r="L1773" t="inlineStr"/>
      <c r="M1773" s="30">
        <f>0.005454*F1773^2</f>
        <v/>
      </c>
      <c r="N1773" s="31">
        <f>IF(D1773="BAF20",20/M1773,100)</f>
        <v/>
      </c>
      <c r="O1773" s="31">
        <f>M1773*N1773</f>
        <v/>
      </c>
      <c r="P1773" s="32">
        <f>3559.4*N1773</f>
        <v/>
      </c>
    </row>
    <row r="1774">
      <c r="A1774" t="inlineStr">
        <is>
          <t>U6-06</t>
        </is>
      </c>
      <c r="B1774" t="n">
        <v>6</v>
      </c>
      <c r="C1774" t="n">
        <v>5</v>
      </c>
      <c r="D1774" t="inlineStr">
        <is>
          <t>BAF20</t>
        </is>
      </c>
      <c r="E1774" t="inlineStr">
        <is>
          <t>DF</t>
        </is>
      </c>
      <c r="F1774" t="n">
        <v>12.4</v>
      </c>
      <c r="G1774" t="n">
        <v>63</v>
      </c>
      <c r="H1774" t="n">
        <v>1</v>
      </c>
      <c r="I1774" t="inlineStr">
        <is>
          <t>L</t>
        </is>
      </c>
      <c r="J1774" t="inlineStr">
        <is>
          <t>S</t>
        </is>
      </c>
      <c r="K1774" t="inlineStr">
        <is>
          <t>Y</t>
        </is>
      </c>
      <c r="L1774" t="inlineStr"/>
      <c r="M1774" s="30">
        <f>0.005454*F1774^2</f>
        <v/>
      </c>
      <c r="N1774" s="31">
        <f>IF(D1774="BAF20",20/M1774,100)</f>
        <v/>
      </c>
      <c r="O1774" s="31">
        <f>M1774*N1774</f>
        <v/>
      </c>
      <c r="P1774" s="32">
        <f>79.4*N1774</f>
        <v/>
      </c>
    </row>
    <row r="1775">
      <c r="A1775" t="inlineStr">
        <is>
          <t>U6-06</t>
        </is>
      </c>
      <c r="B1775" t="n">
        <v>6</v>
      </c>
      <c r="C1775" t="n">
        <v>6</v>
      </c>
      <c r="D1775" t="inlineStr">
        <is>
          <t>FIX100</t>
        </is>
      </c>
      <c r="E1775" t="inlineStr">
        <is>
          <t>BO</t>
        </is>
      </c>
      <c r="F1775" t="n">
        <v>4.3</v>
      </c>
      <c r="G1775" t="n">
        <v>22</v>
      </c>
      <c r="H1775" t="n">
        <v>0</v>
      </c>
      <c r="I1775" t="inlineStr">
        <is>
          <t>L</t>
        </is>
      </c>
      <c r="J1775" t="inlineStr">
        <is>
          <t>S</t>
        </is>
      </c>
      <c r="K1775" t="inlineStr"/>
      <c r="L1775" t="inlineStr"/>
      <c r="M1775" s="30">
        <f>0.005454*F1775^2</f>
        <v/>
      </c>
      <c r="N1775" s="31">
        <f>IF(D1775="BAF20",20/M1775,100)</f>
        <v/>
      </c>
      <c r="O1775" s="31">
        <f>M1775*N1775</f>
        <v/>
      </c>
      <c r="P1775" s="32">
        <f>0.0*N1775</f>
        <v/>
      </c>
    </row>
    <row r="1776">
      <c r="A1776" t="inlineStr">
        <is>
          <t>U6-07</t>
        </is>
      </c>
      <c r="B1776" t="n">
        <v>6</v>
      </c>
      <c r="C1776" t="n">
        <v>1</v>
      </c>
      <c r="D1776" t="inlineStr">
        <is>
          <t>BAF20</t>
        </is>
      </c>
      <c r="E1776" t="inlineStr">
        <is>
          <t>PP</t>
        </is>
      </c>
      <c r="F1776" t="n">
        <v>7.3</v>
      </c>
      <c r="G1776" t="n">
        <v>35</v>
      </c>
      <c r="H1776" t="n">
        <v>12</v>
      </c>
      <c r="I1776" t="inlineStr">
        <is>
          <t>L</t>
        </is>
      </c>
      <c r="J1776" t="inlineStr">
        <is>
          <t>S</t>
        </is>
      </c>
      <c r="K1776" t="inlineStr"/>
      <c r="L1776" t="inlineStr"/>
      <c r="M1776" s="30">
        <f>0.005454*F1776^2</f>
        <v/>
      </c>
      <c r="N1776" s="31">
        <f>IF(D1776="BAF20",20/M1776,100)</f>
        <v/>
      </c>
      <c r="O1776" s="31">
        <f>M1776*N1776</f>
        <v/>
      </c>
      <c r="P1776" s="32">
        <f>0.0*N1776</f>
        <v/>
      </c>
    </row>
    <row r="1777">
      <c r="A1777" t="inlineStr">
        <is>
          <t>U6-07</t>
        </is>
      </c>
      <c r="B1777" t="n">
        <v>6</v>
      </c>
      <c r="C1777" t="n">
        <v>2</v>
      </c>
      <c r="D1777" t="inlineStr">
        <is>
          <t>BAF20</t>
        </is>
      </c>
      <c r="E1777" t="inlineStr">
        <is>
          <t>PP</t>
        </is>
      </c>
      <c r="F1777" t="n">
        <v>13.4</v>
      </c>
      <c r="G1777" t="n">
        <v>63</v>
      </c>
      <c r="H1777" t="n">
        <v>2</v>
      </c>
      <c r="I1777" t="inlineStr">
        <is>
          <t>L</t>
        </is>
      </c>
      <c r="J1777" t="inlineStr">
        <is>
          <t>S</t>
        </is>
      </c>
      <c r="K1777" t="inlineStr"/>
      <c r="L1777" t="inlineStr"/>
      <c r="M1777" s="30">
        <f>0.005454*F1777^2</f>
        <v/>
      </c>
      <c r="N1777" s="31">
        <f>IF(D1777="BAF20",20/M1777,100)</f>
        <v/>
      </c>
      <c r="O1777" s="31">
        <f>M1777*N1777</f>
        <v/>
      </c>
      <c r="P1777" s="32">
        <f>93.8*N1777</f>
        <v/>
      </c>
    </row>
    <row r="1778">
      <c r="A1778" t="inlineStr">
        <is>
          <t>U6-07</t>
        </is>
      </c>
      <c r="B1778" t="n">
        <v>6</v>
      </c>
      <c r="C1778" t="n">
        <v>3</v>
      </c>
      <c r="D1778" t="inlineStr">
        <is>
          <t>BAF20</t>
        </is>
      </c>
      <c r="E1778" t="inlineStr">
        <is>
          <t>BO</t>
        </is>
      </c>
      <c r="F1778" t="n">
        <v>25.2</v>
      </c>
      <c r="G1778" t="n">
        <v>75</v>
      </c>
      <c r="H1778" t="n">
        <v>5</v>
      </c>
      <c r="I1778" t="inlineStr">
        <is>
          <t>L</t>
        </is>
      </c>
      <c r="J1778" t="inlineStr">
        <is>
          <t>C</t>
        </is>
      </c>
      <c r="K1778" t="inlineStr"/>
      <c r="L1778" t="inlineStr">
        <is>
          <t>Y</t>
        </is>
      </c>
      <c r="M1778" s="30">
        <f>0.005454*F1778^2</f>
        <v/>
      </c>
      <c r="N1778" s="31">
        <f>IF(D1778="BAF20",20/M1778,100)</f>
        <v/>
      </c>
      <c r="O1778" s="31">
        <f>M1778*N1778</f>
        <v/>
      </c>
      <c r="P1778" s="32">
        <f>436.2*N1778</f>
        <v/>
      </c>
    </row>
    <row r="1779">
      <c r="A1779" t="inlineStr">
        <is>
          <t>U6-07</t>
        </is>
      </c>
      <c r="B1779" t="n">
        <v>6</v>
      </c>
      <c r="C1779" t="n">
        <v>4</v>
      </c>
      <c r="D1779" t="inlineStr">
        <is>
          <t>BAF20</t>
        </is>
      </c>
      <c r="E1779" t="inlineStr">
        <is>
          <t>PP</t>
        </is>
      </c>
      <c r="F1779" t="n">
        <v>29.9</v>
      </c>
      <c r="G1779" t="n">
        <v>117</v>
      </c>
      <c r="H1779" t="n">
        <v>1</v>
      </c>
      <c r="I1779" t="inlineStr">
        <is>
          <t>L</t>
        </is>
      </c>
      <c r="J1779" t="inlineStr">
        <is>
          <t>C</t>
        </is>
      </c>
      <c r="K1779" t="inlineStr"/>
      <c r="L1779" t="inlineStr"/>
      <c r="M1779" s="30">
        <f>0.005454*F1779^2</f>
        <v/>
      </c>
      <c r="N1779" s="31">
        <f>IF(D1779="BAF20",20/M1779,100)</f>
        <v/>
      </c>
      <c r="O1779" s="31">
        <f>M1779*N1779</f>
        <v/>
      </c>
      <c r="P1779" s="32">
        <f>1193.6*N1779</f>
        <v/>
      </c>
    </row>
    <row r="1780">
      <c r="A1780" t="inlineStr">
        <is>
          <t>U6-07</t>
        </is>
      </c>
      <c r="B1780" t="n">
        <v>6</v>
      </c>
      <c r="C1780" t="n">
        <v>5</v>
      </c>
      <c r="D1780" t="inlineStr">
        <is>
          <t>BAF20</t>
        </is>
      </c>
      <c r="E1780" t="inlineStr">
        <is>
          <t>PP</t>
        </is>
      </c>
      <c r="F1780" t="n">
        <v>8.5</v>
      </c>
      <c r="G1780" t="n">
        <v>44</v>
      </c>
      <c r="H1780" t="n">
        <v>3</v>
      </c>
      <c r="I1780" t="inlineStr">
        <is>
          <t>L</t>
        </is>
      </c>
      <c r="J1780" t="inlineStr">
        <is>
          <t>S</t>
        </is>
      </c>
      <c r="K1780" t="inlineStr"/>
      <c r="L1780" t="inlineStr"/>
      <c r="M1780" s="30">
        <f>0.005454*F1780^2</f>
        <v/>
      </c>
      <c r="N1780" s="31">
        <f>IF(D1780="BAF20",20/M1780,100)</f>
        <v/>
      </c>
      <c r="O1780" s="31">
        <f>M1780*N1780</f>
        <v/>
      </c>
      <c r="P1780" s="32">
        <f>0.0*N1780</f>
        <v/>
      </c>
    </row>
    <row r="1781">
      <c r="A1781" t="inlineStr">
        <is>
          <t>U6-07</t>
        </is>
      </c>
      <c r="B1781" t="n">
        <v>6</v>
      </c>
      <c r="C1781" t="n">
        <v>6</v>
      </c>
      <c r="D1781" t="inlineStr">
        <is>
          <t>BAF20</t>
        </is>
      </c>
      <c r="E1781" t="inlineStr">
        <is>
          <t>IC</t>
        </is>
      </c>
      <c r="F1781" t="n">
        <v>14.7</v>
      </c>
      <c r="G1781" t="n">
        <v>60</v>
      </c>
      <c r="H1781" t="n">
        <v>5</v>
      </c>
      <c r="I1781" t="inlineStr">
        <is>
          <t>L</t>
        </is>
      </c>
      <c r="J1781" t="inlineStr">
        <is>
          <t>S</t>
        </is>
      </c>
      <c r="K1781" t="inlineStr"/>
      <c r="L1781" t="inlineStr"/>
      <c r="M1781" s="30">
        <f>0.005454*F1781^2</f>
        <v/>
      </c>
      <c r="N1781" s="31">
        <f>IF(D1781="BAF20",20/M1781,100)</f>
        <v/>
      </c>
      <c r="O1781" s="31">
        <f>M1781*N1781</f>
        <v/>
      </c>
      <c r="P1781" s="32">
        <f>107.2*N1781</f>
        <v/>
      </c>
    </row>
    <row r="1782">
      <c r="A1782" t="inlineStr">
        <is>
          <t>U6-07</t>
        </is>
      </c>
      <c r="B1782" t="n">
        <v>6</v>
      </c>
      <c r="C1782" t="n">
        <v>7</v>
      </c>
      <c r="D1782" t="inlineStr">
        <is>
          <t>BAF20</t>
        </is>
      </c>
      <c r="E1782" t="inlineStr">
        <is>
          <t>PP</t>
        </is>
      </c>
      <c r="F1782" t="n">
        <v>40.7</v>
      </c>
      <c r="G1782" t="n">
        <v>120</v>
      </c>
      <c r="H1782" t="n">
        <v>6</v>
      </c>
      <c r="I1782" t="inlineStr">
        <is>
          <t>L</t>
        </is>
      </c>
      <c r="J1782" t="inlineStr">
        <is>
          <t>D</t>
        </is>
      </c>
      <c r="K1782" t="inlineStr"/>
      <c r="L1782" t="inlineStr"/>
      <c r="M1782" s="30">
        <f>0.005454*F1782^2</f>
        <v/>
      </c>
      <c r="N1782" s="31">
        <f>IF(D1782="BAF20",20/M1782,100)</f>
        <v/>
      </c>
      <c r="O1782" s="31">
        <f>M1782*N1782</f>
        <v/>
      </c>
      <c r="P1782" s="32">
        <f>2388.3*N1782</f>
        <v/>
      </c>
    </row>
    <row r="1783">
      <c r="A1783" t="inlineStr">
        <is>
          <t>U6-07</t>
        </is>
      </c>
      <c r="B1783" t="n">
        <v>6</v>
      </c>
      <c r="C1783" t="n">
        <v>8</v>
      </c>
      <c r="D1783" t="inlineStr">
        <is>
          <t>BAF20</t>
        </is>
      </c>
      <c r="E1783" t="inlineStr">
        <is>
          <t>WF</t>
        </is>
      </c>
      <c r="F1783" t="n">
        <v>14.5</v>
      </c>
      <c r="G1783" t="n">
        <v>74</v>
      </c>
      <c r="H1783" t="n">
        <v>12</v>
      </c>
      <c r="I1783" t="inlineStr">
        <is>
          <t>L</t>
        </is>
      </c>
      <c r="J1783" t="inlineStr">
        <is>
          <t>S</t>
        </is>
      </c>
      <c r="K1783" t="inlineStr"/>
      <c r="L1783" t="inlineStr"/>
      <c r="M1783" s="30">
        <f>0.005454*F1783^2</f>
        <v/>
      </c>
      <c r="N1783" s="31">
        <f>IF(D1783="BAF20",20/M1783,100)</f>
        <v/>
      </c>
      <c r="O1783" s="31">
        <f>M1783*N1783</f>
        <v/>
      </c>
      <c r="P1783" s="32">
        <f>118.7*N1783</f>
        <v/>
      </c>
    </row>
    <row r="1784">
      <c r="A1784" t="inlineStr">
        <is>
          <t>U6-07</t>
        </is>
      </c>
      <c r="B1784" t="n">
        <v>6</v>
      </c>
      <c r="C1784" t="n">
        <v>9</v>
      </c>
      <c r="D1784" t="inlineStr">
        <is>
          <t>BAF20</t>
        </is>
      </c>
      <c r="E1784" t="inlineStr">
        <is>
          <t>PP</t>
        </is>
      </c>
      <c r="F1784" t="n">
        <v>30.6</v>
      </c>
      <c r="G1784" t="n">
        <v>103</v>
      </c>
      <c r="H1784" t="n">
        <v>6</v>
      </c>
      <c r="I1784" t="inlineStr">
        <is>
          <t>L</t>
        </is>
      </c>
      <c r="J1784" t="inlineStr">
        <is>
          <t>D</t>
        </is>
      </c>
      <c r="K1784" t="inlineStr"/>
      <c r="L1784" t="inlineStr"/>
      <c r="M1784" s="30">
        <f>0.005454*F1784^2</f>
        <v/>
      </c>
      <c r="N1784" s="31">
        <f>IF(D1784="BAF20",20/M1784,100)</f>
        <v/>
      </c>
      <c r="O1784" s="31">
        <f>M1784*N1784</f>
        <v/>
      </c>
      <c r="P1784" s="32">
        <f>1056.7*N1784</f>
        <v/>
      </c>
    </row>
    <row r="1785">
      <c r="A1785" t="inlineStr">
        <is>
          <t>U6-07</t>
        </is>
      </c>
      <c r="B1785" t="n">
        <v>6</v>
      </c>
      <c r="C1785" t="n">
        <v>10</v>
      </c>
      <c r="D1785" t="inlineStr">
        <is>
          <t>BAF20</t>
        </is>
      </c>
      <c r="E1785" t="inlineStr">
        <is>
          <t>PP</t>
        </is>
      </c>
      <c r="F1785" t="n">
        <v>26.9</v>
      </c>
      <c r="G1785" t="n">
        <v>116</v>
      </c>
      <c r="H1785" t="n">
        <v>6</v>
      </c>
      <c r="I1785" t="inlineStr">
        <is>
          <t>L</t>
        </is>
      </c>
      <c r="J1785" t="inlineStr">
        <is>
          <t>C</t>
        </is>
      </c>
      <c r="K1785" t="inlineStr">
        <is>
          <t>Y</t>
        </is>
      </c>
      <c r="L1785" t="inlineStr"/>
      <c r="M1785" s="30">
        <f>0.005454*F1785^2</f>
        <v/>
      </c>
      <c r="N1785" s="31">
        <f>IF(D1785="BAF20",20/M1785,100)</f>
        <v/>
      </c>
      <c r="O1785" s="31">
        <f>M1785*N1785</f>
        <v/>
      </c>
      <c r="P1785" s="32">
        <f>865.5*N1785</f>
        <v/>
      </c>
    </row>
    <row r="1786">
      <c r="A1786" t="inlineStr">
        <is>
          <t>U6-07</t>
        </is>
      </c>
      <c r="B1786" t="n">
        <v>6</v>
      </c>
      <c r="C1786" t="n">
        <v>11</v>
      </c>
      <c r="D1786" t="inlineStr">
        <is>
          <t>BAF20</t>
        </is>
      </c>
      <c r="E1786" t="inlineStr">
        <is>
          <t>PP</t>
        </is>
      </c>
      <c r="F1786" t="n">
        <v>13.7</v>
      </c>
      <c r="G1786" t="n">
        <v>64</v>
      </c>
      <c r="H1786" t="n">
        <v>6</v>
      </c>
      <c r="I1786" t="inlineStr">
        <is>
          <t>L</t>
        </is>
      </c>
      <c r="J1786" t="inlineStr">
        <is>
          <t>S</t>
        </is>
      </c>
      <c r="K1786" t="inlineStr"/>
      <c r="L1786" t="inlineStr"/>
      <c r="M1786" s="30">
        <f>0.005454*F1786^2</f>
        <v/>
      </c>
      <c r="N1786" s="31">
        <f>IF(D1786="BAF20",20/M1786,100)</f>
        <v/>
      </c>
      <c r="O1786" s="31">
        <f>M1786*N1786</f>
        <v/>
      </c>
      <c r="P1786" s="32">
        <f>96.2*N1786</f>
        <v/>
      </c>
    </row>
    <row r="1787">
      <c r="A1787" t="inlineStr">
        <is>
          <t>U6-07</t>
        </is>
      </c>
      <c r="B1787" t="n">
        <v>6</v>
      </c>
      <c r="C1787" t="n">
        <v>12</v>
      </c>
      <c r="D1787" t="inlineStr">
        <is>
          <t>FIX100</t>
        </is>
      </c>
      <c r="E1787" t="inlineStr">
        <is>
          <t>BO</t>
        </is>
      </c>
      <c r="F1787" t="n">
        <v>2.7</v>
      </c>
      <c r="G1787" t="n">
        <v>14</v>
      </c>
      <c r="H1787" t="n">
        <v>0</v>
      </c>
      <c r="I1787" t="inlineStr">
        <is>
          <t>L</t>
        </is>
      </c>
      <c r="J1787" t="inlineStr">
        <is>
          <t>S</t>
        </is>
      </c>
      <c r="K1787" t="inlineStr"/>
      <c r="L1787" t="inlineStr"/>
      <c r="M1787" s="30">
        <f>0.005454*F1787^2</f>
        <v/>
      </c>
      <c r="N1787" s="31">
        <f>IF(D1787="BAF20",20/M1787,100)</f>
        <v/>
      </c>
      <c r="O1787" s="31">
        <f>M1787*N1787</f>
        <v/>
      </c>
      <c r="P1787" s="32">
        <f>0.0*N1787</f>
        <v/>
      </c>
    </row>
    <row r="1788">
      <c r="A1788" t="inlineStr">
        <is>
          <t>U6-08</t>
        </is>
      </c>
      <c r="B1788" t="n">
        <v>6</v>
      </c>
      <c r="C1788" t="n">
        <v>1</v>
      </c>
      <c r="D1788" t="inlineStr">
        <is>
          <t>BAF20</t>
        </is>
      </c>
      <c r="E1788" t="inlineStr">
        <is>
          <t>PP</t>
        </is>
      </c>
      <c r="F1788" t="n">
        <v>12.2</v>
      </c>
      <c r="G1788" t="n">
        <v>56</v>
      </c>
      <c r="H1788" t="n">
        <v>5</v>
      </c>
      <c r="I1788" t="inlineStr">
        <is>
          <t>L</t>
        </is>
      </c>
      <c r="J1788" t="inlineStr">
        <is>
          <t>S</t>
        </is>
      </c>
      <c r="K1788" t="inlineStr"/>
      <c r="L1788" t="inlineStr"/>
      <c r="M1788" s="30">
        <f>0.005454*F1788^2</f>
        <v/>
      </c>
      <c r="N1788" s="31">
        <f>IF(D1788="BAF20",20/M1788,100)</f>
        <v/>
      </c>
      <c r="O1788" s="31">
        <f>M1788*N1788</f>
        <v/>
      </c>
      <c r="P1788" s="32">
        <f>65.3*N1788</f>
        <v/>
      </c>
    </row>
    <row r="1789">
      <c r="A1789" t="inlineStr">
        <is>
          <t>U6-08</t>
        </is>
      </c>
      <c r="B1789" t="n">
        <v>6</v>
      </c>
      <c r="C1789" t="n">
        <v>2</v>
      </c>
      <c r="D1789" t="inlineStr">
        <is>
          <t>BAF20</t>
        </is>
      </c>
      <c r="E1789" t="inlineStr">
        <is>
          <t>IC</t>
        </is>
      </c>
      <c r="F1789" t="n">
        <v>7</v>
      </c>
      <c r="G1789" t="n">
        <v>27</v>
      </c>
      <c r="H1789" t="n">
        <v>1</v>
      </c>
      <c r="I1789" t="inlineStr">
        <is>
          <t>L</t>
        </is>
      </c>
      <c r="J1789" t="inlineStr">
        <is>
          <t>S</t>
        </is>
      </c>
      <c r="K1789" t="inlineStr"/>
      <c r="L1789" t="inlineStr"/>
      <c r="M1789" s="30">
        <f>0.005454*F1789^2</f>
        <v/>
      </c>
      <c r="N1789" s="31">
        <f>IF(D1789="BAF20",20/M1789,100)</f>
        <v/>
      </c>
      <c r="O1789" s="31">
        <f>M1789*N1789</f>
        <v/>
      </c>
      <c r="P1789" s="32">
        <f>0.0*N1789</f>
        <v/>
      </c>
    </row>
    <row r="1790">
      <c r="A1790" t="inlineStr">
        <is>
          <t>U6-08</t>
        </is>
      </c>
      <c r="B1790" t="n">
        <v>6</v>
      </c>
      <c r="C1790" t="n">
        <v>3</v>
      </c>
      <c r="D1790" t="inlineStr">
        <is>
          <t>BAF20</t>
        </is>
      </c>
      <c r="E1790" t="inlineStr">
        <is>
          <t>DF</t>
        </is>
      </c>
      <c r="F1790" t="n">
        <v>27.6</v>
      </c>
      <c r="G1790" t="n">
        <v>97</v>
      </c>
      <c r="H1790" t="n">
        <v>5</v>
      </c>
      <c r="I1790" t="inlineStr">
        <is>
          <t>L</t>
        </is>
      </c>
      <c r="J1790" t="inlineStr">
        <is>
          <t>C</t>
        </is>
      </c>
      <c r="K1790" t="inlineStr">
        <is>
          <t>Y</t>
        </is>
      </c>
      <c r="L1790" t="inlineStr"/>
      <c r="M1790" s="30">
        <f>0.005454*F1790^2</f>
        <v/>
      </c>
      <c r="N1790" s="31">
        <f>IF(D1790="BAF20",20/M1790,100)</f>
        <v/>
      </c>
      <c r="O1790" s="31">
        <f>M1790*N1790</f>
        <v/>
      </c>
      <c r="P1790" s="32">
        <f>779.2*N1790</f>
        <v/>
      </c>
    </row>
    <row r="1791">
      <c r="A1791" t="inlineStr">
        <is>
          <t>U6-08</t>
        </is>
      </c>
      <c r="B1791" t="n">
        <v>6</v>
      </c>
      <c r="C1791" t="n">
        <v>4</v>
      </c>
      <c r="D1791" t="inlineStr">
        <is>
          <t>BAF20</t>
        </is>
      </c>
      <c r="E1791" t="inlineStr">
        <is>
          <t>PP</t>
        </is>
      </c>
      <c r="F1791" t="n">
        <v>7.8</v>
      </c>
      <c r="G1791" t="n">
        <v>41</v>
      </c>
      <c r="H1791" t="n">
        <v>7</v>
      </c>
      <c r="I1791" t="inlineStr">
        <is>
          <t>L</t>
        </is>
      </c>
      <c r="J1791" t="inlineStr">
        <is>
          <t>S</t>
        </is>
      </c>
      <c r="K1791" t="inlineStr"/>
      <c r="L1791" t="inlineStr"/>
      <c r="M1791" s="30">
        <f>0.005454*F1791^2</f>
        <v/>
      </c>
      <c r="N1791" s="31">
        <f>IF(D1791="BAF20",20/M1791,100)</f>
        <v/>
      </c>
      <c r="O1791" s="31">
        <f>M1791*N1791</f>
        <v/>
      </c>
      <c r="P1791" s="32">
        <f>0.0*N1791</f>
        <v/>
      </c>
    </row>
    <row r="1792">
      <c r="A1792" t="inlineStr">
        <is>
          <t>U6-08</t>
        </is>
      </c>
      <c r="B1792" t="n">
        <v>6</v>
      </c>
      <c r="C1792" t="n">
        <v>5</v>
      </c>
      <c r="D1792" t="inlineStr">
        <is>
          <t>BAF20</t>
        </is>
      </c>
      <c r="E1792" t="inlineStr">
        <is>
          <t>PP</t>
        </is>
      </c>
      <c r="F1792" t="n">
        <v>5</v>
      </c>
      <c r="G1792" t="n">
        <v>28</v>
      </c>
      <c r="H1792" t="n">
        <v>9</v>
      </c>
      <c r="I1792" t="inlineStr">
        <is>
          <t>L</t>
        </is>
      </c>
      <c r="J1792" t="inlineStr">
        <is>
          <t>S</t>
        </is>
      </c>
      <c r="K1792" t="inlineStr"/>
      <c r="L1792" t="inlineStr"/>
      <c r="M1792" s="30">
        <f>0.005454*F1792^2</f>
        <v/>
      </c>
      <c r="N1792" s="31">
        <f>IF(D1792="BAF20",20/M1792,100)</f>
        <v/>
      </c>
      <c r="O1792" s="31">
        <f>M1792*N1792</f>
        <v/>
      </c>
      <c r="P1792" s="32">
        <f>0.0*N1792</f>
        <v/>
      </c>
    </row>
    <row r="1793">
      <c r="A1793" t="inlineStr">
        <is>
          <t>U6-08</t>
        </is>
      </c>
      <c r="B1793" t="n">
        <v>6</v>
      </c>
      <c r="C1793" t="n">
        <v>6</v>
      </c>
      <c r="D1793" t="inlineStr">
        <is>
          <t>BAF20</t>
        </is>
      </c>
      <c r="E1793" t="inlineStr">
        <is>
          <t>IC</t>
        </is>
      </c>
      <c r="F1793" t="n">
        <v>7.6</v>
      </c>
      <c r="G1793" t="n">
        <v>35</v>
      </c>
      <c r="H1793" t="n">
        <v>8</v>
      </c>
      <c r="I1793" t="inlineStr">
        <is>
          <t>L</t>
        </is>
      </c>
      <c r="J1793" t="inlineStr">
        <is>
          <t>S</t>
        </is>
      </c>
      <c r="K1793" t="inlineStr"/>
      <c r="L1793" t="inlineStr"/>
      <c r="M1793" s="30">
        <f>0.005454*F1793^2</f>
        <v/>
      </c>
      <c r="N1793" s="31">
        <f>IF(D1793="BAF20",20/M1793,100)</f>
        <v/>
      </c>
      <c r="O1793" s="31">
        <f>M1793*N1793</f>
        <v/>
      </c>
      <c r="P1793" s="32">
        <f>0.0*N1793</f>
        <v/>
      </c>
    </row>
    <row r="1794">
      <c r="A1794" t="inlineStr">
        <is>
          <t>U6-08</t>
        </is>
      </c>
      <c r="B1794" t="n">
        <v>6</v>
      </c>
      <c r="C1794" t="n">
        <v>7</v>
      </c>
      <c r="D1794" t="inlineStr">
        <is>
          <t>BAF20</t>
        </is>
      </c>
      <c r="E1794" t="inlineStr">
        <is>
          <t>IC</t>
        </is>
      </c>
      <c r="F1794" t="n">
        <v>23.2</v>
      </c>
      <c r="G1794" t="n">
        <v>88</v>
      </c>
      <c r="H1794" t="n">
        <v>1</v>
      </c>
      <c r="I1794" t="inlineStr">
        <is>
          <t>L</t>
        </is>
      </c>
      <c r="J1794" t="inlineStr">
        <is>
          <t>C</t>
        </is>
      </c>
      <c r="K1794" t="inlineStr"/>
      <c r="L1794" t="inlineStr"/>
      <c r="M1794" s="30">
        <f>0.005454*F1794^2</f>
        <v/>
      </c>
      <c r="N1794" s="31">
        <f>IF(D1794="BAF20",20/M1794,100)</f>
        <v/>
      </c>
      <c r="O1794" s="31">
        <f>M1794*N1794</f>
        <v/>
      </c>
      <c r="P1794" s="32">
        <f>482.2*N1794</f>
        <v/>
      </c>
    </row>
    <row r="1795">
      <c r="A1795" t="inlineStr">
        <is>
          <t>U6-08</t>
        </is>
      </c>
      <c r="B1795" t="n">
        <v>6</v>
      </c>
      <c r="C1795" t="n">
        <v>8</v>
      </c>
      <c r="D1795" t="inlineStr">
        <is>
          <t>BAF20</t>
        </is>
      </c>
      <c r="E1795" t="inlineStr">
        <is>
          <t>IC</t>
        </is>
      </c>
      <c r="F1795" t="n">
        <v>15.9</v>
      </c>
      <c r="G1795" t="n">
        <v>68</v>
      </c>
      <c r="H1795" t="n">
        <v>7</v>
      </c>
      <c r="I1795" t="inlineStr">
        <is>
          <t>L</t>
        </is>
      </c>
      <c r="J1795" t="inlineStr">
        <is>
          <t>S</t>
        </is>
      </c>
      <c r="K1795" t="inlineStr"/>
      <c r="L1795" t="inlineStr"/>
      <c r="M1795" s="30">
        <f>0.005454*F1795^2</f>
        <v/>
      </c>
      <c r="N1795" s="31">
        <f>IF(D1795="BAF20",20/M1795,100)</f>
        <v/>
      </c>
      <c r="O1795" s="31">
        <f>M1795*N1795</f>
        <v/>
      </c>
      <c r="P1795" s="32">
        <f>142.8*N1795</f>
        <v/>
      </c>
    </row>
    <row r="1796">
      <c r="A1796" t="inlineStr">
        <is>
          <t>U6-08</t>
        </is>
      </c>
      <c r="B1796" t="n">
        <v>6</v>
      </c>
      <c r="C1796" t="n">
        <v>9</v>
      </c>
      <c r="D1796" t="inlineStr">
        <is>
          <t>BAF20</t>
        </is>
      </c>
      <c r="E1796" t="inlineStr">
        <is>
          <t>PP</t>
        </is>
      </c>
      <c r="F1796" t="n">
        <v>31.7</v>
      </c>
      <c r="G1796" t="n">
        <v>117</v>
      </c>
      <c r="H1796" t="n">
        <v>3</v>
      </c>
      <c r="I1796" t="inlineStr">
        <is>
          <t>L</t>
        </is>
      </c>
      <c r="J1796" t="inlineStr">
        <is>
          <t>D</t>
        </is>
      </c>
      <c r="K1796" t="inlineStr">
        <is>
          <t>Y</t>
        </is>
      </c>
      <c r="L1796" t="inlineStr"/>
      <c r="M1796" s="30">
        <f>0.005454*F1796^2</f>
        <v/>
      </c>
      <c r="N1796" s="31">
        <f>IF(D1796="BAF20",20/M1796,100)</f>
        <v/>
      </c>
      <c r="O1796" s="31">
        <f>M1796*N1796</f>
        <v/>
      </c>
      <c r="P1796" s="32">
        <f>1352.6*N1796</f>
        <v/>
      </c>
    </row>
    <row r="1797">
      <c r="A1797" t="inlineStr">
        <is>
          <t>U6-08</t>
        </is>
      </c>
      <c r="B1797" t="n">
        <v>6</v>
      </c>
      <c r="C1797" t="n">
        <v>10</v>
      </c>
      <c r="D1797" t="inlineStr">
        <is>
          <t>BAF20</t>
        </is>
      </c>
      <c r="E1797" t="inlineStr">
        <is>
          <t>PP</t>
        </is>
      </c>
      <c r="F1797" t="n">
        <v>22.5</v>
      </c>
      <c r="G1797" t="n">
        <v>102</v>
      </c>
      <c r="H1797" t="n">
        <v>8</v>
      </c>
      <c r="I1797" t="inlineStr">
        <is>
          <t>L</t>
        </is>
      </c>
      <c r="J1797" t="inlineStr">
        <is>
          <t>I</t>
        </is>
      </c>
      <c r="K1797" t="inlineStr">
        <is>
          <t>Y</t>
        </is>
      </c>
      <c r="L1797" t="inlineStr"/>
      <c r="M1797" s="30">
        <f>0.005454*F1797^2</f>
        <v/>
      </c>
      <c r="N1797" s="31">
        <f>IF(D1797="BAF20",20/M1797,100)</f>
        <v/>
      </c>
      <c r="O1797" s="31">
        <f>M1797*N1797</f>
        <v/>
      </c>
      <c r="P1797" s="32">
        <f>482.4*N1797</f>
        <v/>
      </c>
    </row>
    <row r="1798">
      <c r="A1798" t="inlineStr">
        <is>
          <t>U6-08</t>
        </is>
      </c>
      <c r="B1798" t="n">
        <v>6</v>
      </c>
      <c r="C1798" t="n">
        <v>11</v>
      </c>
      <c r="D1798" t="inlineStr">
        <is>
          <t>BAF20</t>
        </is>
      </c>
      <c r="E1798" t="inlineStr">
        <is>
          <t>WF</t>
        </is>
      </c>
      <c r="F1798" t="n">
        <v>37</v>
      </c>
      <c r="G1798" t="n">
        <v>124</v>
      </c>
      <c r="H1798" t="n">
        <v>18</v>
      </c>
      <c r="I1798" t="inlineStr">
        <is>
          <t>L</t>
        </is>
      </c>
      <c r="J1798" t="inlineStr">
        <is>
          <t>D</t>
        </is>
      </c>
      <c r="K1798" t="inlineStr">
        <is>
          <t>Y</t>
        </is>
      </c>
      <c r="L1798" t="inlineStr"/>
      <c r="M1798" s="30">
        <f>0.005454*F1798^2</f>
        <v/>
      </c>
      <c r="N1798" s="31">
        <f>IF(D1798="BAF20",20/M1798,100)</f>
        <v/>
      </c>
      <c r="O1798" s="31">
        <f>M1798*N1798</f>
        <v/>
      </c>
      <c r="P1798" s="32">
        <f>1779.3*N1798</f>
        <v/>
      </c>
    </row>
    <row r="1799">
      <c r="A1799" t="inlineStr">
        <is>
          <t>U6-08</t>
        </is>
      </c>
      <c r="B1799" t="n">
        <v>6</v>
      </c>
      <c r="C1799" t="n">
        <v>12</v>
      </c>
      <c r="D1799" t="inlineStr">
        <is>
          <t>BAF20</t>
        </is>
      </c>
      <c r="E1799" t="inlineStr">
        <is>
          <t>PP</t>
        </is>
      </c>
      <c r="F1799" t="n">
        <v>9.199999999999999</v>
      </c>
      <c r="G1799" t="n">
        <v>45</v>
      </c>
      <c r="H1799" t="n">
        <v>5</v>
      </c>
      <c r="I1799" t="inlineStr">
        <is>
          <t>L</t>
        </is>
      </c>
      <c r="J1799" t="inlineStr">
        <is>
          <t>S</t>
        </is>
      </c>
      <c r="K1799" t="inlineStr"/>
      <c r="L1799" t="inlineStr"/>
      <c r="M1799" s="30">
        <f>0.005454*F1799^2</f>
        <v/>
      </c>
      <c r="N1799" s="31">
        <f>IF(D1799="BAF20",20/M1799,100)</f>
        <v/>
      </c>
      <c r="O1799" s="31">
        <f>M1799*N1799</f>
        <v/>
      </c>
      <c r="P1799" s="32">
        <f>0.0*N1799</f>
        <v/>
      </c>
    </row>
    <row r="1800">
      <c r="A1800" t="inlineStr">
        <is>
          <t>U6-08</t>
        </is>
      </c>
      <c r="B1800" t="n">
        <v>6</v>
      </c>
      <c r="C1800" t="n">
        <v>13</v>
      </c>
      <c r="D1800" t="inlineStr">
        <is>
          <t>BAF20</t>
        </is>
      </c>
      <c r="E1800" t="inlineStr">
        <is>
          <t>IC</t>
        </is>
      </c>
      <c r="F1800" t="n">
        <v>15.2</v>
      </c>
      <c r="G1800" t="n">
        <v>60</v>
      </c>
      <c r="H1800" t="n">
        <v>4</v>
      </c>
      <c r="I1800" t="inlineStr">
        <is>
          <t>L</t>
        </is>
      </c>
      <c r="J1800" t="inlineStr">
        <is>
          <t>S</t>
        </is>
      </c>
      <c r="K1800" t="inlineStr">
        <is>
          <t>Y</t>
        </is>
      </c>
      <c r="L1800" t="inlineStr"/>
      <c r="M1800" s="30">
        <f>0.005454*F1800^2</f>
        <v/>
      </c>
      <c r="N1800" s="31">
        <f>IF(D1800="BAF20",20/M1800,100)</f>
        <v/>
      </c>
      <c r="O1800" s="31">
        <f>M1800*N1800</f>
        <v/>
      </c>
      <c r="P1800" s="32">
        <f>117.1*N1800</f>
        <v/>
      </c>
    </row>
    <row r="1801">
      <c r="A1801" t="inlineStr">
        <is>
          <t>U6-08</t>
        </is>
      </c>
      <c r="B1801" t="n">
        <v>6</v>
      </c>
      <c r="C1801" t="n">
        <v>14</v>
      </c>
      <c r="D1801" t="inlineStr">
        <is>
          <t>BAF20</t>
        </is>
      </c>
      <c r="E1801" t="inlineStr">
        <is>
          <t>PP</t>
        </is>
      </c>
      <c r="F1801" t="n">
        <v>33.2</v>
      </c>
      <c r="G1801" t="n">
        <v>122</v>
      </c>
      <c r="H1801" t="n">
        <v>0</v>
      </c>
      <c r="I1801" t="inlineStr">
        <is>
          <t>L</t>
        </is>
      </c>
      <c r="J1801" t="inlineStr">
        <is>
          <t>D</t>
        </is>
      </c>
      <c r="K1801" t="inlineStr"/>
      <c r="L1801" t="inlineStr"/>
      <c r="M1801" s="30">
        <f>0.005454*F1801^2</f>
        <v/>
      </c>
      <c r="N1801" s="31">
        <f>IF(D1801="BAF20",20/M1801,100)</f>
        <v/>
      </c>
      <c r="O1801" s="31">
        <f>M1801*N1801</f>
        <v/>
      </c>
      <c r="P1801" s="32">
        <f>1632.3*N1801</f>
        <v/>
      </c>
    </row>
    <row r="1802">
      <c r="A1802" t="inlineStr">
        <is>
          <t>U6-08</t>
        </is>
      </c>
      <c r="B1802" t="n">
        <v>6</v>
      </c>
      <c r="C1802" t="n">
        <v>15</v>
      </c>
      <c r="D1802" t="inlineStr">
        <is>
          <t>BAF20</t>
        </is>
      </c>
      <c r="E1802" t="inlineStr">
        <is>
          <t>DF</t>
        </is>
      </c>
      <c r="F1802" t="n">
        <v>23.6</v>
      </c>
      <c r="G1802" t="n">
        <v>109</v>
      </c>
      <c r="H1802" t="n">
        <v>0</v>
      </c>
      <c r="I1802" t="inlineStr">
        <is>
          <t>L</t>
        </is>
      </c>
      <c r="J1802" t="inlineStr">
        <is>
          <t>C</t>
        </is>
      </c>
      <c r="K1802" t="inlineStr"/>
      <c r="L1802" t="inlineStr"/>
      <c r="M1802" s="30">
        <f>0.005454*F1802^2</f>
        <v/>
      </c>
      <c r="N1802" s="31">
        <f>IF(D1802="BAF20",20/M1802,100)</f>
        <v/>
      </c>
      <c r="O1802" s="31">
        <f>M1802*N1802</f>
        <v/>
      </c>
      <c r="P1802" s="32">
        <f>628.8*N1802</f>
        <v/>
      </c>
    </row>
    <row r="1803">
      <c r="A1803" t="inlineStr">
        <is>
          <t>U6-08</t>
        </is>
      </c>
      <c r="B1803" t="n">
        <v>6</v>
      </c>
      <c r="C1803" t="n">
        <v>16</v>
      </c>
      <c r="D1803" t="inlineStr">
        <is>
          <t>BAF20</t>
        </is>
      </c>
      <c r="E1803" t="inlineStr">
        <is>
          <t>PP</t>
        </is>
      </c>
      <c r="F1803" t="n">
        <v>23.1</v>
      </c>
      <c r="G1803" t="n">
        <v>103</v>
      </c>
      <c r="H1803" t="n">
        <v>2</v>
      </c>
      <c r="I1803" t="inlineStr">
        <is>
          <t>L</t>
        </is>
      </c>
      <c r="J1803" t="inlineStr">
        <is>
          <t>C</t>
        </is>
      </c>
      <c r="K1803" t="inlineStr">
        <is>
          <t>Y</t>
        </is>
      </c>
      <c r="L1803" t="inlineStr"/>
      <c r="M1803" s="30">
        <f>0.005454*F1803^2</f>
        <v/>
      </c>
      <c r="N1803" s="31">
        <f>IF(D1803="BAF20",20/M1803,100)</f>
        <v/>
      </c>
      <c r="O1803" s="31">
        <f>M1803*N1803</f>
        <v/>
      </c>
      <c r="P1803" s="32">
        <f>552.9*N1803</f>
        <v/>
      </c>
    </row>
    <row r="1804">
      <c r="A1804" t="inlineStr">
        <is>
          <t>U6-08</t>
        </is>
      </c>
      <c r="B1804" t="n">
        <v>6</v>
      </c>
      <c r="C1804" t="n">
        <v>17</v>
      </c>
      <c r="D1804" t="inlineStr">
        <is>
          <t>BAF20</t>
        </is>
      </c>
      <c r="E1804" t="inlineStr">
        <is>
          <t>PP</t>
        </is>
      </c>
      <c r="F1804" t="n">
        <v>34.5</v>
      </c>
      <c r="G1804" t="n">
        <v>119</v>
      </c>
      <c r="H1804" t="n">
        <v>3</v>
      </c>
      <c r="I1804" t="inlineStr">
        <is>
          <t>L</t>
        </is>
      </c>
      <c r="J1804" t="inlineStr">
        <is>
          <t>D</t>
        </is>
      </c>
      <c r="K1804" t="inlineStr"/>
      <c r="L1804" t="inlineStr"/>
      <c r="M1804" s="30">
        <f>0.005454*F1804^2</f>
        <v/>
      </c>
      <c r="N1804" s="31">
        <f>IF(D1804="BAF20",20/M1804,100)</f>
        <v/>
      </c>
      <c r="O1804" s="31">
        <f>M1804*N1804</f>
        <v/>
      </c>
      <c r="P1804" s="32">
        <f>1700.9*N1804</f>
        <v/>
      </c>
    </row>
    <row r="1805">
      <c r="A1805" t="inlineStr">
        <is>
          <t>U6-08</t>
        </is>
      </c>
      <c r="B1805" t="n">
        <v>6</v>
      </c>
      <c r="C1805" t="n">
        <v>18</v>
      </c>
      <c r="D1805" t="inlineStr">
        <is>
          <t>BAF20</t>
        </is>
      </c>
      <c r="E1805" t="inlineStr">
        <is>
          <t>BO</t>
        </is>
      </c>
      <c r="F1805" t="n">
        <v>26.6</v>
      </c>
      <c r="G1805" t="n">
        <v>65</v>
      </c>
      <c r="H1805" t="n">
        <v>9</v>
      </c>
      <c r="I1805" t="inlineStr">
        <is>
          <t>L</t>
        </is>
      </c>
      <c r="J1805" t="inlineStr">
        <is>
          <t>C</t>
        </is>
      </c>
      <c r="K1805" t="inlineStr"/>
      <c r="L1805" t="inlineStr"/>
      <c r="M1805" s="30">
        <f>0.005454*F1805^2</f>
        <v/>
      </c>
      <c r="N1805" s="31">
        <f>IF(D1805="BAF20",20/M1805,100)</f>
        <v/>
      </c>
      <c r="O1805" s="31">
        <f>M1805*N1805</f>
        <v/>
      </c>
      <c r="P1805" s="32">
        <f>413.3*N1805</f>
        <v/>
      </c>
    </row>
    <row r="1806">
      <c r="A1806" t="inlineStr">
        <is>
          <t>U6-08</t>
        </is>
      </c>
      <c r="B1806" t="n">
        <v>6</v>
      </c>
      <c r="C1806" t="n">
        <v>19</v>
      </c>
      <c r="D1806" t="inlineStr">
        <is>
          <t>BAF20</t>
        </is>
      </c>
      <c r="E1806" t="inlineStr">
        <is>
          <t>BO</t>
        </is>
      </c>
      <c r="F1806" t="n">
        <v>20.8</v>
      </c>
      <c r="G1806" t="n">
        <v>61</v>
      </c>
      <c r="H1806" t="n">
        <v>24</v>
      </c>
      <c r="I1806" t="inlineStr">
        <is>
          <t>L</t>
        </is>
      </c>
      <c r="J1806" t="inlineStr">
        <is>
          <t>I</t>
        </is>
      </c>
      <c r="K1806" t="inlineStr"/>
      <c r="L1806" t="inlineStr"/>
      <c r="M1806" s="30">
        <f>0.005454*F1806^2</f>
        <v/>
      </c>
      <c r="N1806" s="31">
        <f>IF(D1806="BAF20",20/M1806,100)</f>
        <v/>
      </c>
      <c r="O1806" s="31">
        <f>M1806*N1806</f>
        <v/>
      </c>
      <c r="P1806" s="32">
        <f>178.5*N1806</f>
        <v/>
      </c>
    </row>
    <row r="1807">
      <c r="A1807" t="inlineStr">
        <is>
          <t>U6-08</t>
        </is>
      </c>
      <c r="B1807" t="n">
        <v>6</v>
      </c>
      <c r="C1807" t="n">
        <v>20</v>
      </c>
      <c r="D1807" t="inlineStr">
        <is>
          <t>BAF20</t>
        </is>
      </c>
      <c r="E1807" t="inlineStr">
        <is>
          <t>PP</t>
        </is>
      </c>
      <c r="F1807" t="n">
        <v>36.7</v>
      </c>
      <c r="G1807" t="n">
        <v>108</v>
      </c>
      <c r="H1807" t="n">
        <v>7</v>
      </c>
      <c r="I1807" t="inlineStr">
        <is>
          <t>L</t>
        </is>
      </c>
      <c r="J1807" t="inlineStr">
        <is>
          <t>D</t>
        </is>
      </c>
      <c r="K1807" t="inlineStr">
        <is>
          <t>Y</t>
        </is>
      </c>
      <c r="L1807" t="inlineStr"/>
      <c r="M1807" s="30">
        <f>0.005454*F1807^2</f>
        <v/>
      </c>
      <c r="N1807" s="31">
        <f>IF(D1807="BAF20",20/M1807,100)</f>
        <v/>
      </c>
      <c r="O1807" s="31">
        <f>M1807*N1807</f>
        <v/>
      </c>
      <c r="P1807" s="32">
        <f>1729.2*N1807</f>
        <v/>
      </c>
    </row>
    <row r="1808">
      <c r="A1808" t="inlineStr">
        <is>
          <t>U6-08</t>
        </is>
      </c>
      <c r="B1808" t="n">
        <v>6</v>
      </c>
      <c r="C1808" t="n">
        <v>21</v>
      </c>
      <c r="D1808" t="inlineStr">
        <is>
          <t>BAF20</t>
        </is>
      </c>
      <c r="E1808" t="inlineStr">
        <is>
          <t>PP</t>
        </is>
      </c>
      <c r="F1808" t="n">
        <v>34.5</v>
      </c>
      <c r="G1808" t="n">
        <v>110</v>
      </c>
      <c r="H1808" t="n">
        <v>9</v>
      </c>
      <c r="I1808" t="inlineStr">
        <is>
          <t>L</t>
        </is>
      </c>
      <c r="J1808" t="inlineStr">
        <is>
          <t>D</t>
        </is>
      </c>
      <c r="K1808" t="inlineStr"/>
      <c r="L1808" t="inlineStr"/>
      <c r="M1808" s="30">
        <f>0.005454*F1808^2</f>
        <v/>
      </c>
      <c r="N1808" s="31">
        <f>IF(D1808="BAF20",20/M1808,100)</f>
        <v/>
      </c>
      <c r="O1808" s="31">
        <f>M1808*N1808</f>
        <v/>
      </c>
      <c r="P1808" s="32">
        <f>1475.0*N1808</f>
        <v/>
      </c>
    </row>
    <row r="1809">
      <c r="A1809" t="inlineStr">
        <is>
          <t>U6-08</t>
        </is>
      </c>
      <c r="B1809" t="n">
        <v>6</v>
      </c>
      <c r="C1809" t="n">
        <v>22</v>
      </c>
      <c r="D1809" t="inlineStr">
        <is>
          <t>BAF20</t>
        </is>
      </c>
      <c r="E1809" t="inlineStr">
        <is>
          <t>IC</t>
        </is>
      </c>
      <c r="F1809" t="n">
        <v>42.7</v>
      </c>
      <c r="G1809" t="n">
        <v>112</v>
      </c>
      <c r="H1809" t="n">
        <v>10</v>
      </c>
      <c r="I1809" t="inlineStr">
        <is>
          <t>L</t>
        </is>
      </c>
      <c r="J1809" t="inlineStr">
        <is>
          <t>D</t>
        </is>
      </c>
      <c r="K1809" t="inlineStr"/>
      <c r="L1809" t="inlineStr"/>
      <c r="M1809" s="30">
        <f>0.005454*F1809^2</f>
        <v/>
      </c>
      <c r="N1809" s="31">
        <f>IF(D1809="BAF20",20/M1809,100)</f>
        <v/>
      </c>
      <c r="O1809" s="31">
        <f>M1809*N1809</f>
        <v/>
      </c>
      <c r="P1809" s="32">
        <f>2349.2*N1809</f>
        <v/>
      </c>
    </row>
    <row r="1810">
      <c r="A1810" t="inlineStr">
        <is>
          <t>U6-08</t>
        </is>
      </c>
      <c r="B1810" t="n">
        <v>6</v>
      </c>
      <c r="C1810" t="n">
        <v>23</v>
      </c>
      <c r="D1810" t="inlineStr">
        <is>
          <t>BAF20</t>
        </is>
      </c>
      <c r="E1810" t="inlineStr">
        <is>
          <t>IC</t>
        </is>
      </c>
      <c r="F1810" t="n">
        <v>39.3</v>
      </c>
      <c r="G1810" t="n">
        <v>116</v>
      </c>
      <c r="H1810" t="n">
        <v>10</v>
      </c>
      <c r="I1810" t="inlineStr">
        <is>
          <t>L</t>
        </is>
      </c>
      <c r="J1810" t="inlineStr">
        <is>
          <t>D</t>
        </is>
      </c>
      <c r="K1810" t="inlineStr"/>
      <c r="L1810" t="inlineStr"/>
      <c r="M1810" s="30">
        <f>0.005454*F1810^2</f>
        <v/>
      </c>
      <c r="N1810" s="31">
        <f>IF(D1810="BAF20",20/M1810,100)</f>
        <v/>
      </c>
      <c r="O1810" s="31">
        <f>M1810*N1810</f>
        <v/>
      </c>
      <c r="P1810" s="32">
        <f>2061.0*N1810</f>
        <v/>
      </c>
    </row>
    <row r="1811">
      <c r="A1811" t="inlineStr">
        <is>
          <t>U6-08</t>
        </is>
      </c>
      <c r="B1811" t="n">
        <v>6</v>
      </c>
      <c r="C1811" t="n">
        <v>24</v>
      </c>
      <c r="D1811" t="inlineStr">
        <is>
          <t>BAF20</t>
        </is>
      </c>
      <c r="E1811" t="inlineStr">
        <is>
          <t>BO</t>
        </is>
      </c>
      <c r="F1811" t="n">
        <v>6.7</v>
      </c>
      <c r="G1811" t="n">
        <v>28</v>
      </c>
      <c r="H1811" t="n">
        <v>100</v>
      </c>
      <c r="I1811" t="inlineStr">
        <is>
          <t>D</t>
        </is>
      </c>
      <c r="J1811" t="inlineStr">
        <is>
          <t>S</t>
        </is>
      </c>
      <c r="K1811" t="inlineStr"/>
      <c r="L1811" t="inlineStr"/>
      <c r="M1811" s="30">
        <f>0.005454*F1811^2</f>
        <v/>
      </c>
      <c r="N1811" s="31">
        <f>IF(D1811="BAF20",20/M1811,100)</f>
        <v/>
      </c>
      <c r="O1811" s="31">
        <f>M1811*N1811</f>
        <v/>
      </c>
      <c r="P1811" s="32">
        <f>0.0*N1811</f>
        <v/>
      </c>
    </row>
    <row r="1812">
      <c r="A1812" t="inlineStr">
        <is>
          <t>U6-08</t>
        </is>
      </c>
      <c r="B1812" t="n">
        <v>6</v>
      </c>
      <c r="C1812" t="n">
        <v>25</v>
      </c>
      <c r="D1812" t="inlineStr">
        <is>
          <t>BAF20</t>
        </is>
      </c>
      <c r="E1812" t="inlineStr">
        <is>
          <t>PP</t>
        </is>
      </c>
      <c r="F1812" t="n">
        <v>16.5</v>
      </c>
      <c r="G1812" t="n">
        <v>74</v>
      </c>
      <c r="H1812" t="n">
        <v>6</v>
      </c>
      <c r="I1812" t="inlineStr">
        <is>
          <t>L</t>
        </is>
      </c>
      <c r="J1812" t="inlineStr">
        <is>
          <t>I</t>
        </is>
      </c>
      <c r="K1812" t="inlineStr"/>
      <c r="L1812" t="inlineStr"/>
      <c r="M1812" s="30">
        <f>0.005454*F1812^2</f>
        <v/>
      </c>
      <c r="N1812" s="31">
        <f>IF(D1812="BAF20",20/M1812,100)</f>
        <v/>
      </c>
      <c r="O1812" s="31">
        <f>M1812*N1812</f>
        <v/>
      </c>
      <c r="P1812" s="32">
        <f>171.2*N1812</f>
        <v/>
      </c>
    </row>
    <row r="1813">
      <c r="A1813" t="inlineStr">
        <is>
          <t>U6-08</t>
        </is>
      </c>
      <c r="B1813" t="n">
        <v>6</v>
      </c>
      <c r="C1813" t="n">
        <v>26</v>
      </c>
      <c r="D1813" t="inlineStr">
        <is>
          <t>BAF20</t>
        </is>
      </c>
      <c r="E1813" t="inlineStr">
        <is>
          <t>BO</t>
        </is>
      </c>
      <c r="F1813" t="n">
        <v>12.5</v>
      </c>
      <c r="G1813" t="n">
        <v>47</v>
      </c>
      <c r="H1813" t="n">
        <v>43</v>
      </c>
      <c r="I1813" t="inlineStr">
        <is>
          <t>L</t>
        </is>
      </c>
      <c r="J1813" t="inlineStr">
        <is>
          <t>S</t>
        </is>
      </c>
      <c r="K1813" t="inlineStr"/>
      <c r="L1813" t="inlineStr"/>
      <c r="M1813" s="30">
        <f>0.005454*F1813^2</f>
        <v/>
      </c>
      <c r="N1813" s="31">
        <f>IF(D1813="BAF20",20/M1813,100)</f>
        <v/>
      </c>
      <c r="O1813" s="31">
        <f>M1813*N1813</f>
        <v/>
      </c>
      <c r="P1813" s="32">
        <f>31.4*N1813</f>
        <v/>
      </c>
    </row>
    <row r="1814">
      <c r="A1814" t="inlineStr">
        <is>
          <t>U6-08</t>
        </is>
      </c>
      <c r="B1814" t="n">
        <v>6</v>
      </c>
      <c r="C1814" t="n">
        <v>27</v>
      </c>
      <c r="D1814" t="inlineStr">
        <is>
          <t>BAF20</t>
        </is>
      </c>
      <c r="E1814" t="inlineStr">
        <is>
          <t>DF</t>
        </is>
      </c>
      <c r="F1814" t="n">
        <v>32.1</v>
      </c>
      <c r="G1814" t="n">
        <v>107</v>
      </c>
      <c r="H1814" t="n">
        <v>6</v>
      </c>
      <c r="I1814" t="inlineStr">
        <is>
          <t>L</t>
        </is>
      </c>
      <c r="J1814" t="inlineStr">
        <is>
          <t>D</t>
        </is>
      </c>
      <c r="K1814" t="inlineStr"/>
      <c r="L1814" t="inlineStr"/>
      <c r="M1814" s="30">
        <f>0.005454*F1814^2</f>
        <v/>
      </c>
      <c r="N1814" s="31">
        <f>IF(D1814="BAF20",20/M1814,100)</f>
        <v/>
      </c>
      <c r="O1814" s="31">
        <f>M1814*N1814</f>
        <v/>
      </c>
      <c r="P1814" s="32">
        <f>1236.9*N1814</f>
        <v/>
      </c>
    </row>
    <row r="1815">
      <c r="A1815" t="inlineStr">
        <is>
          <t>U6-08</t>
        </is>
      </c>
      <c r="B1815" t="n">
        <v>6</v>
      </c>
      <c r="C1815" t="n">
        <v>28</v>
      </c>
      <c r="D1815" t="inlineStr">
        <is>
          <t>BAF20</t>
        </is>
      </c>
      <c r="E1815" t="inlineStr">
        <is>
          <t>WF</t>
        </is>
      </c>
      <c r="F1815" t="n">
        <v>6.8</v>
      </c>
      <c r="G1815" t="n">
        <v>34</v>
      </c>
      <c r="H1815" t="n">
        <v>14</v>
      </c>
      <c r="I1815" t="inlineStr">
        <is>
          <t>L</t>
        </is>
      </c>
      <c r="J1815" t="inlineStr">
        <is>
          <t>S</t>
        </is>
      </c>
      <c r="K1815" t="inlineStr"/>
      <c r="L1815" t="inlineStr"/>
      <c r="M1815" s="30">
        <f>0.005454*F1815^2</f>
        <v/>
      </c>
      <c r="N1815" s="31">
        <f>IF(D1815="BAF20",20/M1815,100)</f>
        <v/>
      </c>
      <c r="O1815" s="31">
        <f>M1815*N1815</f>
        <v/>
      </c>
      <c r="P1815" s="32">
        <f>0.0*N1815</f>
        <v/>
      </c>
    </row>
    <row r="1816">
      <c r="A1816" t="inlineStr">
        <is>
          <t>U6-08</t>
        </is>
      </c>
      <c r="B1816" t="n">
        <v>6</v>
      </c>
      <c r="C1816" t="n">
        <v>29</v>
      </c>
      <c r="D1816" t="inlineStr">
        <is>
          <t>BAF20</t>
        </is>
      </c>
      <c r="E1816" t="inlineStr">
        <is>
          <t>IC</t>
        </is>
      </c>
      <c r="F1816" t="n">
        <v>13.4</v>
      </c>
      <c r="G1816" t="n">
        <v>60</v>
      </c>
      <c r="H1816" t="n">
        <v>4</v>
      </c>
      <c r="I1816" t="inlineStr">
        <is>
          <t>L</t>
        </is>
      </c>
      <c r="J1816" t="inlineStr">
        <is>
          <t>S</t>
        </is>
      </c>
      <c r="K1816" t="inlineStr">
        <is>
          <t>Y</t>
        </is>
      </c>
      <c r="L1816" t="inlineStr"/>
      <c r="M1816" s="30">
        <f>0.005454*F1816^2</f>
        <v/>
      </c>
      <c r="N1816" s="31">
        <f>IF(D1816="BAF20",20/M1816,100)</f>
        <v/>
      </c>
      <c r="O1816" s="31">
        <f>M1816*N1816</f>
        <v/>
      </c>
      <c r="P1816" s="32">
        <f>87.6*N1816</f>
        <v/>
      </c>
    </row>
    <row r="1817">
      <c r="A1817" t="inlineStr">
        <is>
          <t>U6-08</t>
        </is>
      </c>
      <c r="B1817" t="n">
        <v>6</v>
      </c>
      <c r="C1817" t="n">
        <v>30</v>
      </c>
      <c r="D1817" t="inlineStr">
        <is>
          <t>BAF20</t>
        </is>
      </c>
      <c r="E1817" t="inlineStr">
        <is>
          <t>PP</t>
        </is>
      </c>
      <c r="F1817" t="n">
        <v>8.6</v>
      </c>
      <c r="G1817" t="n">
        <v>45</v>
      </c>
      <c r="H1817" t="n">
        <v>4</v>
      </c>
      <c r="I1817" t="inlineStr">
        <is>
          <t>L</t>
        </is>
      </c>
      <c r="J1817" t="inlineStr">
        <is>
          <t>S</t>
        </is>
      </c>
      <c r="K1817" t="inlineStr"/>
      <c r="L1817" t="inlineStr"/>
      <c r="M1817" s="30">
        <f>0.005454*F1817^2</f>
        <v/>
      </c>
      <c r="N1817" s="31">
        <f>IF(D1817="BAF20",20/M1817,100)</f>
        <v/>
      </c>
      <c r="O1817" s="31">
        <f>M1817*N1817</f>
        <v/>
      </c>
      <c r="P1817" s="32">
        <f>0.0*N1817</f>
        <v/>
      </c>
    </row>
    <row r="1818">
      <c r="A1818" t="inlineStr">
        <is>
          <t>U6-08</t>
        </is>
      </c>
      <c r="B1818" t="n">
        <v>6</v>
      </c>
      <c r="C1818" t="n">
        <v>31</v>
      </c>
      <c r="D1818" t="inlineStr">
        <is>
          <t>FIX100</t>
        </is>
      </c>
      <c r="E1818" t="inlineStr">
        <is>
          <t>PP</t>
        </is>
      </c>
      <c r="F1818" t="n">
        <v>1.5</v>
      </c>
      <c r="G1818" t="n">
        <v>9</v>
      </c>
      <c r="H1818" t="n">
        <v>0</v>
      </c>
      <c r="I1818" t="inlineStr">
        <is>
          <t>L</t>
        </is>
      </c>
      <c r="J1818" t="inlineStr">
        <is>
          <t>S</t>
        </is>
      </c>
      <c r="K1818" t="inlineStr"/>
      <c r="L1818" t="inlineStr"/>
      <c r="M1818" s="30">
        <f>0.005454*F1818^2</f>
        <v/>
      </c>
      <c r="N1818" s="31">
        <f>IF(D1818="BAF20",20/M1818,100)</f>
        <v/>
      </c>
      <c r="O1818" s="31">
        <f>M1818*N1818</f>
        <v/>
      </c>
      <c r="P1818" s="32">
        <f>0.0*N1818</f>
        <v/>
      </c>
    </row>
    <row r="1819">
      <c r="A1819" t="inlineStr">
        <is>
          <t>U6-08</t>
        </is>
      </c>
      <c r="B1819" t="n">
        <v>6</v>
      </c>
      <c r="C1819" t="n">
        <v>32</v>
      </c>
      <c r="D1819" t="inlineStr">
        <is>
          <t>FIX100</t>
        </is>
      </c>
      <c r="E1819" t="inlineStr">
        <is>
          <t>WF</t>
        </is>
      </c>
      <c r="F1819" t="n">
        <v>1.6</v>
      </c>
      <c r="G1819" t="n">
        <v>12</v>
      </c>
      <c r="H1819" t="n">
        <v>0</v>
      </c>
      <c r="I1819" t="inlineStr">
        <is>
          <t>L</t>
        </is>
      </c>
      <c r="J1819" t="inlineStr">
        <is>
          <t>S</t>
        </is>
      </c>
      <c r="K1819" t="inlineStr"/>
      <c r="L1819" t="inlineStr"/>
      <c r="M1819" s="30">
        <f>0.005454*F1819^2</f>
        <v/>
      </c>
      <c r="N1819" s="31">
        <f>IF(D1819="BAF20",20/M1819,100)</f>
        <v/>
      </c>
      <c r="O1819" s="31">
        <f>M1819*N1819</f>
        <v/>
      </c>
      <c r="P1819" s="32">
        <f>0.0*N1819</f>
        <v/>
      </c>
    </row>
    <row r="1820">
      <c r="A1820" t="inlineStr">
        <is>
          <t>U6-09</t>
        </is>
      </c>
      <c r="B1820" t="n">
        <v>6</v>
      </c>
      <c r="C1820" t="n">
        <v>1</v>
      </c>
      <c r="D1820" t="inlineStr">
        <is>
          <t>BAF20</t>
        </is>
      </c>
      <c r="E1820" t="inlineStr">
        <is>
          <t>PP</t>
        </is>
      </c>
      <c r="F1820" t="n">
        <v>32</v>
      </c>
      <c r="G1820" t="n">
        <v>127</v>
      </c>
      <c r="H1820" t="n">
        <v>1</v>
      </c>
      <c r="I1820" t="inlineStr">
        <is>
          <t>L</t>
        </is>
      </c>
      <c r="J1820" t="inlineStr">
        <is>
          <t>D</t>
        </is>
      </c>
      <c r="K1820" t="inlineStr">
        <is>
          <t>Y</t>
        </is>
      </c>
      <c r="L1820" t="inlineStr"/>
      <c r="M1820" s="30">
        <f>0.005454*F1820^2</f>
        <v/>
      </c>
      <c r="N1820" s="31">
        <f>IF(D1820="BAF20",20/M1820,100)</f>
        <v/>
      </c>
      <c r="O1820" s="31">
        <f>M1820*N1820</f>
        <v/>
      </c>
      <c r="P1820" s="32">
        <f>1534.2*N1820</f>
        <v/>
      </c>
    </row>
    <row r="1821">
      <c r="A1821" t="inlineStr">
        <is>
          <t>U6-09</t>
        </is>
      </c>
      <c r="B1821" t="n">
        <v>6</v>
      </c>
      <c r="C1821" t="n">
        <v>2</v>
      </c>
      <c r="D1821" t="inlineStr">
        <is>
          <t>BAF20</t>
        </is>
      </c>
      <c r="E1821" t="inlineStr">
        <is>
          <t>PP</t>
        </is>
      </c>
      <c r="F1821" t="n">
        <v>32.8</v>
      </c>
      <c r="G1821" t="n">
        <v>133</v>
      </c>
      <c r="H1821" t="n">
        <v>100</v>
      </c>
      <c r="I1821" t="inlineStr">
        <is>
          <t>D</t>
        </is>
      </c>
      <c r="J1821" t="inlineStr">
        <is>
          <t>D</t>
        </is>
      </c>
      <c r="K1821" t="inlineStr"/>
      <c r="L1821" t="inlineStr"/>
      <c r="M1821" s="30">
        <f>0.005454*F1821^2</f>
        <v/>
      </c>
      <c r="N1821" s="31">
        <f>IF(D1821="BAF20",20/M1821,100)</f>
        <v/>
      </c>
      <c r="O1821" s="31">
        <f>M1821*N1821</f>
        <v/>
      </c>
      <c r="P1821" s="32">
        <f>0.0*N1821</f>
        <v/>
      </c>
    </row>
    <row r="1822">
      <c r="A1822" t="inlineStr">
        <is>
          <t>U6-09</t>
        </is>
      </c>
      <c r="B1822" t="n">
        <v>6</v>
      </c>
      <c r="C1822" t="n">
        <v>3</v>
      </c>
      <c r="D1822" t="inlineStr">
        <is>
          <t>BAF20</t>
        </is>
      </c>
      <c r="E1822" t="inlineStr">
        <is>
          <t>PP</t>
        </is>
      </c>
      <c r="F1822" t="n">
        <v>11.1</v>
      </c>
      <c r="G1822" t="n">
        <v>53</v>
      </c>
      <c r="H1822" t="n">
        <v>1</v>
      </c>
      <c r="I1822" t="inlineStr">
        <is>
          <t>L</t>
        </is>
      </c>
      <c r="J1822" t="inlineStr">
        <is>
          <t>S</t>
        </is>
      </c>
      <c r="K1822" t="inlineStr"/>
      <c r="L1822" t="inlineStr"/>
      <c r="M1822" s="30">
        <f>0.005454*F1822^2</f>
        <v/>
      </c>
      <c r="N1822" s="31">
        <f>IF(D1822="BAF20",20/M1822,100)</f>
        <v/>
      </c>
      <c r="O1822" s="31">
        <f>M1822*N1822</f>
        <v/>
      </c>
      <c r="P1822" s="32">
        <f>52.0*N1822</f>
        <v/>
      </c>
    </row>
    <row r="1823">
      <c r="A1823" t="inlineStr">
        <is>
          <t>U6-09</t>
        </is>
      </c>
      <c r="B1823" t="n">
        <v>6</v>
      </c>
      <c r="C1823" t="n">
        <v>4</v>
      </c>
      <c r="D1823" t="inlineStr">
        <is>
          <t>BAF20</t>
        </is>
      </c>
      <c r="E1823" t="inlineStr">
        <is>
          <t>PP</t>
        </is>
      </c>
      <c r="F1823" t="n">
        <v>10.1</v>
      </c>
      <c r="G1823" t="n">
        <v>51</v>
      </c>
      <c r="H1823" t="n">
        <v>1</v>
      </c>
      <c r="I1823" t="inlineStr">
        <is>
          <t>L</t>
        </is>
      </c>
      <c r="J1823" t="inlineStr">
        <is>
          <t>S</t>
        </is>
      </c>
      <c r="K1823" t="inlineStr"/>
      <c r="L1823" t="inlineStr"/>
      <c r="M1823" s="30">
        <f>0.005454*F1823^2</f>
        <v/>
      </c>
      <c r="N1823" s="31">
        <f>IF(D1823="BAF20",20/M1823,100)</f>
        <v/>
      </c>
      <c r="O1823" s="31">
        <f>M1823*N1823</f>
        <v/>
      </c>
      <c r="P1823" s="32">
        <f>40.4*N1823</f>
        <v/>
      </c>
    </row>
    <row r="1824">
      <c r="A1824" t="inlineStr">
        <is>
          <t>U6-09</t>
        </is>
      </c>
      <c r="B1824" t="n">
        <v>6</v>
      </c>
      <c r="C1824" t="n">
        <v>5</v>
      </c>
      <c r="D1824" t="inlineStr">
        <is>
          <t>BAF20</t>
        </is>
      </c>
      <c r="E1824" t="inlineStr">
        <is>
          <t>PP</t>
        </is>
      </c>
      <c r="F1824" t="n">
        <v>27.9</v>
      </c>
      <c r="G1824" t="n">
        <v>106</v>
      </c>
      <c r="H1824" t="n">
        <v>4</v>
      </c>
      <c r="I1824" t="inlineStr">
        <is>
          <t>L</t>
        </is>
      </c>
      <c r="J1824" t="inlineStr">
        <is>
          <t>C</t>
        </is>
      </c>
      <c r="K1824" t="inlineStr"/>
      <c r="L1824" t="inlineStr"/>
      <c r="M1824" s="30">
        <f>0.005454*F1824^2</f>
        <v/>
      </c>
      <c r="N1824" s="31">
        <f>IF(D1824="BAF20",20/M1824,100)</f>
        <v/>
      </c>
      <c r="O1824" s="31">
        <f>M1824*N1824</f>
        <v/>
      </c>
      <c r="P1824" s="32">
        <f>883.6*N1824</f>
        <v/>
      </c>
    </row>
    <row r="1825">
      <c r="A1825" t="inlineStr">
        <is>
          <t>U6-09</t>
        </is>
      </c>
      <c r="B1825" t="n">
        <v>6</v>
      </c>
      <c r="C1825" t="n">
        <v>6</v>
      </c>
      <c r="D1825" t="inlineStr">
        <is>
          <t>BAF20</t>
        </is>
      </c>
      <c r="E1825" t="inlineStr">
        <is>
          <t>PP</t>
        </is>
      </c>
      <c r="F1825" t="n">
        <v>7.8</v>
      </c>
      <c r="G1825" t="n">
        <v>38</v>
      </c>
      <c r="H1825" t="n">
        <v>1</v>
      </c>
      <c r="I1825" t="inlineStr">
        <is>
          <t>L</t>
        </is>
      </c>
      <c r="J1825" t="inlineStr">
        <is>
          <t>S</t>
        </is>
      </c>
      <c r="K1825" t="inlineStr"/>
      <c r="L1825" t="inlineStr"/>
      <c r="M1825" s="30">
        <f>0.005454*F1825^2</f>
        <v/>
      </c>
      <c r="N1825" s="31">
        <f>IF(D1825="BAF20",20/M1825,100)</f>
        <v/>
      </c>
      <c r="O1825" s="31">
        <f>M1825*N1825</f>
        <v/>
      </c>
      <c r="P1825" s="32">
        <f>0.0*N1825</f>
        <v/>
      </c>
    </row>
    <row r="1826">
      <c r="A1826" t="inlineStr">
        <is>
          <t>U6-09</t>
        </is>
      </c>
      <c r="B1826" t="n">
        <v>6</v>
      </c>
      <c r="C1826" t="n">
        <v>7</v>
      </c>
      <c r="D1826" t="inlineStr">
        <is>
          <t>BAF20</t>
        </is>
      </c>
      <c r="E1826" t="inlineStr">
        <is>
          <t>DF</t>
        </is>
      </c>
      <c r="F1826" t="n">
        <v>26.9</v>
      </c>
      <c r="G1826" t="n">
        <v>128</v>
      </c>
      <c r="H1826" t="n">
        <v>4</v>
      </c>
      <c r="I1826" t="inlineStr">
        <is>
          <t>L</t>
        </is>
      </c>
      <c r="J1826" t="inlineStr">
        <is>
          <t>C</t>
        </is>
      </c>
      <c r="K1826" t="inlineStr"/>
      <c r="L1826" t="inlineStr"/>
      <c r="M1826" s="30">
        <f>0.005454*F1826^2</f>
        <v/>
      </c>
      <c r="N1826" s="31">
        <f>IF(D1826="BAF20",20/M1826,100)</f>
        <v/>
      </c>
      <c r="O1826" s="31">
        <f>M1826*N1826</f>
        <v/>
      </c>
      <c r="P1826" s="32">
        <f>975.4*N1826</f>
        <v/>
      </c>
    </row>
    <row r="1827">
      <c r="A1827" t="inlineStr">
        <is>
          <t>U6-09</t>
        </is>
      </c>
      <c r="B1827" t="n">
        <v>6</v>
      </c>
      <c r="C1827" t="n">
        <v>8</v>
      </c>
      <c r="D1827" t="inlineStr">
        <is>
          <t>BAF20</t>
        </is>
      </c>
      <c r="E1827" t="inlineStr">
        <is>
          <t>IC</t>
        </is>
      </c>
      <c r="F1827" t="n">
        <v>7.3</v>
      </c>
      <c r="G1827" t="n">
        <v>33</v>
      </c>
      <c r="H1827" t="n">
        <v>12</v>
      </c>
      <c r="I1827" t="inlineStr">
        <is>
          <t>L</t>
        </is>
      </c>
      <c r="J1827" t="inlineStr">
        <is>
          <t>S</t>
        </is>
      </c>
      <c r="K1827" t="inlineStr"/>
      <c r="L1827" t="inlineStr"/>
      <c r="M1827" s="30">
        <f>0.005454*F1827^2</f>
        <v/>
      </c>
      <c r="N1827" s="31">
        <f>IF(D1827="BAF20",20/M1827,100)</f>
        <v/>
      </c>
      <c r="O1827" s="31">
        <f>M1827*N1827</f>
        <v/>
      </c>
      <c r="P1827" s="32">
        <f>0.0*N1827</f>
        <v/>
      </c>
    </row>
    <row r="1828">
      <c r="A1828" t="inlineStr">
        <is>
          <t>U6-09</t>
        </is>
      </c>
      <c r="B1828" t="n">
        <v>6</v>
      </c>
      <c r="C1828" t="n">
        <v>9</v>
      </c>
      <c r="D1828" t="inlineStr">
        <is>
          <t>BAF20</t>
        </is>
      </c>
      <c r="E1828" t="inlineStr">
        <is>
          <t>DF</t>
        </is>
      </c>
      <c r="F1828" t="n">
        <v>22.2</v>
      </c>
      <c r="G1828" t="n">
        <v>87</v>
      </c>
      <c r="H1828" t="n">
        <v>1</v>
      </c>
      <c r="I1828" t="inlineStr">
        <is>
          <t>L</t>
        </is>
      </c>
      <c r="J1828" t="inlineStr">
        <is>
          <t>I</t>
        </is>
      </c>
      <c r="K1828" t="inlineStr"/>
      <c r="L1828" t="inlineStr"/>
      <c r="M1828" s="30">
        <f>0.005454*F1828^2</f>
        <v/>
      </c>
      <c r="N1828" s="31">
        <f>IF(D1828="BAF20",20/M1828,100)</f>
        <v/>
      </c>
      <c r="O1828" s="31">
        <f>M1828*N1828</f>
        <v/>
      </c>
      <c r="P1828" s="32">
        <f>428.6*N1828</f>
        <v/>
      </c>
    </row>
    <row r="1829">
      <c r="A1829" t="inlineStr">
        <is>
          <t>U6-09</t>
        </is>
      </c>
      <c r="B1829" t="n">
        <v>6</v>
      </c>
      <c r="C1829" t="n">
        <v>10</v>
      </c>
      <c r="D1829" t="inlineStr">
        <is>
          <t>BAF20</t>
        </is>
      </c>
      <c r="E1829" t="inlineStr">
        <is>
          <t>IC</t>
        </is>
      </c>
      <c r="F1829" t="n">
        <v>27.6</v>
      </c>
      <c r="G1829" t="n">
        <v>97</v>
      </c>
      <c r="H1829" t="n">
        <v>6</v>
      </c>
      <c r="I1829" t="inlineStr">
        <is>
          <t>L</t>
        </is>
      </c>
      <c r="J1829" t="inlineStr">
        <is>
          <t>C</t>
        </is>
      </c>
      <c r="K1829" t="inlineStr">
        <is>
          <t>Y</t>
        </is>
      </c>
      <c r="L1829" t="inlineStr"/>
      <c r="M1829" s="30">
        <f>0.005454*F1829^2</f>
        <v/>
      </c>
      <c r="N1829" s="31">
        <f>IF(D1829="BAF20",20/M1829,100)</f>
        <v/>
      </c>
      <c r="O1829" s="31">
        <f>M1829*N1829</f>
        <v/>
      </c>
      <c r="P1829" s="32">
        <f>771.0*N1829</f>
        <v/>
      </c>
    </row>
    <row r="1830">
      <c r="A1830" t="inlineStr">
        <is>
          <t>U6-09</t>
        </is>
      </c>
      <c r="B1830" t="n">
        <v>6</v>
      </c>
      <c r="C1830" t="n">
        <v>11</v>
      </c>
      <c r="D1830" t="inlineStr">
        <is>
          <t>BAF20</t>
        </is>
      </c>
      <c r="E1830" t="inlineStr">
        <is>
          <t>PP</t>
        </is>
      </c>
      <c r="F1830" t="n">
        <v>16.5</v>
      </c>
      <c r="G1830" t="n">
        <v>78</v>
      </c>
      <c r="H1830" t="n">
        <v>2</v>
      </c>
      <c r="I1830" t="inlineStr">
        <is>
          <t>L</t>
        </is>
      </c>
      <c r="J1830" t="inlineStr">
        <is>
          <t>I</t>
        </is>
      </c>
      <c r="K1830" t="inlineStr"/>
      <c r="L1830" t="inlineStr"/>
      <c r="M1830" s="30">
        <f>0.005454*F1830^2</f>
        <v/>
      </c>
      <c r="N1830" s="31">
        <f>IF(D1830="BAF20",20/M1830,100)</f>
        <v/>
      </c>
      <c r="O1830" s="31">
        <f>M1830*N1830</f>
        <v/>
      </c>
      <c r="P1830" s="32">
        <f>188.1*N1830</f>
        <v/>
      </c>
    </row>
    <row r="1831">
      <c r="A1831" t="inlineStr">
        <is>
          <t>U6-09</t>
        </is>
      </c>
      <c r="B1831" t="n">
        <v>6</v>
      </c>
      <c r="C1831" t="n">
        <v>12</v>
      </c>
      <c r="D1831" t="inlineStr">
        <is>
          <t>BAF20</t>
        </is>
      </c>
      <c r="E1831" t="inlineStr">
        <is>
          <t>PP</t>
        </is>
      </c>
      <c r="F1831" t="n">
        <v>22</v>
      </c>
      <c r="G1831" t="n">
        <v>91</v>
      </c>
      <c r="H1831" t="n">
        <v>5</v>
      </c>
      <c r="I1831" t="inlineStr">
        <is>
          <t>L</t>
        </is>
      </c>
      <c r="J1831" t="inlineStr">
        <is>
          <t>I</t>
        </is>
      </c>
      <c r="K1831" t="inlineStr"/>
      <c r="L1831" t="inlineStr"/>
      <c r="M1831" s="30">
        <f>0.005454*F1831^2</f>
        <v/>
      </c>
      <c r="N1831" s="31">
        <f>IF(D1831="BAF20",20/M1831,100)</f>
        <v/>
      </c>
      <c r="O1831" s="31">
        <f>M1831*N1831</f>
        <v/>
      </c>
      <c r="P1831" s="32">
        <f>421.0*N1831</f>
        <v/>
      </c>
    </row>
    <row r="1832">
      <c r="A1832" t="inlineStr">
        <is>
          <t>U6-09</t>
        </is>
      </c>
      <c r="B1832" t="n">
        <v>6</v>
      </c>
      <c r="C1832" t="n">
        <v>13</v>
      </c>
      <c r="D1832" t="inlineStr">
        <is>
          <t>BAF20</t>
        </is>
      </c>
      <c r="E1832" t="inlineStr">
        <is>
          <t>PP</t>
        </is>
      </c>
      <c r="F1832" t="n">
        <v>16.4</v>
      </c>
      <c r="G1832" t="n">
        <v>79</v>
      </c>
      <c r="H1832" t="n">
        <v>5</v>
      </c>
      <c r="I1832" t="inlineStr">
        <is>
          <t>L</t>
        </is>
      </c>
      <c r="J1832" t="inlineStr">
        <is>
          <t>I</t>
        </is>
      </c>
      <c r="K1832" t="inlineStr"/>
      <c r="L1832" t="inlineStr"/>
      <c r="M1832" s="30">
        <f>0.005454*F1832^2</f>
        <v/>
      </c>
      <c r="N1832" s="31">
        <f>IF(D1832="BAF20",20/M1832,100)</f>
        <v/>
      </c>
      <c r="O1832" s="31">
        <f>M1832*N1832</f>
        <v/>
      </c>
      <c r="P1832" s="32">
        <f>182.1*N1832</f>
        <v/>
      </c>
    </row>
    <row r="1833">
      <c r="A1833" t="inlineStr">
        <is>
          <t>U6-09</t>
        </is>
      </c>
      <c r="B1833" t="n">
        <v>6</v>
      </c>
      <c r="C1833" t="n">
        <v>14</v>
      </c>
      <c r="D1833" t="inlineStr">
        <is>
          <t>BAF20</t>
        </is>
      </c>
      <c r="E1833" t="inlineStr">
        <is>
          <t>BO</t>
        </is>
      </c>
      <c r="F1833" t="n">
        <v>24.8</v>
      </c>
      <c r="G1833" t="n">
        <v>65</v>
      </c>
      <c r="H1833" t="n">
        <v>9</v>
      </c>
      <c r="I1833" t="inlineStr">
        <is>
          <t>L</t>
        </is>
      </c>
      <c r="J1833" t="inlineStr">
        <is>
          <t>C</t>
        </is>
      </c>
      <c r="K1833" t="inlineStr"/>
      <c r="L1833" t="inlineStr"/>
      <c r="M1833" s="30">
        <f>0.005454*F1833^2</f>
        <v/>
      </c>
      <c r="N1833" s="31">
        <f>IF(D1833="BAF20",20/M1833,100)</f>
        <v/>
      </c>
      <c r="O1833" s="31">
        <f>M1833*N1833</f>
        <v/>
      </c>
      <c r="P1833" s="32">
        <f>348.2*N1833</f>
        <v/>
      </c>
    </row>
    <row r="1834">
      <c r="A1834" t="inlineStr">
        <is>
          <t>U6-09</t>
        </is>
      </c>
      <c r="B1834" t="n">
        <v>6</v>
      </c>
      <c r="C1834" t="n">
        <v>15</v>
      </c>
      <c r="D1834" t="inlineStr">
        <is>
          <t>BAF20</t>
        </is>
      </c>
      <c r="E1834" t="inlineStr">
        <is>
          <t>IC</t>
        </is>
      </c>
      <c r="F1834" t="n">
        <v>10.4</v>
      </c>
      <c r="G1834" t="n">
        <v>41</v>
      </c>
      <c r="H1834" t="n">
        <v>0</v>
      </c>
      <c r="I1834" t="inlineStr">
        <is>
          <t>L</t>
        </is>
      </c>
      <c r="J1834" t="inlineStr">
        <is>
          <t>S</t>
        </is>
      </c>
      <c r="K1834" t="inlineStr"/>
      <c r="L1834" t="inlineStr"/>
      <c r="M1834" s="30">
        <f>0.005454*F1834^2</f>
        <v/>
      </c>
      <c r="N1834" s="31">
        <f>IF(D1834="BAF20",20/M1834,100)</f>
        <v/>
      </c>
      <c r="O1834" s="31">
        <f>M1834*N1834</f>
        <v/>
      </c>
      <c r="P1834" s="32">
        <f>35.1*N1834</f>
        <v/>
      </c>
    </row>
    <row r="1835">
      <c r="A1835" t="inlineStr">
        <is>
          <t>U6-09</t>
        </is>
      </c>
      <c r="B1835" t="n">
        <v>6</v>
      </c>
      <c r="C1835" t="n">
        <v>16</v>
      </c>
      <c r="D1835" t="inlineStr">
        <is>
          <t>FIX100</t>
        </is>
      </c>
      <c r="E1835" t="inlineStr">
        <is>
          <t>IC</t>
        </is>
      </c>
      <c r="F1835" t="n">
        <v>2.4</v>
      </c>
      <c r="G1835" t="n">
        <v>11</v>
      </c>
      <c r="H1835" t="n">
        <v>0</v>
      </c>
      <c r="I1835" t="inlineStr">
        <is>
          <t>L</t>
        </is>
      </c>
      <c r="J1835" t="inlineStr">
        <is>
          <t>S</t>
        </is>
      </c>
      <c r="K1835" t="inlineStr"/>
      <c r="L1835" t="inlineStr"/>
      <c r="M1835" s="30">
        <f>0.005454*F1835^2</f>
        <v/>
      </c>
      <c r="N1835" s="31">
        <f>IF(D1835="BAF20",20/M1835,100)</f>
        <v/>
      </c>
      <c r="O1835" s="31">
        <f>M1835*N1835</f>
        <v/>
      </c>
      <c r="P1835" s="32">
        <f>0.0*N1835</f>
        <v/>
      </c>
    </row>
    <row r="1836">
      <c r="A1836" t="inlineStr">
        <is>
          <t>U7-01</t>
        </is>
      </c>
      <c r="B1836" t="n">
        <v>7</v>
      </c>
      <c r="C1836" t="n">
        <v>1</v>
      </c>
      <c r="D1836" t="inlineStr">
        <is>
          <t>BAF20</t>
        </is>
      </c>
      <c r="E1836" t="inlineStr">
        <is>
          <t>WF</t>
        </is>
      </c>
      <c r="F1836" t="n">
        <v>42.9</v>
      </c>
      <c r="G1836" t="n">
        <v>123</v>
      </c>
      <c r="H1836" t="n">
        <v>4</v>
      </c>
      <c r="I1836" t="inlineStr">
        <is>
          <t>L</t>
        </is>
      </c>
      <c r="J1836" t="inlineStr">
        <is>
          <t>D</t>
        </is>
      </c>
      <c r="K1836" t="inlineStr">
        <is>
          <t>Y</t>
        </is>
      </c>
      <c r="L1836" t="inlineStr"/>
      <c r="M1836" s="30">
        <f>0.005454*F1836^2</f>
        <v/>
      </c>
      <c r="N1836" s="31">
        <f>IF(D1836="BAF20",20/M1836,100)</f>
        <v/>
      </c>
      <c r="O1836" s="31">
        <f>M1836*N1836</f>
        <v/>
      </c>
      <c r="P1836" s="32">
        <f>2777.7*N1836</f>
        <v/>
      </c>
    </row>
    <row r="1837">
      <c r="A1837" t="inlineStr">
        <is>
          <t>U7-01</t>
        </is>
      </c>
      <c r="B1837" t="n">
        <v>7</v>
      </c>
      <c r="C1837" t="n">
        <v>2</v>
      </c>
      <c r="D1837" t="inlineStr">
        <is>
          <t>BAF20</t>
        </is>
      </c>
      <c r="E1837" t="inlineStr">
        <is>
          <t>DF</t>
        </is>
      </c>
      <c r="F1837" t="n">
        <v>27.8</v>
      </c>
      <c r="G1837" t="n">
        <v>109</v>
      </c>
      <c r="H1837" t="n">
        <v>4</v>
      </c>
      <c r="I1837" t="inlineStr">
        <is>
          <t>L</t>
        </is>
      </c>
      <c r="J1837" t="inlineStr">
        <is>
          <t>C</t>
        </is>
      </c>
      <c r="K1837" t="inlineStr"/>
      <c r="L1837" t="inlineStr"/>
      <c r="M1837" s="30">
        <f>0.005454*F1837^2</f>
        <v/>
      </c>
      <c r="N1837" s="31">
        <f>IF(D1837="BAF20",20/M1837,100)</f>
        <v/>
      </c>
      <c r="O1837" s="31">
        <f>M1837*N1837</f>
        <v/>
      </c>
      <c r="P1837" s="32">
        <f>900.6*N1837</f>
        <v/>
      </c>
    </row>
    <row r="1838">
      <c r="A1838" t="inlineStr">
        <is>
          <t>U7-01</t>
        </is>
      </c>
      <c r="B1838" t="n">
        <v>7</v>
      </c>
      <c r="C1838" t="n">
        <v>3</v>
      </c>
      <c r="D1838" t="inlineStr">
        <is>
          <t>BAF20</t>
        </is>
      </c>
      <c r="E1838" t="inlineStr">
        <is>
          <t>PP</t>
        </is>
      </c>
      <c r="F1838" t="n">
        <v>20</v>
      </c>
      <c r="G1838" t="n">
        <v>88</v>
      </c>
      <c r="H1838" t="n">
        <v>3</v>
      </c>
      <c r="I1838" t="inlineStr">
        <is>
          <t>L</t>
        </is>
      </c>
      <c r="J1838" t="inlineStr">
        <is>
          <t>I</t>
        </is>
      </c>
      <c r="K1838" t="inlineStr"/>
      <c r="L1838" t="inlineStr"/>
      <c r="M1838" s="30">
        <f>0.005454*F1838^2</f>
        <v/>
      </c>
      <c r="N1838" s="31">
        <f>IF(D1838="BAF20",20/M1838,100)</f>
        <v/>
      </c>
      <c r="O1838" s="31">
        <f>M1838*N1838</f>
        <v/>
      </c>
      <c r="P1838" s="32">
        <f>330.8*N1838</f>
        <v/>
      </c>
    </row>
    <row r="1839">
      <c r="A1839" t="inlineStr">
        <is>
          <t>U7-01</t>
        </is>
      </c>
      <c r="B1839" t="n">
        <v>7</v>
      </c>
      <c r="C1839" t="n">
        <v>4</v>
      </c>
      <c r="D1839" t="inlineStr">
        <is>
          <t>BAF20</t>
        </is>
      </c>
      <c r="E1839" t="inlineStr">
        <is>
          <t>SP</t>
        </is>
      </c>
      <c r="F1839" t="n">
        <v>35.4</v>
      </c>
      <c r="G1839" t="n">
        <v>135</v>
      </c>
      <c r="H1839" t="n">
        <v>14</v>
      </c>
      <c r="I1839" t="inlineStr">
        <is>
          <t>L</t>
        </is>
      </c>
      <c r="J1839" t="inlineStr">
        <is>
          <t>D</t>
        </is>
      </c>
      <c r="K1839" t="inlineStr"/>
      <c r="L1839" t="inlineStr"/>
      <c r="M1839" s="30">
        <f>0.005454*F1839^2</f>
        <v/>
      </c>
      <c r="N1839" s="31">
        <f>IF(D1839="BAF20",20/M1839,100)</f>
        <v/>
      </c>
      <c r="O1839" s="31">
        <f>M1839*N1839</f>
        <v/>
      </c>
      <c r="P1839" s="32">
        <f>1825.5*N1839</f>
        <v/>
      </c>
    </row>
    <row r="1840">
      <c r="A1840" t="inlineStr">
        <is>
          <t>U7-01</t>
        </is>
      </c>
      <c r="B1840" t="n">
        <v>7</v>
      </c>
      <c r="C1840" t="n">
        <v>5</v>
      </c>
      <c r="D1840" t="inlineStr">
        <is>
          <t>BAF20</t>
        </is>
      </c>
      <c r="E1840" t="inlineStr">
        <is>
          <t>SP</t>
        </is>
      </c>
      <c r="F1840" t="n">
        <v>5</v>
      </c>
      <c r="G1840" t="n">
        <v>29</v>
      </c>
      <c r="H1840" t="n">
        <v>4</v>
      </c>
      <c r="I1840" t="inlineStr">
        <is>
          <t>L</t>
        </is>
      </c>
      <c r="J1840" t="inlineStr">
        <is>
          <t>S</t>
        </is>
      </c>
      <c r="K1840" t="inlineStr"/>
      <c r="L1840" t="inlineStr"/>
      <c r="M1840" s="30">
        <f>0.005454*F1840^2</f>
        <v/>
      </c>
      <c r="N1840" s="31">
        <f>IF(D1840="BAF20",20/M1840,100)</f>
        <v/>
      </c>
      <c r="O1840" s="31">
        <f>M1840*N1840</f>
        <v/>
      </c>
      <c r="P1840" s="32">
        <f>0.0*N1840</f>
        <v/>
      </c>
    </row>
    <row r="1841">
      <c r="A1841" t="inlineStr">
        <is>
          <t>U7-01</t>
        </is>
      </c>
      <c r="B1841" t="n">
        <v>7</v>
      </c>
      <c r="C1841" t="n">
        <v>6</v>
      </c>
      <c r="D1841" t="inlineStr">
        <is>
          <t>BAF20</t>
        </is>
      </c>
      <c r="E1841" t="inlineStr">
        <is>
          <t>DF</t>
        </is>
      </c>
      <c r="F1841" t="n">
        <v>27.3</v>
      </c>
      <c r="G1841" t="n">
        <v>124</v>
      </c>
      <c r="H1841" t="n">
        <v>2</v>
      </c>
      <c r="I1841" t="inlineStr">
        <is>
          <t>L</t>
        </is>
      </c>
      <c r="J1841" t="inlineStr">
        <is>
          <t>C</t>
        </is>
      </c>
      <c r="K1841" t="inlineStr"/>
      <c r="L1841" t="inlineStr"/>
      <c r="M1841" s="30">
        <f>0.005454*F1841^2</f>
        <v/>
      </c>
      <c r="N1841" s="31">
        <f>IF(D1841="BAF20",20/M1841,100)</f>
        <v/>
      </c>
      <c r="O1841" s="31">
        <f>M1841*N1841</f>
        <v/>
      </c>
      <c r="P1841" s="32">
        <f>1000.2*N1841</f>
        <v/>
      </c>
    </row>
    <row r="1842">
      <c r="A1842" t="inlineStr">
        <is>
          <t>U7-01</t>
        </is>
      </c>
      <c r="B1842" t="n">
        <v>7</v>
      </c>
      <c r="C1842" t="n">
        <v>7</v>
      </c>
      <c r="D1842" t="inlineStr">
        <is>
          <t>BAF20</t>
        </is>
      </c>
      <c r="E1842" t="inlineStr">
        <is>
          <t>WF</t>
        </is>
      </c>
      <c r="F1842" t="n">
        <v>30.8</v>
      </c>
      <c r="G1842" t="n">
        <v>116</v>
      </c>
      <c r="H1842" t="n">
        <v>5</v>
      </c>
      <c r="I1842" t="inlineStr">
        <is>
          <t>L</t>
        </is>
      </c>
      <c r="J1842" t="inlineStr">
        <is>
          <t>C</t>
        </is>
      </c>
      <c r="K1842" t="inlineStr"/>
      <c r="L1842" t="inlineStr"/>
      <c r="M1842" s="30">
        <f>0.005454*F1842^2</f>
        <v/>
      </c>
      <c r="N1842" s="31">
        <f>IF(D1842="BAF20",20/M1842,100)</f>
        <v/>
      </c>
      <c r="O1842" s="31">
        <f>M1842*N1842</f>
        <v/>
      </c>
      <c r="P1842" s="32">
        <f>1222.4*N1842</f>
        <v/>
      </c>
    </row>
    <row r="1843">
      <c r="A1843" t="inlineStr">
        <is>
          <t>U7-01</t>
        </is>
      </c>
      <c r="B1843" t="n">
        <v>7</v>
      </c>
      <c r="C1843" t="n">
        <v>8</v>
      </c>
      <c r="D1843" t="inlineStr">
        <is>
          <t>BAF20</t>
        </is>
      </c>
      <c r="E1843" t="inlineStr">
        <is>
          <t>PP</t>
        </is>
      </c>
      <c r="F1843" t="n">
        <v>26.8</v>
      </c>
      <c r="G1843" t="n">
        <v>107</v>
      </c>
      <c r="H1843" t="n">
        <v>4</v>
      </c>
      <c r="I1843" t="inlineStr">
        <is>
          <t>L</t>
        </is>
      </c>
      <c r="J1843" t="inlineStr">
        <is>
          <t>C</t>
        </is>
      </c>
      <c r="K1843" t="inlineStr"/>
      <c r="L1843" t="inlineStr"/>
      <c r="M1843" s="30">
        <f>0.005454*F1843^2</f>
        <v/>
      </c>
      <c r="N1843" s="31">
        <f>IF(D1843="BAF20",20/M1843,100)</f>
        <v/>
      </c>
      <c r="O1843" s="31">
        <f>M1843*N1843</f>
        <v/>
      </c>
      <c r="P1843" s="32">
        <f>808.0*N1843</f>
        <v/>
      </c>
    </row>
    <row r="1844">
      <c r="A1844" t="inlineStr">
        <is>
          <t>U7-01</t>
        </is>
      </c>
      <c r="B1844" t="n">
        <v>7</v>
      </c>
      <c r="C1844" t="n">
        <v>9</v>
      </c>
      <c r="D1844" t="inlineStr">
        <is>
          <t>BAF20</t>
        </is>
      </c>
      <c r="E1844" t="inlineStr">
        <is>
          <t>WF</t>
        </is>
      </c>
      <c r="F1844" t="n">
        <v>44.6</v>
      </c>
      <c r="G1844" t="n">
        <v>137</v>
      </c>
      <c r="H1844" t="n">
        <v>12</v>
      </c>
      <c r="I1844" t="inlineStr">
        <is>
          <t>L</t>
        </is>
      </c>
      <c r="J1844" t="inlineStr">
        <is>
          <t>D</t>
        </is>
      </c>
      <c r="K1844" t="inlineStr"/>
      <c r="L1844" t="inlineStr"/>
      <c r="M1844" s="30">
        <f>0.005454*F1844^2</f>
        <v/>
      </c>
      <c r="N1844" s="31">
        <f>IF(D1844="BAF20",20/M1844,100)</f>
        <v/>
      </c>
      <c r="O1844" s="31">
        <f>M1844*N1844</f>
        <v/>
      </c>
      <c r="P1844" s="32">
        <f>3065.3*N1844</f>
        <v/>
      </c>
    </row>
    <row r="1845">
      <c r="A1845" t="inlineStr">
        <is>
          <t>U7-01</t>
        </is>
      </c>
      <c r="B1845" t="n">
        <v>7</v>
      </c>
      <c r="C1845" t="n">
        <v>10</v>
      </c>
      <c r="D1845" t="inlineStr">
        <is>
          <t>BAF20</t>
        </is>
      </c>
      <c r="E1845" t="inlineStr">
        <is>
          <t>DF</t>
        </is>
      </c>
      <c r="F1845" t="n">
        <v>16</v>
      </c>
      <c r="G1845" t="n">
        <v>79</v>
      </c>
      <c r="H1845" t="n">
        <v>6</v>
      </c>
      <c r="I1845" t="inlineStr">
        <is>
          <t>L</t>
        </is>
      </c>
      <c r="J1845" t="inlineStr">
        <is>
          <t>S</t>
        </is>
      </c>
      <c r="K1845" t="inlineStr">
        <is>
          <t>Y</t>
        </is>
      </c>
      <c r="L1845" t="inlineStr"/>
      <c r="M1845" s="30">
        <f>0.005454*F1845^2</f>
        <v/>
      </c>
      <c r="N1845" s="31">
        <f>IF(D1845="BAF20",20/M1845,100)</f>
        <v/>
      </c>
      <c r="O1845" s="31">
        <f>M1845*N1845</f>
        <v/>
      </c>
      <c r="P1845" s="32">
        <f>170.1*N1845</f>
        <v/>
      </c>
    </row>
    <row r="1846">
      <c r="A1846" t="inlineStr">
        <is>
          <t>U7-01</t>
        </is>
      </c>
      <c r="B1846" t="n">
        <v>7</v>
      </c>
      <c r="C1846" t="n">
        <v>11</v>
      </c>
      <c r="D1846" t="inlineStr">
        <is>
          <t>BAF20</t>
        </is>
      </c>
      <c r="E1846" t="inlineStr">
        <is>
          <t>PP</t>
        </is>
      </c>
      <c r="F1846" t="n">
        <v>8.199999999999999</v>
      </c>
      <c r="G1846" t="n">
        <v>44</v>
      </c>
      <c r="H1846" t="n">
        <v>4</v>
      </c>
      <c r="I1846" t="inlineStr">
        <is>
          <t>L</t>
        </is>
      </c>
      <c r="J1846" t="inlineStr">
        <is>
          <t>S</t>
        </is>
      </c>
      <c r="K1846" t="inlineStr"/>
      <c r="L1846" t="inlineStr"/>
      <c r="M1846" s="30">
        <f>0.005454*F1846^2</f>
        <v/>
      </c>
      <c r="N1846" s="31">
        <f>IF(D1846="BAF20",20/M1846,100)</f>
        <v/>
      </c>
      <c r="O1846" s="31">
        <f>M1846*N1846</f>
        <v/>
      </c>
      <c r="P1846" s="32">
        <f>0.0*N1846</f>
        <v/>
      </c>
    </row>
    <row r="1847">
      <c r="A1847" t="inlineStr">
        <is>
          <t>U7-01</t>
        </is>
      </c>
      <c r="B1847" t="n">
        <v>7</v>
      </c>
      <c r="C1847" t="n">
        <v>12</v>
      </c>
      <c r="D1847" t="inlineStr">
        <is>
          <t>BAF20</t>
        </is>
      </c>
      <c r="E1847" t="inlineStr">
        <is>
          <t>WF</t>
        </is>
      </c>
      <c r="F1847" t="n">
        <v>36.7</v>
      </c>
      <c r="G1847" t="n">
        <v>124</v>
      </c>
      <c r="H1847" t="n">
        <v>1</v>
      </c>
      <c r="I1847" t="inlineStr">
        <is>
          <t>L</t>
        </is>
      </c>
      <c r="J1847" t="inlineStr">
        <is>
          <t>D</t>
        </is>
      </c>
      <c r="K1847" t="inlineStr"/>
      <c r="L1847" t="inlineStr"/>
      <c r="M1847" s="30">
        <f>0.005454*F1847^2</f>
        <v/>
      </c>
      <c r="N1847" s="31">
        <f>IF(D1847="BAF20",20/M1847,100)</f>
        <v/>
      </c>
      <c r="O1847" s="31">
        <f>M1847*N1847</f>
        <v/>
      </c>
      <c r="P1847" s="32">
        <f>2113.4*N1847</f>
        <v/>
      </c>
    </row>
    <row r="1848">
      <c r="A1848" t="inlineStr">
        <is>
          <t>U7-01</t>
        </is>
      </c>
      <c r="B1848" t="n">
        <v>7</v>
      </c>
      <c r="C1848" t="n">
        <v>13</v>
      </c>
      <c r="D1848" t="inlineStr">
        <is>
          <t>BAF20</t>
        </is>
      </c>
      <c r="E1848" t="inlineStr">
        <is>
          <t>DF</t>
        </is>
      </c>
      <c r="F1848" t="n">
        <v>18.2</v>
      </c>
      <c r="G1848" t="n">
        <v>84</v>
      </c>
      <c r="H1848" t="n">
        <v>4</v>
      </c>
      <c r="I1848" t="inlineStr">
        <is>
          <t>L</t>
        </is>
      </c>
      <c r="J1848" t="inlineStr">
        <is>
          <t>I</t>
        </is>
      </c>
      <c r="K1848" t="inlineStr"/>
      <c r="L1848" t="inlineStr"/>
      <c r="M1848" s="30">
        <f>0.005454*F1848^2</f>
        <v/>
      </c>
      <c r="N1848" s="31">
        <f>IF(D1848="BAF20",20/M1848,100)</f>
        <v/>
      </c>
      <c r="O1848" s="31">
        <f>M1848*N1848</f>
        <v/>
      </c>
      <c r="P1848" s="32">
        <f>249.9*N1848</f>
        <v/>
      </c>
    </row>
    <row r="1849">
      <c r="A1849" t="inlineStr">
        <is>
          <t>U7-01</t>
        </is>
      </c>
      <c r="B1849" t="n">
        <v>7</v>
      </c>
      <c r="C1849" t="n">
        <v>14</v>
      </c>
      <c r="D1849" t="inlineStr">
        <is>
          <t>BAF20</t>
        </is>
      </c>
      <c r="E1849" t="inlineStr">
        <is>
          <t>IC</t>
        </is>
      </c>
      <c r="F1849" t="n">
        <v>23.1</v>
      </c>
      <c r="G1849" t="n">
        <v>80</v>
      </c>
      <c r="H1849" t="n">
        <v>4</v>
      </c>
      <c r="I1849" t="inlineStr">
        <is>
          <t>L</t>
        </is>
      </c>
      <c r="J1849" t="inlineStr">
        <is>
          <t>I</t>
        </is>
      </c>
      <c r="K1849" t="inlineStr"/>
      <c r="L1849" t="inlineStr"/>
      <c r="M1849" s="30">
        <f>0.005454*F1849^2</f>
        <v/>
      </c>
      <c r="N1849" s="31">
        <f>IF(D1849="BAF20",20/M1849,100)</f>
        <v/>
      </c>
      <c r="O1849" s="31">
        <f>M1849*N1849</f>
        <v/>
      </c>
      <c r="P1849" s="32">
        <f>420.7*N1849</f>
        <v/>
      </c>
    </row>
    <row r="1850">
      <c r="A1850" t="inlineStr">
        <is>
          <t>U7-01</t>
        </is>
      </c>
      <c r="B1850" t="n">
        <v>7</v>
      </c>
      <c r="C1850" t="n">
        <v>15</v>
      </c>
      <c r="D1850" t="inlineStr">
        <is>
          <t>BAF20</t>
        </is>
      </c>
      <c r="E1850" t="inlineStr">
        <is>
          <t>DF</t>
        </is>
      </c>
      <c r="F1850" t="n">
        <v>30.3</v>
      </c>
      <c r="G1850" t="n">
        <v>118</v>
      </c>
      <c r="H1850" t="n">
        <v>5</v>
      </c>
      <c r="I1850" t="inlineStr">
        <is>
          <t>L</t>
        </is>
      </c>
      <c r="J1850" t="inlineStr">
        <is>
          <t>C</t>
        </is>
      </c>
      <c r="K1850" t="inlineStr"/>
      <c r="L1850" t="inlineStr"/>
      <c r="M1850" s="30">
        <f>0.005454*F1850^2</f>
        <v/>
      </c>
      <c r="N1850" s="31">
        <f>IF(D1850="BAF20",20/M1850,100)</f>
        <v/>
      </c>
      <c r="O1850" s="31">
        <f>M1850*N1850</f>
        <v/>
      </c>
      <c r="P1850" s="32">
        <f>1193.9*N1850</f>
        <v/>
      </c>
    </row>
    <row r="1851">
      <c r="A1851" t="inlineStr">
        <is>
          <t>U7-01</t>
        </is>
      </c>
      <c r="B1851" t="n">
        <v>7</v>
      </c>
      <c r="C1851" t="n">
        <v>16</v>
      </c>
      <c r="D1851" t="inlineStr">
        <is>
          <t>BAF20</t>
        </is>
      </c>
      <c r="E1851" t="inlineStr">
        <is>
          <t>WF</t>
        </is>
      </c>
      <c r="F1851" t="n">
        <v>18</v>
      </c>
      <c r="G1851" t="n">
        <v>94</v>
      </c>
      <c r="H1851" t="n">
        <v>6</v>
      </c>
      <c r="I1851" t="inlineStr">
        <is>
          <t>L</t>
        </is>
      </c>
      <c r="J1851" t="inlineStr">
        <is>
          <t>I</t>
        </is>
      </c>
      <c r="K1851" t="inlineStr">
        <is>
          <t>Y</t>
        </is>
      </c>
      <c r="L1851" t="inlineStr"/>
      <c r="M1851" s="30">
        <f>0.005454*F1851^2</f>
        <v/>
      </c>
      <c r="N1851" s="31">
        <f>IF(D1851="BAF20",20/M1851,100)</f>
        <v/>
      </c>
      <c r="O1851" s="31">
        <f>M1851*N1851</f>
        <v/>
      </c>
      <c r="P1851" s="32">
        <f>266.8*N1851</f>
        <v/>
      </c>
    </row>
    <row r="1852">
      <c r="A1852" t="inlineStr">
        <is>
          <t>U7-02</t>
        </is>
      </c>
      <c r="B1852" t="n">
        <v>7</v>
      </c>
      <c r="C1852" t="n">
        <v>1</v>
      </c>
      <c r="D1852" t="inlineStr">
        <is>
          <t>BAF20</t>
        </is>
      </c>
      <c r="E1852" t="inlineStr">
        <is>
          <t>PP</t>
        </is>
      </c>
      <c r="F1852" t="n">
        <v>16.7</v>
      </c>
      <c r="G1852" t="n">
        <v>66</v>
      </c>
      <c r="H1852" t="n">
        <v>1</v>
      </c>
      <c r="I1852" t="inlineStr">
        <is>
          <t>L</t>
        </is>
      </c>
      <c r="J1852" t="inlineStr">
        <is>
          <t>S</t>
        </is>
      </c>
      <c r="K1852" t="inlineStr"/>
      <c r="L1852" t="inlineStr"/>
      <c r="M1852" s="30">
        <f>0.005454*F1852^2</f>
        <v/>
      </c>
      <c r="N1852" s="31">
        <f>IF(D1852="BAF20",20/M1852,100)</f>
        <v/>
      </c>
      <c r="O1852" s="31">
        <f>M1852*N1852</f>
        <v/>
      </c>
      <c r="P1852" s="32">
        <f>165.4*N1852</f>
        <v/>
      </c>
    </row>
    <row r="1853">
      <c r="A1853" t="inlineStr">
        <is>
          <t>U7-02</t>
        </is>
      </c>
      <c r="B1853" t="n">
        <v>7</v>
      </c>
      <c r="C1853" t="n">
        <v>2</v>
      </c>
      <c r="D1853" t="inlineStr">
        <is>
          <t>BAF20</t>
        </is>
      </c>
      <c r="E1853" t="inlineStr">
        <is>
          <t>IC</t>
        </is>
      </c>
      <c r="F1853" t="n">
        <v>7.2</v>
      </c>
      <c r="G1853" t="n">
        <v>34</v>
      </c>
      <c r="H1853" t="n">
        <v>4</v>
      </c>
      <c r="I1853" t="inlineStr">
        <is>
          <t>L</t>
        </is>
      </c>
      <c r="J1853" t="inlineStr">
        <is>
          <t>S</t>
        </is>
      </c>
      <c r="K1853" t="inlineStr"/>
      <c r="L1853" t="inlineStr"/>
      <c r="M1853" s="30">
        <f>0.005454*F1853^2</f>
        <v/>
      </c>
      <c r="N1853" s="31">
        <f>IF(D1853="BAF20",20/M1853,100)</f>
        <v/>
      </c>
      <c r="O1853" s="31">
        <f>M1853*N1853</f>
        <v/>
      </c>
      <c r="P1853" s="32">
        <f>0.0*N1853</f>
        <v/>
      </c>
    </row>
    <row r="1854">
      <c r="A1854" t="inlineStr">
        <is>
          <t>U7-02</t>
        </is>
      </c>
      <c r="B1854" t="n">
        <v>7</v>
      </c>
      <c r="C1854" t="n">
        <v>3</v>
      </c>
      <c r="D1854" t="inlineStr">
        <is>
          <t>BAF20</t>
        </is>
      </c>
      <c r="E1854" t="inlineStr">
        <is>
          <t>WF</t>
        </is>
      </c>
      <c r="F1854" t="n">
        <v>13.4</v>
      </c>
      <c r="G1854" t="n">
        <v>67</v>
      </c>
      <c r="H1854" t="n">
        <v>0</v>
      </c>
      <c r="I1854" t="inlineStr">
        <is>
          <t>L</t>
        </is>
      </c>
      <c r="J1854" t="inlineStr">
        <is>
          <t>S</t>
        </is>
      </c>
      <c r="K1854" t="inlineStr"/>
      <c r="L1854" t="inlineStr"/>
      <c r="M1854" s="30">
        <f>0.005454*F1854^2</f>
        <v/>
      </c>
      <c r="N1854" s="31">
        <f>IF(D1854="BAF20",20/M1854,100)</f>
        <v/>
      </c>
      <c r="O1854" s="31">
        <f>M1854*N1854</f>
        <v/>
      </c>
      <c r="P1854" s="32">
        <f>101.8*N1854</f>
        <v/>
      </c>
    </row>
    <row r="1855">
      <c r="A1855" t="inlineStr">
        <is>
          <t>U7-03</t>
        </is>
      </c>
      <c r="B1855" t="n">
        <v>7</v>
      </c>
      <c r="C1855" t="n">
        <v>1</v>
      </c>
      <c r="D1855" t="inlineStr">
        <is>
          <t>BAF20</t>
        </is>
      </c>
      <c r="E1855" t="inlineStr">
        <is>
          <t>WF</t>
        </is>
      </c>
      <c r="F1855" t="n">
        <v>5</v>
      </c>
      <c r="G1855" t="n">
        <v>26</v>
      </c>
      <c r="H1855" t="n">
        <v>100</v>
      </c>
      <c r="I1855" t="inlineStr">
        <is>
          <t>D</t>
        </is>
      </c>
      <c r="J1855" t="inlineStr">
        <is>
          <t>S</t>
        </is>
      </c>
      <c r="K1855" t="inlineStr"/>
      <c r="L1855" t="inlineStr"/>
      <c r="M1855" s="30">
        <f>0.005454*F1855^2</f>
        <v/>
      </c>
      <c r="N1855" s="31">
        <f>IF(D1855="BAF20",20/M1855,100)</f>
        <v/>
      </c>
      <c r="O1855" s="31">
        <f>M1855*N1855</f>
        <v/>
      </c>
      <c r="P1855" s="32">
        <f>0.0*N1855</f>
        <v/>
      </c>
    </row>
    <row r="1856">
      <c r="A1856" t="inlineStr">
        <is>
          <t>U7-03</t>
        </is>
      </c>
      <c r="B1856" t="n">
        <v>7</v>
      </c>
      <c r="C1856" t="n">
        <v>2</v>
      </c>
      <c r="D1856" t="inlineStr">
        <is>
          <t>BAF20</t>
        </is>
      </c>
      <c r="E1856" t="inlineStr">
        <is>
          <t>SP</t>
        </is>
      </c>
      <c r="F1856" t="n">
        <v>30.5</v>
      </c>
      <c r="G1856" t="n">
        <v>125</v>
      </c>
      <c r="H1856" t="n">
        <v>1</v>
      </c>
      <c r="I1856" t="inlineStr">
        <is>
          <t>L</t>
        </is>
      </c>
      <c r="J1856" t="inlineStr">
        <is>
          <t>C</t>
        </is>
      </c>
      <c r="K1856" t="inlineStr"/>
      <c r="L1856" t="inlineStr"/>
      <c r="M1856" s="30">
        <f>0.005454*F1856^2</f>
        <v/>
      </c>
      <c r="N1856" s="31">
        <f>IF(D1856="BAF20",20/M1856,100)</f>
        <v/>
      </c>
      <c r="O1856" s="31">
        <f>M1856*N1856</f>
        <v/>
      </c>
      <c r="P1856" s="32">
        <f>1339.7*N1856</f>
        <v/>
      </c>
    </row>
    <row r="1857">
      <c r="A1857" t="inlineStr">
        <is>
          <t>U7-03</t>
        </is>
      </c>
      <c r="B1857" t="n">
        <v>7</v>
      </c>
      <c r="C1857" t="n">
        <v>3</v>
      </c>
      <c r="D1857" t="inlineStr">
        <is>
          <t>BAF20</t>
        </is>
      </c>
      <c r="E1857" t="inlineStr">
        <is>
          <t>WF</t>
        </is>
      </c>
      <c r="F1857" t="n">
        <v>41.9</v>
      </c>
      <c r="G1857" t="n">
        <v>132</v>
      </c>
      <c r="H1857" t="n">
        <v>8</v>
      </c>
      <c r="I1857" t="inlineStr">
        <is>
          <t>L</t>
        </is>
      </c>
      <c r="J1857" t="inlineStr">
        <is>
          <t>D</t>
        </is>
      </c>
      <c r="K1857" t="inlineStr">
        <is>
          <t>Y</t>
        </is>
      </c>
      <c r="L1857" t="inlineStr"/>
      <c r="M1857" s="30">
        <f>0.005454*F1857^2</f>
        <v/>
      </c>
      <c r="N1857" s="31">
        <f>IF(D1857="BAF20",20/M1857,100)</f>
        <v/>
      </c>
      <c r="O1857" s="31">
        <f>M1857*N1857</f>
        <v/>
      </c>
      <c r="P1857" s="32">
        <f>2725.1*N1857</f>
        <v/>
      </c>
    </row>
    <row r="1858">
      <c r="A1858" t="inlineStr">
        <is>
          <t>U7-03</t>
        </is>
      </c>
      <c r="B1858" t="n">
        <v>7</v>
      </c>
      <c r="C1858" t="n">
        <v>4</v>
      </c>
      <c r="D1858" t="inlineStr">
        <is>
          <t>BAF20</t>
        </is>
      </c>
      <c r="E1858" t="inlineStr">
        <is>
          <t>WF</t>
        </is>
      </c>
      <c r="F1858" t="n">
        <v>9.5</v>
      </c>
      <c r="G1858" t="n">
        <v>50</v>
      </c>
      <c r="H1858" t="n">
        <v>3</v>
      </c>
      <c r="I1858" t="inlineStr">
        <is>
          <t>L</t>
        </is>
      </c>
      <c r="J1858" t="inlineStr">
        <is>
          <t>S</t>
        </is>
      </c>
      <c r="K1858" t="inlineStr"/>
      <c r="L1858" t="inlineStr"/>
      <c r="M1858" s="30">
        <f>0.005454*F1858^2</f>
        <v/>
      </c>
      <c r="N1858" s="31">
        <f>IF(D1858="BAF20",20/M1858,100)</f>
        <v/>
      </c>
      <c r="O1858" s="31">
        <f>M1858*N1858</f>
        <v/>
      </c>
      <c r="P1858" s="32">
        <f>0.0*N1858</f>
        <v/>
      </c>
    </row>
    <row r="1859">
      <c r="A1859" t="inlineStr">
        <is>
          <t>U7-03</t>
        </is>
      </c>
      <c r="B1859" t="n">
        <v>7</v>
      </c>
      <c r="C1859" t="n">
        <v>5</v>
      </c>
      <c r="D1859" t="inlineStr">
        <is>
          <t>BAF20</t>
        </is>
      </c>
      <c r="E1859" t="inlineStr">
        <is>
          <t>WF</t>
        </is>
      </c>
      <c r="F1859" t="n">
        <v>29.8</v>
      </c>
      <c r="G1859" t="n">
        <v>120</v>
      </c>
      <c r="H1859" t="n">
        <v>12</v>
      </c>
      <c r="I1859" t="inlineStr">
        <is>
          <t>L</t>
        </is>
      </c>
      <c r="J1859" t="inlineStr">
        <is>
          <t>C</t>
        </is>
      </c>
      <c r="K1859" t="inlineStr"/>
      <c r="L1859" t="inlineStr"/>
      <c r="M1859" s="30">
        <f>0.005454*F1859^2</f>
        <v/>
      </c>
      <c r="N1859" s="31">
        <f>IF(D1859="BAF20",20/M1859,100)</f>
        <v/>
      </c>
      <c r="O1859" s="31">
        <f>M1859*N1859</f>
        <v/>
      </c>
      <c r="P1859" s="32">
        <f>1079.2*N1859</f>
        <v/>
      </c>
    </row>
    <row r="1860">
      <c r="A1860" t="inlineStr">
        <is>
          <t>U7-03</t>
        </is>
      </c>
      <c r="B1860" t="n">
        <v>7</v>
      </c>
      <c r="C1860" t="n">
        <v>6</v>
      </c>
      <c r="D1860" t="inlineStr">
        <is>
          <t>BAF20</t>
        </is>
      </c>
      <c r="E1860" t="inlineStr">
        <is>
          <t>BO</t>
        </is>
      </c>
      <c r="F1860" t="n">
        <v>14.4</v>
      </c>
      <c r="G1860" t="n">
        <v>43</v>
      </c>
      <c r="H1860" t="n">
        <v>17</v>
      </c>
      <c r="I1860" t="inlineStr">
        <is>
          <t>L</t>
        </is>
      </c>
      <c r="J1860" t="inlineStr">
        <is>
          <t>S</t>
        </is>
      </c>
      <c r="K1860" t="inlineStr"/>
      <c r="L1860" t="inlineStr"/>
      <c r="M1860" s="30">
        <f>0.005454*F1860^2</f>
        <v/>
      </c>
      <c r="N1860" s="31">
        <f>IF(D1860="BAF20",20/M1860,100)</f>
        <v/>
      </c>
      <c r="O1860" s="31">
        <f>M1860*N1860</f>
        <v/>
      </c>
      <c r="P1860" s="32">
        <f>57.9*N1860</f>
        <v/>
      </c>
    </row>
    <row r="1861">
      <c r="A1861" t="inlineStr">
        <is>
          <t>U7-03</t>
        </is>
      </c>
      <c r="B1861" t="n">
        <v>7</v>
      </c>
      <c r="C1861" t="n">
        <v>7</v>
      </c>
      <c r="D1861" t="inlineStr">
        <is>
          <t>BAF20</t>
        </is>
      </c>
      <c r="E1861" t="inlineStr">
        <is>
          <t>IC</t>
        </is>
      </c>
      <c r="F1861" t="n">
        <v>12.9</v>
      </c>
      <c r="G1861" t="n">
        <v>51</v>
      </c>
      <c r="H1861" t="n">
        <v>7</v>
      </c>
      <c r="I1861" t="inlineStr">
        <is>
          <t>L</t>
        </is>
      </c>
      <c r="J1861" t="inlineStr">
        <is>
          <t>S</t>
        </is>
      </c>
      <c r="K1861" t="inlineStr">
        <is>
          <t>Y</t>
        </is>
      </c>
      <c r="L1861" t="inlineStr"/>
      <c r="M1861" s="30">
        <f>0.005454*F1861^2</f>
        <v/>
      </c>
      <c r="N1861" s="31">
        <f>IF(D1861="BAF20",20/M1861,100)</f>
        <v/>
      </c>
      <c r="O1861" s="31">
        <f>M1861*N1861</f>
        <v/>
      </c>
      <c r="P1861" s="32">
        <f>66.1*N1861</f>
        <v/>
      </c>
    </row>
    <row r="1862">
      <c r="A1862" t="inlineStr">
        <is>
          <t>U7-03</t>
        </is>
      </c>
      <c r="B1862" t="n">
        <v>7</v>
      </c>
      <c r="C1862" t="n">
        <v>8</v>
      </c>
      <c r="D1862" t="inlineStr">
        <is>
          <t>BAF20</t>
        </is>
      </c>
      <c r="E1862" t="inlineStr">
        <is>
          <t>DF</t>
        </is>
      </c>
      <c r="F1862" t="n">
        <v>5</v>
      </c>
      <c r="G1862" t="n">
        <v>28</v>
      </c>
      <c r="H1862" t="n">
        <v>17</v>
      </c>
      <c r="I1862" t="inlineStr">
        <is>
          <t>L</t>
        </is>
      </c>
      <c r="J1862" t="inlineStr">
        <is>
          <t>S</t>
        </is>
      </c>
      <c r="K1862" t="inlineStr"/>
      <c r="L1862" t="inlineStr"/>
      <c r="M1862" s="30">
        <f>0.005454*F1862^2</f>
        <v/>
      </c>
      <c r="N1862" s="31">
        <f>IF(D1862="BAF20",20/M1862,100)</f>
        <v/>
      </c>
      <c r="O1862" s="31">
        <f>M1862*N1862</f>
        <v/>
      </c>
      <c r="P1862" s="32">
        <f>0.0*N1862</f>
        <v/>
      </c>
    </row>
    <row r="1863">
      <c r="A1863" t="inlineStr">
        <is>
          <t>U7-03</t>
        </is>
      </c>
      <c r="B1863" t="n">
        <v>7</v>
      </c>
      <c r="C1863" t="n">
        <v>9</v>
      </c>
      <c r="D1863" t="inlineStr">
        <is>
          <t>BAF20</t>
        </is>
      </c>
      <c r="E1863" t="inlineStr">
        <is>
          <t>DF</t>
        </is>
      </c>
      <c r="F1863" t="n">
        <v>27</v>
      </c>
      <c r="G1863" t="n">
        <v>115</v>
      </c>
      <c r="H1863" t="n">
        <v>1</v>
      </c>
      <c r="I1863" t="inlineStr">
        <is>
          <t>L</t>
        </is>
      </c>
      <c r="J1863" t="inlineStr">
        <is>
          <t>C</t>
        </is>
      </c>
      <c r="K1863" t="inlineStr"/>
      <c r="L1863" t="inlineStr"/>
      <c r="M1863" s="30">
        <f>0.005454*F1863^2</f>
        <v/>
      </c>
      <c r="N1863" s="31">
        <f>IF(D1863="BAF20",20/M1863,100)</f>
        <v/>
      </c>
      <c r="O1863" s="31">
        <f>M1863*N1863</f>
        <v/>
      </c>
      <c r="P1863" s="32">
        <f>912.0*N1863</f>
        <v/>
      </c>
    </row>
    <row r="1864">
      <c r="A1864" t="inlineStr">
        <is>
          <t>U7-03</t>
        </is>
      </c>
      <c r="B1864" t="n">
        <v>7</v>
      </c>
      <c r="C1864" t="n">
        <v>10</v>
      </c>
      <c r="D1864" t="inlineStr">
        <is>
          <t>BAF20</t>
        </is>
      </c>
      <c r="E1864" t="inlineStr">
        <is>
          <t>DF</t>
        </is>
      </c>
      <c r="F1864" t="n">
        <v>24.2</v>
      </c>
      <c r="G1864" t="n">
        <v>103</v>
      </c>
      <c r="H1864" t="n">
        <v>4</v>
      </c>
      <c r="I1864" t="inlineStr">
        <is>
          <t>L</t>
        </is>
      </c>
      <c r="J1864" t="inlineStr">
        <is>
          <t>I</t>
        </is>
      </c>
      <c r="K1864" t="inlineStr"/>
      <c r="L1864" t="inlineStr"/>
      <c r="M1864" s="30">
        <f>0.005454*F1864^2</f>
        <v/>
      </c>
      <c r="N1864" s="31">
        <f>IF(D1864="BAF20",20/M1864,100)</f>
        <v/>
      </c>
      <c r="O1864" s="31">
        <f>M1864*N1864</f>
        <v/>
      </c>
      <c r="P1864" s="32">
        <f>606.2*N1864</f>
        <v/>
      </c>
    </row>
    <row r="1865">
      <c r="A1865" t="inlineStr">
        <is>
          <t>U7-03</t>
        </is>
      </c>
      <c r="B1865" t="n">
        <v>7</v>
      </c>
      <c r="C1865" t="n">
        <v>11</v>
      </c>
      <c r="D1865" t="inlineStr">
        <is>
          <t>BAF20</t>
        </is>
      </c>
      <c r="E1865" t="inlineStr">
        <is>
          <t>DF</t>
        </is>
      </c>
      <c r="F1865" t="n">
        <v>11.5</v>
      </c>
      <c r="G1865" t="n">
        <v>62</v>
      </c>
      <c r="H1865" t="n">
        <v>1</v>
      </c>
      <c r="I1865" t="inlineStr">
        <is>
          <t>L</t>
        </is>
      </c>
      <c r="J1865" t="inlineStr">
        <is>
          <t>S</t>
        </is>
      </c>
      <c r="K1865" t="inlineStr"/>
      <c r="L1865" t="inlineStr"/>
      <c r="M1865" s="30">
        <f>0.005454*F1865^2</f>
        <v/>
      </c>
      <c r="N1865" s="31">
        <f>IF(D1865="BAF20",20/M1865,100)</f>
        <v/>
      </c>
      <c r="O1865" s="31">
        <f>M1865*N1865</f>
        <v/>
      </c>
      <c r="P1865" s="32">
        <f>65.9*N1865</f>
        <v/>
      </c>
    </row>
    <row r="1866">
      <c r="A1866" t="inlineStr">
        <is>
          <t>U7-03</t>
        </is>
      </c>
      <c r="B1866" t="n">
        <v>7</v>
      </c>
      <c r="C1866" t="n">
        <v>12</v>
      </c>
      <c r="D1866" t="inlineStr">
        <is>
          <t>BAF20</t>
        </is>
      </c>
      <c r="E1866" t="inlineStr">
        <is>
          <t>WF</t>
        </is>
      </c>
      <c r="F1866" t="n">
        <v>39.7</v>
      </c>
      <c r="G1866" t="n">
        <v>130</v>
      </c>
      <c r="H1866" t="n">
        <v>6</v>
      </c>
      <c r="I1866" t="inlineStr">
        <is>
          <t>L</t>
        </is>
      </c>
      <c r="J1866" t="inlineStr">
        <is>
          <t>D</t>
        </is>
      </c>
      <c r="K1866" t="inlineStr"/>
      <c r="L1866" t="inlineStr"/>
      <c r="M1866" s="30">
        <f>0.005454*F1866^2</f>
        <v/>
      </c>
      <c r="N1866" s="31">
        <f>IF(D1866="BAF20",20/M1866,100)</f>
        <v/>
      </c>
      <c r="O1866" s="31">
        <f>M1866*N1866</f>
        <v/>
      </c>
      <c r="P1866" s="32">
        <f>2461.8*N1866</f>
        <v/>
      </c>
    </row>
    <row r="1867">
      <c r="A1867" t="inlineStr">
        <is>
          <t>U7-03</t>
        </is>
      </c>
      <c r="B1867" t="n">
        <v>7</v>
      </c>
      <c r="C1867" t="n">
        <v>13</v>
      </c>
      <c r="D1867" t="inlineStr">
        <is>
          <t>BAF20</t>
        </is>
      </c>
      <c r="E1867" t="inlineStr">
        <is>
          <t>IC</t>
        </is>
      </c>
      <c r="F1867" t="n">
        <v>16.2</v>
      </c>
      <c r="G1867" t="n">
        <v>63</v>
      </c>
      <c r="H1867" t="n">
        <v>10</v>
      </c>
      <c r="I1867" t="inlineStr">
        <is>
          <t>L</t>
        </is>
      </c>
      <c r="J1867" t="inlineStr">
        <is>
          <t>S</t>
        </is>
      </c>
      <c r="K1867" t="inlineStr">
        <is>
          <t>Y</t>
        </is>
      </c>
      <c r="L1867" t="inlineStr"/>
      <c r="M1867" s="30">
        <f>0.005454*F1867^2</f>
        <v/>
      </c>
      <c r="N1867" s="31">
        <f>IF(D1867="BAF20",20/M1867,100)</f>
        <v/>
      </c>
      <c r="O1867" s="31">
        <f>M1867*N1867</f>
        <v/>
      </c>
      <c r="P1867" s="32">
        <f>133.7*N1867</f>
        <v/>
      </c>
    </row>
    <row r="1868">
      <c r="A1868" t="inlineStr">
        <is>
          <t>U7-03</t>
        </is>
      </c>
      <c r="B1868" t="n">
        <v>7</v>
      </c>
      <c r="C1868" t="n">
        <v>14</v>
      </c>
      <c r="D1868" t="inlineStr">
        <is>
          <t>BAF20</t>
        </is>
      </c>
      <c r="E1868" t="inlineStr">
        <is>
          <t>DF</t>
        </is>
      </c>
      <c r="F1868" t="n">
        <v>13.5</v>
      </c>
      <c r="G1868" t="n">
        <v>74</v>
      </c>
      <c r="H1868" t="n">
        <v>8</v>
      </c>
      <c r="I1868" t="inlineStr">
        <is>
          <t>L</t>
        </is>
      </c>
      <c r="J1868" t="inlineStr">
        <is>
          <t>S</t>
        </is>
      </c>
      <c r="K1868" t="inlineStr"/>
      <c r="L1868" t="inlineStr"/>
      <c r="M1868" s="30">
        <f>0.005454*F1868^2</f>
        <v/>
      </c>
      <c r="N1868" s="31">
        <f>IF(D1868="BAF20",20/M1868,100)</f>
        <v/>
      </c>
      <c r="O1868" s="31">
        <f>M1868*N1868</f>
        <v/>
      </c>
      <c r="P1868" s="32">
        <f>105.3*N1868</f>
        <v/>
      </c>
    </row>
    <row r="1869">
      <c r="A1869" t="inlineStr">
        <is>
          <t>U7-03</t>
        </is>
      </c>
      <c r="B1869" t="n">
        <v>7</v>
      </c>
      <c r="C1869" t="n">
        <v>15</v>
      </c>
      <c r="D1869" t="inlineStr">
        <is>
          <t>BAF20</t>
        </is>
      </c>
      <c r="E1869" t="inlineStr">
        <is>
          <t>WF</t>
        </is>
      </c>
      <c r="F1869" t="n">
        <v>18.4</v>
      </c>
      <c r="G1869" t="n">
        <v>92</v>
      </c>
      <c r="H1869" t="n">
        <v>16</v>
      </c>
      <c r="I1869" t="inlineStr">
        <is>
          <t>L</t>
        </is>
      </c>
      <c r="J1869" t="inlineStr">
        <is>
          <t>I</t>
        </is>
      </c>
      <c r="K1869" t="inlineStr"/>
      <c r="L1869" t="inlineStr"/>
      <c r="M1869" s="30">
        <f>0.005454*F1869^2</f>
        <v/>
      </c>
      <c r="N1869" s="31">
        <f>IF(D1869="BAF20",20/M1869,100)</f>
        <v/>
      </c>
      <c r="O1869" s="31">
        <f>M1869*N1869</f>
        <v/>
      </c>
      <c r="P1869" s="32">
        <f>245.7*N1869</f>
        <v/>
      </c>
    </row>
    <row r="1870">
      <c r="A1870" t="inlineStr">
        <is>
          <t>U7-03</t>
        </is>
      </c>
      <c r="B1870" t="n">
        <v>7</v>
      </c>
      <c r="C1870" t="n">
        <v>16</v>
      </c>
      <c r="D1870" t="inlineStr">
        <is>
          <t>FIX100</t>
        </is>
      </c>
      <c r="E1870" t="inlineStr">
        <is>
          <t>PP</t>
        </is>
      </c>
      <c r="F1870" t="n">
        <v>3.2</v>
      </c>
      <c r="G1870" t="n">
        <v>16</v>
      </c>
      <c r="H1870" t="n">
        <v>0</v>
      </c>
      <c r="I1870" t="inlineStr">
        <is>
          <t>L</t>
        </is>
      </c>
      <c r="J1870" t="inlineStr">
        <is>
          <t>S</t>
        </is>
      </c>
      <c r="K1870" t="inlineStr"/>
      <c r="L1870" t="inlineStr"/>
      <c r="M1870" s="30">
        <f>0.005454*F1870^2</f>
        <v/>
      </c>
      <c r="N1870" s="31">
        <f>IF(D1870="BAF20",20/M1870,100)</f>
        <v/>
      </c>
      <c r="O1870" s="31">
        <f>M1870*N1870</f>
        <v/>
      </c>
      <c r="P1870" s="32">
        <f>0.0*N1870</f>
        <v/>
      </c>
    </row>
    <row r="1871">
      <c r="A1871" t="inlineStr">
        <is>
          <t>U7-03</t>
        </is>
      </c>
      <c r="B1871" t="n">
        <v>7</v>
      </c>
      <c r="C1871" t="n">
        <v>17</v>
      </c>
      <c r="D1871" t="inlineStr">
        <is>
          <t>FIX100</t>
        </is>
      </c>
      <c r="E1871" t="inlineStr">
        <is>
          <t>SP</t>
        </is>
      </c>
      <c r="F1871" t="n">
        <v>3.5</v>
      </c>
      <c r="G1871" t="n">
        <v>21</v>
      </c>
      <c r="H1871" t="n">
        <v>0</v>
      </c>
      <c r="I1871" t="inlineStr">
        <is>
          <t>L</t>
        </is>
      </c>
      <c r="J1871" t="inlineStr">
        <is>
          <t>S</t>
        </is>
      </c>
      <c r="K1871" t="inlineStr"/>
      <c r="L1871" t="inlineStr"/>
      <c r="M1871" s="30">
        <f>0.005454*F1871^2</f>
        <v/>
      </c>
      <c r="N1871" s="31">
        <f>IF(D1871="BAF20",20/M1871,100)</f>
        <v/>
      </c>
      <c r="O1871" s="31">
        <f>M1871*N1871</f>
        <v/>
      </c>
      <c r="P1871" s="32">
        <f>0.0*N1871</f>
        <v/>
      </c>
    </row>
    <row r="1872">
      <c r="A1872" t="inlineStr">
        <is>
          <t>U7-04</t>
        </is>
      </c>
      <c r="B1872" t="n">
        <v>7</v>
      </c>
      <c r="C1872" t="n">
        <v>1</v>
      </c>
      <c r="D1872" t="inlineStr">
        <is>
          <t>BAF20</t>
        </is>
      </c>
      <c r="E1872" t="inlineStr">
        <is>
          <t>WF</t>
        </is>
      </c>
      <c r="F1872" t="n">
        <v>18.9</v>
      </c>
      <c r="G1872" t="n">
        <v>78</v>
      </c>
      <c r="H1872" t="n">
        <v>7</v>
      </c>
      <c r="I1872" t="inlineStr">
        <is>
          <t>L</t>
        </is>
      </c>
      <c r="J1872" t="inlineStr">
        <is>
          <t>I</t>
        </is>
      </c>
      <c r="K1872" t="inlineStr"/>
      <c r="L1872" t="inlineStr"/>
      <c r="M1872" s="30">
        <f>0.005454*F1872^2</f>
        <v/>
      </c>
      <c r="N1872" s="31">
        <f>IF(D1872="BAF20",20/M1872,100)</f>
        <v/>
      </c>
      <c r="O1872" s="31">
        <f>M1872*N1872</f>
        <v/>
      </c>
      <c r="P1872" s="32">
        <f>245.8*N1872</f>
        <v/>
      </c>
    </row>
    <row r="1873">
      <c r="A1873" t="inlineStr">
        <is>
          <t>U7-04</t>
        </is>
      </c>
      <c r="B1873" t="n">
        <v>7</v>
      </c>
      <c r="C1873" t="n">
        <v>2</v>
      </c>
      <c r="D1873" t="inlineStr">
        <is>
          <t>BAF20</t>
        </is>
      </c>
      <c r="E1873" t="inlineStr">
        <is>
          <t>PP</t>
        </is>
      </c>
      <c r="F1873" t="n">
        <v>20.4</v>
      </c>
      <c r="G1873" t="n">
        <v>79</v>
      </c>
      <c r="H1873" t="n">
        <v>1</v>
      </c>
      <c r="I1873" t="inlineStr">
        <is>
          <t>L</t>
        </is>
      </c>
      <c r="J1873" t="inlineStr">
        <is>
          <t>I</t>
        </is>
      </c>
      <c r="K1873" t="inlineStr">
        <is>
          <t>Y</t>
        </is>
      </c>
      <c r="L1873" t="inlineStr"/>
      <c r="M1873" s="30">
        <f>0.005454*F1873^2</f>
        <v/>
      </c>
      <c r="N1873" s="31">
        <f>IF(D1873="BAF20",20/M1873,100)</f>
        <v/>
      </c>
      <c r="O1873" s="31">
        <f>M1873*N1873</f>
        <v/>
      </c>
      <c r="P1873" s="32">
        <f>317.8*N1873</f>
        <v/>
      </c>
    </row>
    <row r="1874">
      <c r="A1874" t="inlineStr">
        <is>
          <t>U7-04</t>
        </is>
      </c>
      <c r="B1874" t="n">
        <v>7</v>
      </c>
      <c r="C1874" t="n">
        <v>3</v>
      </c>
      <c r="D1874" t="inlineStr">
        <is>
          <t>BAF20</t>
        </is>
      </c>
      <c r="E1874" t="inlineStr">
        <is>
          <t>DF</t>
        </is>
      </c>
      <c r="F1874" t="n">
        <v>44.9</v>
      </c>
      <c r="G1874" t="n">
        <v>128</v>
      </c>
      <c r="H1874" t="n">
        <v>100</v>
      </c>
      <c r="I1874" t="inlineStr">
        <is>
          <t>D</t>
        </is>
      </c>
      <c r="J1874" t="inlineStr">
        <is>
          <t>D</t>
        </is>
      </c>
      <c r="K1874" t="inlineStr"/>
      <c r="L1874" t="inlineStr"/>
      <c r="M1874" s="30">
        <f>0.005454*F1874^2</f>
        <v/>
      </c>
      <c r="N1874" s="31">
        <f>IF(D1874="BAF20",20/M1874,100)</f>
        <v/>
      </c>
      <c r="O1874" s="31">
        <f>M1874*N1874</f>
        <v/>
      </c>
      <c r="P1874" s="32">
        <f>0.0*N1874</f>
        <v/>
      </c>
    </row>
    <row r="1875">
      <c r="A1875" t="inlineStr">
        <is>
          <t>U7-04</t>
        </is>
      </c>
      <c r="B1875" t="n">
        <v>7</v>
      </c>
      <c r="C1875" t="n">
        <v>4</v>
      </c>
      <c r="D1875" t="inlineStr">
        <is>
          <t>BAF20</t>
        </is>
      </c>
      <c r="E1875" t="inlineStr">
        <is>
          <t>SP</t>
        </is>
      </c>
      <c r="F1875" t="n">
        <v>30.4</v>
      </c>
      <c r="G1875" t="n">
        <v>128</v>
      </c>
      <c r="H1875" t="n">
        <v>100</v>
      </c>
      <c r="I1875" t="inlineStr">
        <is>
          <t>D</t>
        </is>
      </c>
      <c r="J1875" t="inlineStr">
        <is>
          <t>C</t>
        </is>
      </c>
      <c r="K1875" t="inlineStr"/>
      <c r="L1875" t="inlineStr"/>
      <c r="M1875" s="30">
        <f>0.005454*F1875^2</f>
        <v/>
      </c>
      <c r="N1875" s="31">
        <f>IF(D1875="BAF20",20/M1875,100)</f>
        <v/>
      </c>
      <c r="O1875" s="31">
        <f>M1875*N1875</f>
        <v/>
      </c>
      <c r="P1875" s="32">
        <f>0.0*N1875</f>
        <v/>
      </c>
    </row>
    <row r="1876">
      <c r="A1876" t="inlineStr">
        <is>
          <t>U7-04</t>
        </is>
      </c>
      <c r="B1876" t="n">
        <v>7</v>
      </c>
      <c r="C1876" t="n">
        <v>5</v>
      </c>
      <c r="D1876" t="inlineStr">
        <is>
          <t>BAF20</t>
        </is>
      </c>
      <c r="E1876" t="inlineStr">
        <is>
          <t>DF</t>
        </is>
      </c>
      <c r="F1876" t="n">
        <v>16.8</v>
      </c>
      <c r="G1876" t="n">
        <v>81</v>
      </c>
      <c r="H1876" t="n">
        <v>5</v>
      </c>
      <c r="I1876" t="inlineStr">
        <is>
          <t>L</t>
        </is>
      </c>
      <c r="J1876" t="inlineStr">
        <is>
          <t>S</t>
        </is>
      </c>
      <c r="K1876" t="inlineStr">
        <is>
          <t>Y</t>
        </is>
      </c>
      <c r="L1876" t="inlineStr"/>
      <c r="M1876" s="30">
        <f>0.005454*F1876^2</f>
        <v/>
      </c>
      <c r="N1876" s="31">
        <f>IF(D1876="BAF20",20/M1876,100)</f>
        <v/>
      </c>
      <c r="O1876" s="31">
        <f>M1876*N1876</f>
        <v/>
      </c>
      <c r="P1876" s="32">
        <f>197.5*N1876</f>
        <v/>
      </c>
    </row>
    <row r="1877">
      <c r="A1877" t="inlineStr">
        <is>
          <t>U7-04</t>
        </is>
      </c>
      <c r="B1877" t="n">
        <v>7</v>
      </c>
      <c r="C1877" t="n">
        <v>6</v>
      </c>
      <c r="D1877" t="inlineStr">
        <is>
          <t>BAF20</t>
        </is>
      </c>
      <c r="E1877" t="inlineStr">
        <is>
          <t>WF</t>
        </is>
      </c>
      <c r="F1877" t="n">
        <v>15.9</v>
      </c>
      <c r="G1877" t="n">
        <v>77</v>
      </c>
      <c r="H1877" t="n">
        <v>9</v>
      </c>
      <c r="I1877" t="inlineStr">
        <is>
          <t>L</t>
        </is>
      </c>
      <c r="J1877" t="inlineStr">
        <is>
          <t>S</t>
        </is>
      </c>
      <c r="K1877" t="inlineStr"/>
      <c r="L1877" t="inlineStr"/>
      <c r="M1877" s="30">
        <f>0.005454*F1877^2</f>
        <v/>
      </c>
      <c r="N1877" s="31">
        <f>IF(D1877="BAF20",20/M1877,100)</f>
        <v/>
      </c>
      <c r="O1877" s="31">
        <f>M1877*N1877</f>
        <v/>
      </c>
      <c r="P1877" s="32">
        <f>158.2*N1877</f>
        <v/>
      </c>
    </row>
    <row r="1878">
      <c r="A1878" t="inlineStr">
        <is>
          <t>U7-04</t>
        </is>
      </c>
      <c r="B1878" t="n">
        <v>7</v>
      </c>
      <c r="C1878" t="n">
        <v>7</v>
      </c>
      <c r="D1878" t="inlineStr">
        <is>
          <t>BAF20</t>
        </is>
      </c>
      <c r="E1878" t="inlineStr">
        <is>
          <t>WF</t>
        </is>
      </c>
      <c r="F1878" t="n">
        <v>6.1</v>
      </c>
      <c r="G1878" t="n">
        <v>35</v>
      </c>
      <c r="H1878" t="n">
        <v>5</v>
      </c>
      <c r="I1878" t="inlineStr">
        <is>
          <t>L</t>
        </is>
      </c>
      <c r="J1878" t="inlineStr">
        <is>
          <t>S</t>
        </is>
      </c>
      <c r="K1878" t="inlineStr"/>
      <c r="L1878" t="inlineStr"/>
      <c r="M1878" s="30">
        <f>0.005454*F1878^2</f>
        <v/>
      </c>
      <c r="N1878" s="31">
        <f>IF(D1878="BAF20",20/M1878,100)</f>
        <v/>
      </c>
      <c r="O1878" s="31">
        <f>M1878*N1878</f>
        <v/>
      </c>
      <c r="P1878" s="32">
        <f>0.0*N1878</f>
        <v/>
      </c>
    </row>
    <row r="1879">
      <c r="A1879" t="inlineStr">
        <is>
          <t>U7-04</t>
        </is>
      </c>
      <c r="B1879" t="n">
        <v>7</v>
      </c>
      <c r="C1879" t="n">
        <v>8</v>
      </c>
      <c r="D1879" t="inlineStr">
        <is>
          <t>FIX100</t>
        </is>
      </c>
      <c r="E1879" t="inlineStr">
        <is>
          <t>DF</t>
        </is>
      </c>
      <c r="F1879" t="n">
        <v>1.7</v>
      </c>
      <c r="G1879" t="n">
        <v>14</v>
      </c>
      <c r="H1879" t="n">
        <v>0</v>
      </c>
      <c r="I1879" t="inlineStr">
        <is>
          <t>L</t>
        </is>
      </c>
      <c r="J1879" t="inlineStr">
        <is>
          <t>S</t>
        </is>
      </c>
      <c r="K1879" t="inlineStr"/>
      <c r="L1879" t="inlineStr"/>
      <c r="M1879" s="30">
        <f>0.005454*F1879^2</f>
        <v/>
      </c>
      <c r="N1879" s="31">
        <f>IF(D1879="BAF20",20/M1879,100)</f>
        <v/>
      </c>
      <c r="O1879" s="31">
        <f>M1879*N1879</f>
        <v/>
      </c>
      <c r="P1879" s="32">
        <f>0.0*N1879</f>
        <v/>
      </c>
    </row>
    <row r="1880">
      <c r="A1880" t="inlineStr">
        <is>
          <t>U7-05</t>
        </is>
      </c>
      <c r="B1880" t="n">
        <v>7</v>
      </c>
      <c r="C1880" t="n">
        <v>1</v>
      </c>
      <c r="D1880" t="inlineStr">
        <is>
          <t>BAF20</t>
        </is>
      </c>
      <c r="E1880" t="inlineStr">
        <is>
          <t>WF</t>
        </is>
      </c>
      <c r="F1880" t="n">
        <v>28.8</v>
      </c>
      <c r="G1880" t="n">
        <v>110</v>
      </c>
      <c r="H1880" t="n">
        <v>9</v>
      </c>
      <c r="I1880" t="inlineStr">
        <is>
          <t>L</t>
        </is>
      </c>
      <c r="J1880" t="inlineStr">
        <is>
          <t>C</t>
        </is>
      </c>
      <c r="K1880" t="inlineStr"/>
      <c r="L1880" t="inlineStr"/>
      <c r="M1880" s="30">
        <f>0.005454*F1880^2</f>
        <v/>
      </c>
      <c r="N1880" s="31">
        <f>IF(D1880="BAF20",20/M1880,100)</f>
        <v/>
      </c>
      <c r="O1880" s="31">
        <f>M1880*N1880</f>
        <v/>
      </c>
      <c r="P1880" s="32">
        <f>940.1*N1880</f>
        <v/>
      </c>
    </row>
    <row r="1881">
      <c r="A1881" t="inlineStr">
        <is>
          <t>U7-05</t>
        </is>
      </c>
      <c r="B1881" t="n">
        <v>7</v>
      </c>
      <c r="C1881" t="n">
        <v>2</v>
      </c>
      <c r="D1881" t="inlineStr">
        <is>
          <t>BAF20</t>
        </is>
      </c>
      <c r="E1881" t="inlineStr">
        <is>
          <t>PP</t>
        </is>
      </c>
      <c r="F1881" t="n">
        <v>50.4</v>
      </c>
      <c r="G1881" t="n">
        <v>135</v>
      </c>
      <c r="H1881" t="n">
        <v>3</v>
      </c>
      <c r="I1881" t="inlineStr">
        <is>
          <t>L</t>
        </is>
      </c>
      <c r="J1881" t="inlineStr">
        <is>
          <t>D</t>
        </is>
      </c>
      <c r="K1881" t="inlineStr"/>
      <c r="L1881" t="inlineStr"/>
      <c r="M1881" s="30">
        <f>0.005454*F1881^2</f>
        <v/>
      </c>
      <c r="N1881" s="31">
        <f>IF(D1881="BAF20",20/M1881,100)</f>
        <v/>
      </c>
      <c r="O1881" s="31">
        <f>M1881*N1881</f>
        <v/>
      </c>
      <c r="P1881" s="32">
        <f>4251.7*N1881</f>
        <v/>
      </c>
    </row>
    <row r="1882">
      <c r="A1882" t="inlineStr">
        <is>
          <t>U7-05</t>
        </is>
      </c>
      <c r="B1882" t="n">
        <v>7</v>
      </c>
      <c r="C1882" t="n">
        <v>3</v>
      </c>
      <c r="D1882" t="inlineStr">
        <is>
          <t>BAF20</t>
        </is>
      </c>
      <c r="E1882" t="inlineStr">
        <is>
          <t>PP</t>
        </is>
      </c>
      <c r="F1882" t="n">
        <v>16.5</v>
      </c>
      <c r="G1882" t="n">
        <v>80</v>
      </c>
      <c r="H1882" t="n">
        <v>2</v>
      </c>
      <c r="I1882" t="inlineStr">
        <is>
          <t>L</t>
        </is>
      </c>
      <c r="J1882" t="inlineStr">
        <is>
          <t>S</t>
        </is>
      </c>
      <c r="K1882" t="inlineStr"/>
      <c r="L1882" t="inlineStr"/>
      <c r="M1882" s="30">
        <f>0.005454*F1882^2</f>
        <v/>
      </c>
      <c r="N1882" s="31">
        <f>IF(D1882="BAF20",20/M1882,100)</f>
        <v/>
      </c>
      <c r="O1882" s="31">
        <f>M1882*N1882</f>
        <v/>
      </c>
      <c r="P1882" s="32">
        <f>193.0*N1882</f>
        <v/>
      </c>
    </row>
    <row r="1883">
      <c r="A1883" t="inlineStr">
        <is>
          <t>U7-05</t>
        </is>
      </c>
      <c r="B1883" t="n">
        <v>7</v>
      </c>
      <c r="C1883" t="n">
        <v>4</v>
      </c>
      <c r="D1883" t="inlineStr">
        <is>
          <t>BAF20</t>
        </is>
      </c>
      <c r="E1883" t="inlineStr">
        <is>
          <t>WF</t>
        </is>
      </c>
      <c r="F1883" t="n">
        <v>23.9</v>
      </c>
      <c r="G1883" t="n">
        <v>109</v>
      </c>
      <c r="H1883" t="n">
        <v>5</v>
      </c>
      <c r="I1883" t="inlineStr">
        <is>
          <t>L</t>
        </is>
      </c>
      <c r="J1883" t="inlineStr">
        <is>
          <t>I</t>
        </is>
      </c>
      <c r="K1883" t="inlineStr"/>
      <c r="L1883" t="inlineStr"/>
      <c r="M1883" s="30">
        <f>0.005454*F1883^2</f>
        <v/>
      </c>
      <c r="N1883" s="31">
        <f>IF(D1883="BAF20",20/M1883,100)</f>
        <v/>
      </c>
      <c r="O1883" s="31">
        <f>M1883*N1883</f>
        <v/>
      </c>
      <c r="P1883" s="32">
        <f>615.9*N1883</f>
        <v/>
      </c>
    </row>
    <row r="1884">
      <c r="A1884" t="inlineStr">
        <is>
          <t>U7-05</t>
        </is>
      </c>
      <c r="B1884" t="n">
        <v>7</v>
      </c>
      <c r="C1884" t="n">
        <v>5</v>
      </c>
      <c r="D1884" t="inlineStr">
        <is>
          <t>BAF20</t>
        </is>
      </c>
      <c r="E1884" t="inlineStr">
        <is>
          <t>WF</t>
        </is>
      </c>
      <c r="F1884" t="n">
        <v>15.5</v>
      </c>
      <c r="G1884" t="n">
        <v>76</v>
      </c>
      <c r="H1884" t="n">
        <v>4</v>
      </c>
      <c r="I1884" t="inlineStr">
        <is>
          <t>L</t>
        </is>
      </c>
      <c r="J1884" t="inlineStr">
        <is>
          <t>S</t>
        </is>
      </c>
      <c r="K1884" t="inlineStr"/>
      <c r="L1884" t="inlineStr"/>
      <c r="M1884" s="30">
        <f>0.005454*F1884^2</f>
        <v/>
      </c>
      <c r="N1884" s="31">
        <f>IF(D1884="BAF20",20/M1884,100)</f>
        <v/>
      </c>
      <c r="O1884" s="31">
        <f>M1884*N1884</f>
        <v/>
      </c>
      <c r="P1884" s="32">
        <f>155.2*N1884</f>
        <v/>
      </c>
    </row>
    <row r="1885">
      <c r="A1885" t="inlineStr">
        <is>
          <t>U7-05</t>
        </is>
      </c>
      <c r="B1885" t="n">
        <v>7</v>
      </c>
      <c r="C1885" t="n">
        <v>6</v>
      </c>
      <c r="D1885" t="inlineStr">
        <is>
          <t>BAF20</t>
        </is>
      </c>
      <c r="E1885" t="inlineStr">
        <is>
          <t>DF</t>
        </is>
      </c>
      <c r="F1885" t="n">
        <v>50.5</v>
      </c>
      <c r="G1885" t="n">
        <v>139</v>
      </c>
      <c r="H1885" t="n">
        <v>3</v>
      </c>
      <c r="I1885" t="inlineStr">
        <is>
          <t>L</t>
        </is>
      </c>
      <c r="J1885" t="inlineStr">
        <is>
          <t>D</t>
        </is>
      </c>
      <c r="K1885" t="inlineStr"/>
      <c r="L1885" t="inlineStr"/>
      <c r="M1885" s="30">
        <f>0.005454*F1885^2</f>
        <v/>
      </c>
      <c r="N1885" s="31">
        <f>IF(D1885="BAF20",20/M1885,100)</f>
        <v/>
      </c>
      <c r="O1885" s="31">
        <f>M1885*N1885</f>
        <v/>
      </c>
      <c r="P1885" s="32">
        <f>4395.1*N1885</f>
        <v/>
      </c>
    </row>
    <row r="1886">
      <c r="A1886" t="inlineStr">
        <is>
          <t>U7-05</t>
        </is>
      </c>
      <c r="B1886" t="n">
        <v>7</v>
      </c>
      <c r="C1886" t="n">
        <v>7</v>
      </c>
      <c r="D1886" t="inlineStr">
        <is>
          <t>BAF20</t>
        </is>
      </c>
      <c r="E1886" t="inlineStr">
        <is>
          <t>WF</t>
        </is>
      </c>
      <c r="F1886" t="n">
        <v>6.1</v>
      </c>
      <c r="G1886" t="n">
        <v>36</v>
      </c>
      <c r="H1886" t="n">
        <v>2</v>
      </c>
      <c r="I1886" t="inlineStr">
        <is>
          <t>L</t>
        </is>
      </c>
      <c r="J1886" t="inlineStr">
        <is>
          <t>S</t>
        </is>
      </c>
      <c r="K1886" t="inlineStr"/>
      <c r="L1886" t="inlineStr"/>
      <c r="M1886" s="30">
        <f>0.005454*F1886^2</f>
        <v/>
      </c>
      <c r="N1886" s="31">
        <f>IF(D1886="BAF20",20/M1886,100)</f>
        <v/>
      </c>
      <c r="O1886" s="31">
        <f>M1886*N1886</f>
        <v/>
      </c>
      <c r="P1886" s="32">
        <f>0.0*N1886</f>
        <v/>
      </c>
    </row>
    <row r="1887">
      <c r="A1887" t="inlineStr">
        <is>
          <t>U7-05</t>
        </is>
      </c>
      <c r="B1887" t="n">
        <v>7</v>
      </c>
      <c r="C1887" t="n">
        <v>8</v>
      </c>
      <c r="D1887" t="inlineStr">
        <is>
          <t>BAF20</t>
        </is>
      </c>
      <c r="E1887" t="inlineStr">
        <is>
          <t>DF</t>
        </is>
      </c>
      <c r="F1887" t="n">
        <v>8.5</v>
      </c>
      <c r="G1887" t="n">
        <v>47</v>
      </c>
      <c r="H1887" t="n">
        <v>3</v>
      </c>
      <c r="I1887" t="inlineStr">
        <is>
          <t>L</t>
        </is>
      </c>
      <c r="J1887" t="inlineStr">
        <is>
          <t>S</t>
        </is>
      </c>
      <c r="K1887" t="inlineStr"/>
      <c r="L1887" t="inlineStr"/>
      <c r="M1887" s="30">
        <f>0.005454*F1887^2</f>
        <v/>
      </c>
      <c r="N1887" s="31">
        <f>IF(D1887="BAF20",20/M1887,100)</f>
        <v/>
      </c>
      <c r="O1887" s="31">
        <f>M1887*N1887</f>
        <v/>
      </c>
      <c r="P1887" s="32">
        <f>0.0*N1887</f>
        <v/>
      </c>
    </row>
    <row r="1888">
      <c r="A1888" t="inlineStr">
        <is>
          <t>U7-05</t>
        </is>
      </c>
      <c r="B1888" t="n">
        <v>7</v>
      </c>
      <c r="C1888" t="n">
        <v>9</v>
      </c>
      <c r="D1888" t="inlineStr">
        <is>
          <t>BAF20</t>
        </is>
      </c>
      <c r="E1888" t="inlineStr">
        <is>
          <t>DF</t>
        </is>
      </c>
      <c r="F1888" t="n">
        <v>17</v>
      </c>
      <c r="G1888" t="n">
        <v>83</v>
      </c>
      <c r="H1888" t="n">
        <v>1</v>
      </c>
      <c r="I1888" t="inlineStr">
        <is>
          <t>L</t>
        </is>
      </c>
      <c r="J1888" t="inlineStr">
        <is>
          <t>S</t>
        </is>
      </c>
      <c r="K1888" t="inlineStr"/>
      <c r="L1888" t="inlineStr"/>
      <c r="M1888" s="30">
        <f>0.005454*F1888^2</f>
        <v/>
      </c>
      <c r="N1888" s="31">
        <f>IF(D1888="BAF20",20/M1888,100)</f>
        <v/>
      </c>
      <c r="O1888" s="31">
        <f>M1888*N1888</f>
        <v/>
      </c>
      <c r="P1888" s="32">
        <f>216.9*N1888</f>
        <v/>
      </c>
    </row>
    <row r="1889">
      <c r="A1889" t="inlineStr">
        <is>
          <t>U7-05</t>
        </is>
      </c>
      <c r="B1889" t="n">
        <v>7</v>
      </c>
      <c r="C1889" t="n">
        <v>10</v>
      </c>
      <c r="D1889" t="inlineStr">
        <is>
          <t>BAF20</t>
        </is>
      </c>
      <c r="E1889" t="inlineStr">
        <is>
          <t>WF</t>
        </is>
      </c>
      <c r="F1889" t="n">
        <v>22.7</v>
      </c>
      <c r="G1889" t="n">
        <v>90</v>
      </c>
      <c r="H1889" t="n">
        <v>7</v>
      </c>
      <c r="I1889" t="inlineStr">
        <is>
          <t>L</t>
        </is>
      </c>
      <c r="J1889" t="inlineStr">
        <is>
          <t>I</t>
        </is>
      </c>
      <c r="K1889" t="inlineStr"/>
      <c r="L1889" t="inlineStr"/>
      <c r="M1889" s="30">
        <f>0.005454*F1889^2</f>
        <v/>
      </c>
      <c r="N1889" s="31">
        <f>IF(D1889="BAF20",20/M1889,100)</f>
        <v/>
      </c>
      <c r="O1889" s="31">
        <f>M1889*N1889</f>
        <v/>
      </c>
      <c r="P1889" s="32">
        <f>439.5*N1889</f>
        <v/>
      </c>
    </row>
    <row r="1890">
      <c r="A1890" t="inlineStr">
        <is>
          <t>U7-05</t>
        </is>
      </c>
      <c r="B1890" t="n">
        <v>7</v>
      </c>
      <c r="C1890" t="n">
        <v>11</v>
      </c>
      <c r="D1890" t="inlineStr">
        <is>
          <t>BAF20</t>
        </is>
      </c>
      <c r="E1890" t="inlineStr">
        <is>
          <t>WF</t>
        </is>
      </c>
      <c r="F1890" t="n">
        <v>28.3</v>
      </c>
      <c r="G1890" t="n">
        <v>114</v>
      </c>
      <c r="H1890" t="n">
        <v>10</v>
      </c>
      <c r="I1890" t="inlineStr">
        <is>
          <t>L</t>
        </is>
      </c>
      <c r="J1890" t="inlineStr">
        <is>
          <t>C</t>
        </is>
      </c>
      <c r="K1890" t="inlineStr"/>
      <c r="L1890" t="inlineStr"/>
      <c r="M1890" s="30">
        <f>0.005454*F1890^2</f>
        <v/>
      </c>
      <c r="N1890" s="31">
        <f>IF(D1890="BAF20",20/M1890,100)</f>
        <v/>
      </c>
      <c r="O1890" s="31">
        <f>M1890*N1890</f>
        <v/>
      </c>
      <c r="P1890" s="32">
        <f>922.8*N1890</f>
        <v/>
      </c>
    </row>
    <row r="1891">
      <c r="A1891" t="inlineStr">
        <is>
          <t>U7-06</t>
        </is>
      </c>
      <c r="B1891" t="n">
        <v>7</v>
      </c>
      <c r="C1891" t="n">
        <v>1</v>
      </c>
      <c r="D1891" t="inlineStr">
        <is>
          <t>BAF20</t>
        </is>
      </c>
      <c r="E1891" t="inlineStr">
        <is>
          <t>DF</t>
        </is>
      </c>
      <c r="F1891" t="n">
        <v>6.3</v>
      </c>
      <c r="G1891" t="n">
        <v>39</v>
      </c>
      <c r="H1891" t="n">
        <v>1</v>
      </c>
      <c r="I1891" t="inlineStr">
        <is>
          <t>L</t>
        </is>
      </c>
      <c r="J1891" t="inlineStr">
        <is>
          <t>S</t>
        </is>
      </c>
      <c r="K1891" t="inlineStr"/>
      <c r="L1891" t="inlineStr"/>
      <c r="M1891" s="30">
        <f>0.005454*F1891^2</f>
        <v/>
      </c>
      <c r="N1891" s="31">
        <f>IF(D1891="BAF20",20/M1891,100)</f>
        <v/>
      </c>
      <c r="O1891" s="31">
        <f>M1891*N1891</f>
        <v/>
      </c>
      <c r="P1891" s="32">
        <f>0.0*N1891</f>
        <v/>
      </c>
    </row>
    <row r="1892">
      <c r="A1892" t="inlineStr">
        <is>
          <t>U7-06</t>
        </is>
      </c>
      <c r="B1892" t="n">
        <v>7</v>
      </c>
      <c r="C1892" t="n">
        <v>2</v>
      </c>
      <c r="D1892" t="inlineStr">
        <is>
          <t>BAF20</t>
        </is>
      </c>
      <c r="E1892" t="inlineStr">
        <is>
          <t>WF</t>
        </is>
      </c>
      <c r="F1892" t="n">
        <v>38.2</v>
      </c>
      <c r="G1892" t="n">
        <v>141</v>
      </c>
      <c r="H1892" t="n">
        <v>1</v>
      </c>
      <c r="I1892" t="inlineStr">
        <is>
          <t>L</t>
        </is>
      </c>
      <c r="J1892" t="inlineStr">
        <is>
          <t>D</t>
        </is>
      </c>
      <c r="K1892" t="inlineStr">
        <is>
          <t>Y</t>
        </is>
      </c>
      <c r="L1892" t="inlineStr"/>
      <c r="M1892" s="30">
        <f>0.005454*F1892^2</f>
        <v/>
      </c>
      <c r="N1892" s="31">
        <f>IF(D1892="BAF20",20/M1892,100)</f>
        <v/>
      </c>
      <c r="O1892" s="31">
        <f>M1892*N1892</f>
        <v/>
      </c>
      <c r="P1892" s="32">
        <f>2603.6*N1892</f>
        <v/>
      </c>
    </row>
    <row r="1893">
      <c r="A1893" t="inlineStr">
        <is>
          <t>U7-06</t>
        </is>
      </c>
      <c r="B1893" t="n">
        <v>7</v>
      </c>
      <c r="C1893" t="n">
        <v>3</v>
      </c>
      <c r="D1893" t="inlineStr">
        <is>
          <t>BAF20</t>
        </is>
      </c>
      <c r="E1893" t="inlineStr">
        <is>
          <t>SP</t>
        </is>
      </c>
      <c r="F1893" t="n">
        <v>22.5</v>
      </c>
      <c r="G1893" t="n">
        <v>89</v>
      </c>
      <c r="H1893" t="n">
        <v>6</v>
      </c>
      <c r="I1893" t="inlineStr">
        <is>
          <t>L</t>
        </is>
      </c>
      <c r="J1893" t="inlineStr">
        <is>
          <t>I</t>
        </is>
      </c>
      <c r="K1893" t="inlineStr"/>
      <c r="L1893" t="inlineStr"/>
      <c r="M1893" s="30">
        <f>0.005454*F1893^2</f>
        <v/>
      </c>
      <c r="N1893" s="31">
        <f>IF(D1893="BAF20",20/M1893,100)</f>
        <v/>
      </c>
      <c r="O1893" s="31">
        <f>M1893*N1893</f>
        <v/>
      </c>
      <c r="P1893" s="32">
        <f>430.0*N1893</f>
        <v/>
      </c>
    </row>
    <row r="1894">
      <c r="A1894" t="inlineStr">
        <is>
          <t>U7-06</t>
        </is>
      </c>
      <c r="B1894" t="n">
        <v>7</v>
      </c>
      <c r="C1894" t="n">
        <v>4</v>
      </c>
      <c r="D1894" t="inlineStr">
        <is>
          <t>BAF20</t>
        </is>
      </c>
      <c r="E1894" t="inlineStr">
        <is>
          <t>PP</t>
        </is>
      </c>
      <c r="F1894" t="n">
        <v>19.9</v>
      </c>
      <c r="G1894" t="n">
        <v>88</v>
      </c>
      <c r="H1894" t="n">
        <v>6</v>
      </c>
      <c r="I1894" t="inlineStr">
        <is>
          <t>L</t>
        </is>
      </c>
      <c r="J1894" t="inlineStr">
        <is>
          <t>I</t>
        </is>
      </c>
      <c r="K1894" t="inlineStr"/>
      <c r="L1894" t="inlineStr"/>
      <c r="M1894" s="30">
        <f>0.005454*F1894^2</f>
        <v/>
      </c>
      <c r="N1894" s="31">
        <f>IF(D1894="BAF20",20/M1894,100)</f>
        <v/>
      </c>
      <c r="O1894" s="31">
        <f>M1894*N1894</f>
        <v/>
      </c>
      <c r="P1894" s="32">
        <f>316.8*N1894</f>
        <v/>
      </c>
    </row>
    <row r="1895">
      <c r="A1895" t="inlineStr">
        <is>
          <t>U7-06</t>
        </is>
      </c>
      <c r="B1895" t="n">
        <v>7</v>
      </c>
      <c r="C1895" t="n">
        <v>5</v>
      </c>
      <c r="D1895" t="inlineStr">
        <is>
          <t>BAF20</t>
        </is>
      </c>
      <c r="E1895" t="inlineStr">
        <is>
          <t>WF</t>
        </is>
      </c>
      <c r="F1895" t="n">
        <v>29.4</v>
      </c>
      <c r="G1895" t="n">
        <v>114</v>
      </c>
      <c r="H1895" t="n">
        <v>5</v>
      </c>
      <c r="I1895" t="inlineStr">
        <is>
          <t>L</t>
        </is>
      </c>
      <c r="J1895" t="inlineStr">
        <is>
          <t>C</t>
        </is>
      </c>
      <c r="K1895" t="inlineStr"/>
      <c r="L1895" t="inlineStr"/>
      <c r="M1895" s="30">
        <f>0.005454*F1895^2</f>
        <v/>
      </c>
      <c r="N1895" s="31">
        <f>IF(D1895="BAF20",20/M1895,100)</f>
        <v/>
      </c>
      <c r="O1895" s="31">
        <f>M1895*N1895</f>
        <v/>
      </c>
      <c r="P1895" s="32">
        <f>1070.3*N1895</f>
        <v/>
      </c>
    </row>
    <row r="1896">
      <c r="A1896" t="inlineStr">
        <is>
          <t>U7-06</t>
        </is>
      </c>
      <c r="B1896" t="n">
        <v>7</v>
      </c>
      <c r="C1896" t="n">
        <v>6</v>
      </c>
      <c r="D1896" t="inlineStr">
        <is>
          <t>BAF20</t>
        </is>
      </c>
      <c r="E1896" t="inlineStr">
        <is>
          <t>WF</t>
        </is>
      </c>
      <c r="F1896" t="n">
        <v>18.1</v>
      </c>
      <c r="G1896" t="n">
        <v>79</v>
      </c>
      <c r="H1896" t="n">
        <v>20</v>
      </c>
      <c r="I1896" t="inlineStr">
        <is>
          <t>L</t>
        </is>
      </c>
      <c r="J1896" t="inlineStr">
        <is>
          <t>I</t>
        </is>
      </c>
      <c r="K1896" t="inlineStr">
        <is>
          <t>Y</t>
        </is>
      </c>
      <c r="L1896" t="inlineStr"/>
      <c r="M1896" s="30">
        <f>0.005454*F1896^2</f>
        <v/>
      </c>
      <c r="N1896" s="31">
        <f>IF(D1896="BAF20",20/M1896,100)</f>
        <v/>
      </c>
      <c r="O1896" s="31">
        <f>M1896*N1896</f>
        <v/>
      </c>
      <c r="P1896" s="32">
        <f>193.3*N1896</f>
        <v/>
      </c>
    </row>
    <row r="1897">
      <c r="A1897" t="inlineStr">
        <is>
          <t>U7-06</t>
        </is>
      </c>
      <c r="B1897" t="n">
        <v>7</v>
      </c>
      <c r="C1897" t="n">
        <v>7</v>
      </c>
      <c r="D1897" t="inlineStr">
        <is>
          <t>BAF20</t>
        </is>
      </c>
      <c r="E1897" t="inlineStr">
        <is>
          <t>WF</t>
        </is>
      </c>
      <c r="F1897" t="n">
        <v>27.8</v>
      </c>
      <c r="G1897" t="n">
        <v>120</v>
      </c>
      <c r="H1897" t="n">
        <v>8</v>
      </c>
      <c r="I1897" t="inlineStr">
        <is>
          <t>L</t>
        </is>
      </c>
      <c r="J1897" t="inlineStr">
        <is>
          <t>C</t>
        </is>
      </c>
      <c r="K1897" t="inlineStr">
        <is>
          <t>Y</t>
        </is>
      </c>
      <c r="L1897" t="inlineStr"/>
      <c r="M1897" s="30">
        <f>0.005454*F1897^2</f>
        <v/>
      </c>
      <c r="N1897" s="31">
        <f>IF(D1897="BAF20",20/M1897,100)</f>
        <v/>
      </c>
      <c r="O1897" s="31">
        <f>M1897*N1897</f>
        <v/>
      </c>
      <c r="P1897" s="32">
        <f>950.2*N1897</f>
        <v/>
      </c>
    </row>
    <row r="1898">
      <c r="A1898" t="inlineStr">
        <is>
          <t>U7-06</t>
        </is>
      </c>
      <c r="B1898" t="n">
        <v>7</v>
      </c>
      <c r="C1898" t="n">
        <v>8</v>
      </c>
      <c r="D1898" t="inlineStr">
        <is>
          <t>BAF20</t>
        </is>
      </c>
      <c r="E1898" t="inlineStr">
        <is>
          <t>IC</t>
        </is>
      </c>
      <c r="F1898" t="n">
        <v>9.199999999999999</v>
      </c>
      <c r="G1898" t="n">
        <v>39</v>
      </c>
      <c r="H1898" t="n">
        <v>4</v>
      </c>
      <c r="I1898" t="inlineStr">
        <is>
          <t>L</t>
        </is>
      </c>
      <c r="J1898" t="inlineStr">
        <is>
          <t>S</t>
        </is>
      </c>
      <c r="K1898" t="inlineStr"/>
      <c r="L1898" t="inlineStr"/>
      <c r="M1898" s="30">
        <f>0.005454*F1898^2</f>
        <v/>
      </c>
      <c r="N1898" s="31">
        <f>IF(D1898="BAF20",20/M1898,100)</f>
        <v/>
      </c>
      <c r="O1898" s="31">
        <f>M1898*N1898</f>
        <v/>
      </c>
      <c r="P1898" s="32">
        <f>0.0*N1898</f>
        <v/>
      </c>
    </row>
    <row r="1899">
      <c r="A1899" t="inlineStr">
        <is>
          <t>U7-06</t>
        </is>
      </c>
      <c r="B1899" t="n">
        <v>7</v>
      </c>
      <c r="C1899" t="n">
        <v>9</v>
      </c>
      <c r="D1899" t="inlineStr">
        <is>
          <t>BAF20</t>
        </is>
      </c>
      <c r="E1899" t="inlineStr">
        <is>
          <t>IC</t>
        </is>
      </c>
      <c r="F1899" t="n">
        <v>5</v>
      </c>
      <c r="G1899" t="n">
        <v>23</v>
      </c>
      <c r="H1899" t="n">
        <v>5</v>
      </c>
      <c r="I1899" t="inlineStr">
        <is>
          <t>L</t>
        </is>
      </c>
      <c r="J1899" t="inlineStr">
        <is>
          <t>S</t>
        </is>
      </c>
      <c r="K1899" t="inlineStr"/>
      <c r="L1899" t="inlineStr"/>
      <c r="M1899" s="30">
        <f>0.005454*F1899^2</f>
        <v/>
      </c>
      <c r="N1899" s="31">
        <f>IF(D1899="BAF20",20/M1899,100)</f>
        <v/>
      </c>
      <c r="O1899" s="31">
        <f>M1899*N1899</f>
        <v/>
      </c>
      <c r="P1899" s="32">
        <f>0.0*N1899</f>
        <v/>
      </c>
    </row>
    <row r="1900">
      <c r="A1900" t="inlineStr">
        <is>
          <t>U7-06</t>
        </is>
      </c>
      <c r="B1900" t="n">
        <v>7</v>
      </c>
      <c r="C1900" t="n">
        <v>10</v>
      </c>
      <c r="D1900" t="inlineStr">
        <is>
          <t>BAF20</t>
        </is>
      </c>
      <c r="E1900" t="inlineStr">
        <is>
          <t>DF</t>
        </is>
      </c>
      <c r="F1900" t="n">
        <v>36.5</v>
      </c>
      <c r="G1900" t="n">
        <v>123</v>
      </c>
      <c r="H1900" t="n">
        <v>5</v>
      </c>
      <c r="I1900" t="inlineStr">
        <is>
          <t>L</t>
        </is>
      </c>
      <c r="J1900" t="inlineStr">
        <is>
          <t>D</t>
        </is>
      </c>
      <c r="K1900" t="inlineStr"/>
      <c r="L1900" t="inlineStr"/>
      <c r="M1900" s="30">
        <f>0.005454*F1900^2</f>
        <v/>
      </c>
      <c r="N1900" s="31">
        <f>IF(D1900="BAF20",20/M1900,100)</f>
        <v/>
      </c>
      <c r="O1900" s="31">
        <f>M1900*N1900</f>
        <v/>
      </c>
      <c r="P1900" s="32">
        <f>1985.0*N1900</f>
        <v/>
      </c>
    </row>
    <row r="1901">
      <c r="A1901" t="inlineStr">
        <is>
          <t>U7-06</t>
        </is>
      </c>
      <c r="B1901" t="n">
        <v>7</v>
      </c>
      <c r="C1901" t="n">
        <v>11</v>
      </c>
      <c r="D1901" t="inlineStr">
        <is>
          <t>FIX100</t>
        </is>
      </c>
      <c r="E1901" t="inlineStr">
        <is>
          <t>WF</t>
        </is>
      </c>
      <c r="F1901" t="n">
        <v>3.7</v>
      </c>
      <c r="G1901" t="n">
        <v>19</v>
      </c>
      <c r="H1901" t="n">
        <v>0</v>
      </c>
      <c r="I1901" t="inlineStr">
        <is>
          <t>L</t>
        </is>
      </c>
      <c r="J1901" t="inlineStr">
        <is>
          <t>S</t>
        </is>
      </c>
      <c r="K1901" t="inlineStr"/>
      <c r="L1901" t="inlineStr"/>
      <c r="M1901" s="30">
        <f>0.005454*F1901^2</f>
        <v/>
      </c>
      <c r="N1901" s="31">
        <f>IF(D1901="BAF20",20/M1901,100)</f>
        <v/>
      </c>
      <c r="O1901" s="31">
        <f>M1901*N1901</f>
        <v/>
      </c>
      <c r="P1901" s="32">
        <f>0.0*N1901</f>
        <v/>
      </c>
    </row>
    <row r="1902">
      <c r="A1902" t="inlineStr">
        <is>
          <t>U7-07</t>
        </is>
      </c>
      <c r="B1902" t="n">
        <v>7</v>
      </c>
      <c r="C1902" t="n">
        <v>1</v>
      </c>
      <c r="D1902" t="inlineStr">
        <is>
          <t>BAF20</t>
        </is>
      </c>
      <c r="E1902" t="inlineStr">
        <is>
          <t>WF</t>
        </is>
      </c>
      <c r="F1902" t="n">
        <v>23.6</v>
      </c>
      <c r="G1902" t="n">
        <v>102</v>
      </c>
      <c r="H1902" t="n">
        <v>5</v>
      </c>
      <c r="I1902" t="inlineStr">
        <is>
          <t>L</t>
        </is>
      </c>
      <c r="J1902" t="inlineStr">
        <is>
          <t>I</t>
        </is>
      </c>
      <c r="K1902" t="inlineStr">
        <is>
          <t>Y</t>
        </is>
      </c>
      <c r="L1902" t="inlineStr"/>
      <c r="M1902" s="30">
        <f>0.005454*F1902^2</f>
        <v/>
      </c>
      <c r="N1902" s="31">
        <f>IF(D1902="BAF20",20/M1902,100)</f>
        <v/>
      </c>
      <c r="O1902" s="31">
        <f>M1902*N1902</f>
        <v/>
      </c>
      <c r="P1902" s="32">
        <f>559.0*N1902</f>
        <v/>
      </c>
    </row>
    <row r="1903">
      <c r="A1903" t="inlineStr">
        <is>
          <t>U7-07</t>
        </is>
      </c>
      <c r="B1903" t="n">
        <v>7</v>
      </c>
      <c r="C1903" t="n">
        <v>2</v>
      </c>
      <c r="D1903" t="inlineStr">
        <is>
          <t>BAF20</t>
        </is>
      </c>
      <c r="E1903" t="inlineStr">
        <is>
          <t>WF</t>
        </is>
      </c>
      <c r="F1903" t="n">
        <v>16.6</v>
      </c>
      <c r="G1903" t="n">
        <v>75</v>
      </c>
      <c r="H1903" t="n">
        <v>9</v>
      </c>
      <c r="I1903" t="inlineStr">
        <is>
          <t>L</t>
        </is>
      </c>
      <c r="J1903" t="inlineStr">
        <is>
          <t>S</t>
        </is>
      </c>
      <c r="K1903" t="inlineStr"/>
      <c r="L1903" t="inlineStr"/>
      <c r="M1903" s="30">
        <f>0.005454*F1903^2</f>
        <v/>
      </c>
      <c r="N1903" s="31">
        <f>IF(D1903="BAF20",20/M1903,100)</f>
        <v/>
      </c>
      <c r="O1903" s="31">
        <f>M1903*N1903</f>
        <v/>
      </c>
      <c r="P1903" s="32">
        <f>170.4*N1903</f>
        <v/>
      </c>
    </row>
    <row r="1904">
      <c r="A1904" t="inlineStr">
        <is>
          <t>U7-07</t>
        </is>
      </c>
      <c r="B1904" t="n">
        <v>7</v>
      </c>
      <c r="C1904" t="n">
        <v>3</v>
      </c>
      <c r="D1904" t="inlineStr">
        <is>
          <t>BAF20</t>
        </is>
      </c>
      <c r="E1904" t="inlineStr">
        <is>
          <t>PP</t>
        </is>
      </c>
      <c r="F1904" t="n">
        <v>15.4</v>
      </c>
      <c r="G1904" t="n">
        <v>70</v>
      </c>
      <c r="H1904" t="n">
        <v>2</v>
      </c>
      <c r="I1904" t="inlineStr">
        <is>
          <t>L</t>
        </is>
      </c>
      <c r="J1904" t="inlineStr">
        <is>
          <t>S</t>
        </is>
      </c>
      <c r="K1904" t="inlineStr"/>
      <c r="L1904" t="inlineStr"/>
      <c r="M1904" s="30">
        <f>0.005454*F1904^2</f>
        <v/>
      </c>
      <c r="N1904" s="31">
        <f>IF(D1904="BAF20",20/M1904,100)</f>
        <v/>
      </c>
      <c r="O1904" s="31">
        <f>M1904*N1904</f>
        <v/>
      </c>
      <c r="P1904" s="32">
        <f>143.8*N1904</f>
        <v/>
      </c>
    </row>
    <row r="1905">
      <c r="A1905" t="inlineStr">
        <is>
          <t>U7-07</t>
        </is>
      </c>
      <c r="B1905" t="n">
        <v>7</v>
      </c>
      <c r="C1905" t="n">
        <v>4</v>
      </c>
      <c r="D1905" t="inlineStr">
        <is>
          <t>FIX100</t>
        </is>
      </c>
      <c r="E1905" t="inlineStr">
        <is>
          <t>PP</t>
        </is>
      </c>
      <c r="F1905" t="n">
        <v>3.2</v>
      </c>
      <c r="G1905" t="n">
        <v>19</v>
      </c>
      <c r="H1905" t="n">
        <v>0</v>
      </c>
      <c r="I1905" t="inlineStr">
        <is>
          <t>L</t>
        </is>
      </c>
      <c r="J1905" t="inlineStr">
        <is>
          <t>S</t>
        </is>
      </c>
      <c r="K1905" t="inlineStr"/>
      <c r="L1905" t="inlineStr"/>
      <c r="M1905" s="30">
        <f>0.005454*F1905^2</f>
        <v/>
      </c>
      <c r="N1905" s="31">
        <f>IF(D1905="BAF20",20/M1905,100)</f>
        <v/>
      </c>
      <c r="O1905" s="31">
        <f>M1905*N1905</f>
        <v/>
      </c>
      <c r="P1905" s="32">
        <f>0.0*N1905</f>
        <v/>
      </c>
    </row>
    <row r="1906">
      <c r="A1906" t="inlineStr">
        <is>
          <t>U7-07</t>
        </is>
      </c>
      <c r="B1906" t="n">
        <v>7</v>
      </c>
      <c r="C1906" t="n">
        <v>5</v>
      </c>
      <c r="D1906" t="inlineStr">
        <is>
          <t>FIX100</t>
        </is>
      </c>
      <c r="E1906" t="inlineStr">
        <is>
          <t>WF</t>
        </is>
      </c>
      <c r="F1906" t="n">
        <v>3.8</v>
      </c>
      <c r="G1906" t="n">
        <v>22</v>
      </c>
      <c r="H1906" t="n">
        <v>0</v>
      </c>
      <c r="I1906" t="inlineStr">
        <is>
          <t>L</t>
        </is>
      </c>
      <c r="J1906" t="inlineStr">
        <is>
          <t>S</t>
        </is>
      </c>
      <c r="K1906" t="inlineStr"/>
      <c r="L1906" t="inlineStr"/>
      <c r="M1906" s="30">
        <f>0.005454*F1906^2</f>
        <v/>
      </c>
      <c r="N1906" s="31">
        <f>IF(D1906="BAF20",20/M1906,100)</f>
        <v/>
      </c>
      <c r="O1906" s="31">
        <f>M1906*N1906</f>
        <v/>
      </c>
      <c r="P1906" s="32">
        <f>0.0*N1906</f>
        <v/>
      </c>
    </row>
    <row r="1907">
      <c r="A1907" t="inlineStr">
        <is>
          <t>U7-08</t>
        </is>
      </c>
      <c r="B1907" t="n">
        <v>7</v>
      </c>
      <c r="C1907" t="n">
        <v>1</v>
      </c>
      <c r="D1907" t="inlineStr">
        <is>
          <t>BAF20</t>
        </is>
      </c>
      <c r="E1907" t="inlineStr">
        <is>
          <t>SP</t>
        </is>
      </c>
      <c r="F1907" t="n">
        <v>22.3</v>
      </c>
      <c r="G1907" t="n">
        <v>99</v>
      </c>
      <c r="H1907" t="n">
        <v>6</v>
      </c>
      <c r="I1907" t="inlineStr">
        <is>
          <t>L</t>
        </is>
      </c>
      <c r="J1907" t="inlineStr">
        <is>
          <t>I</t>
        </is>
      </c>
      <c r="K1907" t="inlineStr"/>
      <c r="L1907" t="inlineStr"/>
      <c r="M1907" s="30">
        <f>0.005454*F1907^2</f>
        <v/>
      </c>
      <c r="N1907" s="31">
        <f>IF(D1907="BAF20",20/M1907,100)</f>
        <v/>
      </c>
      <c r="O1907" s="31">
        <f>M1907*N1907</f>
        <v/>
      </c>
      <c r="P1907" s="32">
        <f>468.2*N1907</f>
        <v/>
      </c>
    </row>
    <row r="1908">
      <c r="A1908" t="inlineStr">
        <is>
          <t>U7-08</t>
        </is>
      </c>
      <c r="B1908" t="n">
        <v>7</v>
      </c>
      <c r="C1908" t="n">
        <v>2</v>
      </c>
      <c r="D1908" t="inlineStr">
        <is>
          <t>BAF20</t>
        </is>
      </c>
      <c r="E1908" t="inlineStr">
        <is>
          <t>BO</t>
        </is>
      </c>
      <c r="F1908" t="n">
        <v>5</v>
      </c>
      <c r="G1908" t="n">
        <v>24</v>
      </c>
      <c r="H1908" t="n">
        <v>21</v>
      </c>
      <c r="I1908" t="inlineStr">
        <is>
          <t>L</t>
        </is>
      </c>
      <c r="J1908" t="inlineStr">
        <is>
          <t>S</t>
        </is>
      </c>
      <c r="K1908" t="inlineStr"/>
      <c r="L1908" t="inlineStr"/>
      <c r="M1908" s="30">
        <f>0.005454*F1908^2</f>
        <v/>
      </c>
      <c r="N1908" s="31">
        <f>IF(D1908="BAF20",20/M1908,100)</f>
        <v/>
      </c>
      <c r="O1908" s="31">
        <f>M1908*N1908</f>
        <v/>
      </c>
      <c r="P1908" s="32">
        <f>0.0*N1908</f>
        <v/>
      </c>
    </row>
    <row r="1909">
      <c r="A1909" t="inlineStr">
        <is>
          <t>U7-08</t>
        </is>
      </c>
      <c r="B1909" t="n">
        <v>7</v>
      </c>
      <c r="C1909" t="n">
        <v>3</v>
      </c>
      <c r="D1909" t="inlineStr">
        <is>
          <t>BAF20</t>
        </is>
      </c>
      <c r="E1909" t="inlineStr">
        <is>
          <t>WF</t>
        </is>
      </c>
      <c r="F1909" t="n">
        <v>19</v>
      </c>
      <c r="G1909" t="n">
        <v>90</v>
      </c>
      <c r="H1909" t="n">
        <v>0</v>
      </c>
      <c r="I1909" t="inlineStr">
        <is>
          <t>L</t>
        </is>
      </c>
      <c r="J1909" t="inlineStr">
        <is>
          <t>I</t>
        </is>
      </c>
      <c r="K1909" t="inlineStr"/>
      <c r="L1909" t="inlineStr"/>
      <c r="M1909" s="30">
        <f>0.005454*F1909^2</f>
        <v/>
      </c>
      <c r="N1909" s="31">
        <f>IF(D1909="BAF20",20/M1909,100)</f>
        <v/>
      </c>
      <c r="O1909" s="31">
        <f>M1909*N1909</f>
        <v/>
      </c>
      <c r="P1909" s="32">
        <f>308.8*N1909</f>
        <v/>
      </c>
    </row>
    <row r="1910">
      <c r="A1910" t="inlineStr">
        <is>
          <t>U7-08</t>
        </is>
      </c>
      <c r="B1910" t="n">
        <v>7</v>
      </c>
      <c r="C1910" t="n">
        <v>4</v>
      </c>
      <c r="D1910" t="inlineStr">
        <is>
          <t>BAF20</t>
        </is>
      </c>
      <c r="E1910" t="inlineStr">
        <is>
          <t>DF</t>
        </is>
      </c>
      <c r="F1910" t="n">
        <v>56.6</v>
      </c>
      <c r="G1910" t="n">
        <v>150</v>
      </c>
      <c r="H1910" t="n">
        <v>5</v>
      </c>
      <c r="I1910" t="inlineStr">
        <is>
          <t>L</t>
        </is>
      </c>
      <c r="J1910" t="inlineStr">
        <is>
          <t>D</t>
        </is>
      </c>
      <c r="K1910" t="inlineStr"/>
      <c r="L1910" t="inlineStr"/>
      <c r="M1910" s="30">
        <f>0.005454*F1910^2</f>
        <v/>
      </c>
      <c r="N1910" s="31">
        <f>IF(D1910="BAF20",20/M1910,100)</f>
        <v/>
      </c>
      <c r="O1910" s="31">
        <f>M1910*N1910</f>
        <v/>
      </c>
      <c r="P1910" s="32">
        <f>5835.1*N1910</f>
        <v/>
      </c>
    </row>
    <row r="1911">
      <c r="A1911" t="inlineStr">
        <is>
          <t>U7-08</t>
        </is>
      </c>
      <c r="B1911" t="n">
        <v>7</v>
      </c>
      <c r="C1911" t="n">
        <v>5</v>
      </c>
      <c r="D1911" t="inlineStr">
        <is>
          <t>BAF20</t>
        </is>
      </c>
      <c r="E1911" t="inlineStr">
        <is>
          <t>WF</t>
        </is>
      </c>
      <c r="F1911" t="n">
        <v>11.4</v>
      </c>
      <c r="G1911" t="n">
        <v>62</v>
      </c>
      <c r="H1911" t="n">
        <v>23</v>
      </c>
      <c r="I1911" t="inlineStr">
        <is>
          <t>L</t>
        </is>
      </c>
      <c r="J1911" t="inlineStr">
        <is>
          <t>S</t>
        </is>
      </c>
      <c r="K1911" t="inlineStr"/>
      <c r="L1911" t="inlineStr"/>
      <c r="M1911" s="30">
        <f>0.005454*F1911^2</f>
        <v/>
      </c>
      <c r="N1911" s="31">
        <f>IF(D1911="BAF20",20/M1911,100)</f>
        <v/>
      </c>
      <c r="O1911" s="31">
        <f>M1911*N1911</f>
        <v/>
      </c>
      <c r="P1911" s="32">
        <f>50.2*N1911</f>
        <v/>
      </c>
    </row>
    <row r="1912">
      <c r="A1912" t="inlineStr">
        <is>
          <t>U7-08</t>
        </is>
      </c>
      <c r="B1912" t="n">
        <v>7</v>
      </c>
      <c r="C1912" t="n">
        <v>6</v>
      </c>
      <c r="D1912" t="inlineStr">
        <is>
          <t>BAF20</t>
        </is>
      </c>
      <c r="E1912" t="inlineStr">
        <is>
          <t>WF</t>
        </is>
      </c>
      <c r="F1912" t="n">
        <v>38.9</v>
      </c>
      <c r="G1912" t="n">
        <v>133</v>
      </c>
      <c r="H1912" t="n">
        <v>100</v>
      </c>
      <c r="I1912" t="inlineStr">
        <is>
          <t>D</t>
        </is>
      </c>
      <c r="J1912" t="inlineStr">
        <is>
          <t>D</t>
        </is>
      </c>
      <c r="K1912" t="inlineStr"/>
      <c r="L1912" t="inlineStr"/>
      <c r="M1912" s="30">
        <f>0.005454*F1912^2</f>
        <v/>
      </c>
      <c r="N1912" s="31">
        <f>IF(D1912="BAF20",20/M1912,100)</f>
        <v/>
      </c>
      <c r="O1912" s="31">
        <f>M1912*N1912</f>
        <v/>
      </c>
      <c r="P1912" s="32">
        <f>0.0*N1912</f>
        <v/>
      </c>
    </row>
    <row r="1913">
      <c r="A1913" t="inlineStr">
        <is>
          <t>U7-08</t>
        </is>
      </c>
      <c r="B1913" t="n">
        <v>7</v>
      </c>
      <c r="C1913" t="n">
        <v>7</v>
      </c>
      <c r="D1913" t="inlineStr">
        <is>
          <t>BAF20</t>
        </is>
      </c>
      <c r="E1913" t="inlineStr">
        <is>
          <t>DF</t>
        </is>
      </c>
      <c r="F1913" t="n">
        <v>30</v>
      </c>
      <c r="G1913" t="n">
        <v>113</v>
      </c>
      <c r="H1913" t="n">
        <v>4</v>
      </c>
      <c r="I1913" t="inlineStr">
        <is>
          <t>L</t>
        </is>
      </c>
      <c r="J1913" t="inlineStr">
        <is>
          <t>C</t>
        </is>
      </c>
      <c r="K1913" t="inlineStr"/>
      <c r="L1913" t="inlineStr"/>
      <c r="M1913" s="30">
        <f>0.005454*F1913^2</f>
        <v/>
      </c>
      <c r="N1913" s="31">
        <f>IF(D1913="BAF20",20/M1913,100)</f>
        <v/>
      </c>
      <c r="O1913" s="31">
        <f>M1913*N1913</f>
        <v/>
      </c>
      <c r="P1913" s="32">
        <f>1127.2*N1913</f>
        <v/>
      </c>
    </row>
    <row r="1914">
      <c r="A1914" t="inlineStr">
        <is>
          <t>U7-08</t>
        </is>
      </c>
      <c r="B1914" t="n">
        <v>7</v>
      </c>
      <c r="C1914" t="n">
        <v>8</v>
      </c>
      <c r="D1914" t="inlineStr">
        <is>
          <t>BAF20</t>
        </is>
      </c>
      <c r="E1914" t="inlineStr">
        <is>
          <t>WF</t>
        </is>
      </c>
      <c r="F1914" t="n">
        <v>7.1</v>
      </c>
      <c r="G1914" t="n">
        <v>38</v>
      </c>
      <c r="H1914" t="n">
        <v>5</v>
      </c>
      <c r="I1914" t="inlineStr">
        <is>
          <t>L</t>
        </is>
      </c>
      <c r="J1914" t="inlineStr">
        <is>
          <t>S</t>
        </is>
      </c>
      <c r="K1914" t="inlineStr"/>
      <c r="L1914" t="inlineStr"/>
      <c r="M1914" s="30">
        <f>0.005454*F1914^2</f>
        <v/>
      </c>
      <c r="N1914" s="31">
        <f>IF(D1914="BAF20",20/M1914,100)</f>
        <v/>
      </c>
      <c r="O1914" s="31">
        <f>M1914*N1914</f>
        <v/>
      </c>
      <c r="P1914" s="32">
        <f>0.0*N1914</f>
        <v/>
      </c>
    </row>
    <row r="1915">
      <c r="A1915" t="inlineStr">
        <is>
          <t>U7-08</t>
        </is>
      </c>
      <c r="B1915" t="n">
        <v>7</v>
      </c>
      <c r="C1915" t="n">
        <v>9</v>
      </c>
      <c r="D1915" t="inlineStr">
        <is>
          <t>BAF20</t>
        </is>
      </c>
      <c r="E1915" t="inlineStr">
        <is>
          <t>PP</t>
        </is>
      </c>
      <c r="F1915" t="n">
        <v>25.8</v>
      </c>
      <c r="G1915" t="n">
        <v>104</v>
      </c>
      <c r="H1915" t="n">
        <v>100</v>
      </c>
      <c r="I1915" t="inlineStr">
        <is>
          <t>D</t>
        </is>
      </c>
      <c r="J1915" t="inlineStr">
        <is>
          <t>C</t>
        </is>
      </c>
      <c r="K1915" t="inlineStr"/>
      <c r="L1915" t="inlineStr"/>
      <c r="M1915" s="30">
        <f>0.005454*F1915^2</f>
        <v/>
      </c>
      <c r="N1915" s="31">
        <f>IF(D1915="BAF20",20/M1915,100)</f>
        <v/>
      </c>
      <c r="O1915" s="31">
        <f>M1915*N1915</f>
        <v/>
      </c>
      <c r="P1915" s="32">
        <f>0.0*N1915</f>
        <v/>
      </c>
    </row>
    <row r="1916">
      <c r="A1916" t="inlineStr">
        <is>
          <t>U7-08</t>
        </is>
      </c>
      <c r="B1916" t="n">
        <v>7</v>
      </c>
      <c r="C1916" t="n">
        <v>10</v>
      </c>
      <c r="D1916" t="inlineStr">
        <is>
          <t>BAF20</t>
        </is>
      </c>
      <c r="E1916" t="inlineStr">
        <is>
          <t>PP</t>
        </is>
      </c>
      <c r="F1916" t="n">
        <v>16.4</v>
      </c>
      <c r="G1916" t="n">
        <v>78</v>
      </c>
      <c r="H1916" t="n">
        <v>2</v>
      </c>
      <c r="I1916" t="inlineStr">
        <is>
          <t>L</t>
        </is>
      </c>
      <c r="J1916" t="inlineStr">
        <is>
          <t>S</t>
        </is>
      </c>
      <c r="K1916" t="inlineStr"/>
      <c r="L1916" t="inlineStr"/>
      <c r="M1916" s="30">
        <f>0.005454*F1916^2</f>
        <v/>
      </c>
      <c r="N1916" s="31">
        <f>IF(D1916="BAF20",20/M1916,100)</f>
        <v/>
      </c>
      <c r="O1916" s="31">
        <f>M1916*N1916</f>
        <v/>
      </c>
      <c r="P1916" s="32">
        <f>185.5*N1916</f>
        <v/>
      </c>
    </row>
    <row r="1917">
      <c r="A1917" t="inlineStr">
        <is>
          <t>U7-08</t>
        </is>
      </c>
      <c r="B1917" t="n">
        <v>7</v>
      </c>
      <c r="C1917" t="n">
        <v>11</v>
      </c>
      <c r="D1917" t="inlineStr">
        <is>
          <t>BAF20</t>
        </is>
      </c>
      <c r="E1917" t="inlineStr">
        <is>
          <t>WF</t>
        </is>
      </c>
      <c r="F1917" t="n">
        <v>6.9</v>
      </c>
      <c r="G1917" t="n">
        <v>35</v>
      </c>
      <c r="H1917" t="n">
        <v>20</v>
      </c>
      <c r="I1917" t="inlineStr">
        <is>
          <t>L</t>
        </is>
      </c>
      <c r="J1917" t="inlineStr">
        <is>
          <t>S</t>
        </is>
      </c>
      <c r="K1917" t="inlineStr"/>
      <c r="L1917" t="inlineStr"/>
      <c r="M1917" s="30">
        <f>0.005454*F1917^2</f>
        <v/>
      </c>
      <c r="N1917" s="31">
        <f>IF(D1917="BAF20",20/M1917,100)</f>
        <v/>
      </c>
      <c r="O1917" s="31">
        <f>M1917*N1917</f>
        <v/>
      </c>
      <c r="P1917" s="32">
        <f>0.0*N1917</f>
        <v/>
      </c>
    </row>
    <row r="1918">
      <c r="A1918" t="inlineStr">
        <is>
          <t>U7-08</t>
        </is>
      </c>
      <c r="B1918" t="n">
        <v>7</v>
      </c>
      <c r="C1918" t="n">
        <v>12</v>
      </c>
      <c r="D1918" t="inlineStr">
        <is>
          <t>BAF20</t>
        </is>
      </c>
      <c r="E1918" t="inlineStr">
        <is>
          <t>WF</t>
        </is>
      </c>
      <c r="F1918" t="n">
        <v>53.3</v>
      </c>
      <c r="G1918" t="n">
        <v>161</v>
      </c>
      <c r="H1918" t="n">
        <v>7</v>
      </c>
      <c r="I1918" t="inlineStr">
        <is>
          <t>L</t>
        </is>
      </c>
      <c r="J1918" t="inlineStr">
        <is>
          <t>D</t>
        </is>
      </c>
      <c r="K1918" t="inlineStr"/>
      <c r="L1918" t="inlineStr"/>
      <c r="M1918" s="30">
        <f>0.005454*F1918^2</f>
        <v/>
      </c>
      <c r="N1918" s="31">
        <f>IF(D1918="BAF20",20/M1918,100)</f>
        <v/>
      </c>
      <c r="O1918" s="31">
        <f>M1918*N1918</f>
        <v/>
      </c>
      <c r="P1918" s="32">
        <f>5437.0*N1918</f>
        <v/>
      </c>
    </row>
    <row r="1919">
      <c r="A1919" t="inlineStr">
        <is>
          <t>U7-09</t>
        </is>
      </c>
      <c r="B1919" t="n">
        <v>7</v>
      </c>
      <c r="C1919" t="n">
        <v>1</v>
      </c>
      <c r="D1919" t="inlineStr">
        <is>
          <t>BAF20</t>
        </is>
      </c>
      <c r="E1919" t="inlineStr">
        <is>
          <t>DF</t>
        </is>
      </c>
      <c r="F1919" t="n">
        <v>20.2</v>
      </c>
      <c r="G1919" t="n">
        <v>93</v>
      </c>
      <c r="H1919" t="n">
        <v>1</v>
      </c>
      <c r="I1919" t="inlineStr">
        <is>
          <t>L</t>
        </is>
      </c>
      <c r="J1919" t="inlineStr">
        <is>
          <t>I</t>
        </is>
      </c>
      <c r="K1919" t="inlineStr">
        <is>
          <t>Y</t>
        </is>
      </c>
      <c r="L1919" t="inlineStr"/>
      <c r="M1919" s="30">
        <f>0.005454*F1919^2</f>
        <v/>
      </c>
      <c r="N1919" s="31">
        <f>IF(D1919="BAF20",20/M1919,100)</f>
        <v/>
      </c>
      <c r="O1919" s="31">
        <f>M1919*N1919</f>
        <v/>
      </c>
      <c r="P1919" s="32">
        <f>365.4*N1919</f>
        <v/>
      </c>
    </row>
    <row r="1920">
      <c r="A1920" t="inlineStr">
        <is>
          <t>U7-09</t>
        </is>
      </c>
      <c r="B1920" t="n">
        <v>7</v>
      </c>
      <c r="C1920" t="n">
        <v>2</v>
      </c>
      <c r="D1920" t="inlineStr">
        <is>
          <t>BAF20</t>
        </is>
      </c>
      <c r="E1920" t="inlineStr">
        <is>
          <t>WF</t>
        </is>
      </c>
      <c r="F1920" t="n">
        <v>42.7</v>
      </c>
      <c r="G1920" t="n">
        <v>140</v>
      </c>
      <c r="H1920" t="n">
        <v>21</v>
      </c>
      <c r="I1920" t="inlineStr">
        <is>
          <t>L</t>
        </is>
      </c>
      <c r="J1920" t="inlineStr">
        <is>
          <t>D</t>
        </is>
      </c>
      <c r="K1920" t="inlineStr"/>
      <c r="L1920" t="inlineStr"/>
      <c r="M1920" s="30">
        <f>0.005454*F1920^2</f>
        <v/>
      </c>
      <c r="N1920" s="31">
        <f>IF(D1920="BAF20",20/M1920,100)</f>
        <v/>
      </c>
      <c r="O1920" s="31">
        <f>M1920*N1920</f>
        <v/>
      </c>
      <c r="P1920" s="32">
        <f>2577.6*N1920</f>
        <v/>
      </c>
    </row>
    <row r="1921">
      <c r="A1921" t="inlineStr">
        <is>
          <t>U7-09</t>
        </is>
      </c>
      <c r="B1921" t="n">
        <v>7</v>
      </c>
      <c r="C1921" t="n">
        <v>3</v>
      </c>
      <c r="D1921" t="inlineStr">
        <is>
          <t>BAF20</t>
        </is>
      </c>
      <c r="E1921" t="inlineStr">
        <is>
          <t>BO</t>
        </is>
      </c>
      <c r="F1921" t="n">
        <v>9.4</v>
      </c>
      <c r="G1921" t="n">
        <v>36</v>
      </c>
      <c r="H1921" t="n">
        <v>6</v>
      </c>
      <c r="I1921" t="inlineStr">
        <is>
          <t>L</t>
        </is>
      </c>
      <c r="J1921" t="inlineStr">
        <is>
          <t>S</t>
        </is>
      </c>
      <c r="K1921" t="inlineStr"/>
      <c r="L1921" t="inlineStr"/>
      <c r="M1921" s="30">
        <f>0.005454*F1921^2</f>
        <v/>
      </c>
      <c r="N1921" s="31">
        <f>IF(D1921="BAF20",20/M1921,100)</f>
        <v/>
      </c>
      <c r="O1921" s="31">
        <f>M1921*N1921</f>
        <v/>
      </c>
      <c r="P1921" s="32">
        <f>0.0*N1921</f>
        <v/>
      </c>
    </row>
    <row r="1922">
      <c r="A1922" t="inlineStr">
        <is>
          <t>U7-09</t>
        </is>
      </c>
      <c r="B1922" t="n">
        <v>7</v>
      </c>
      <c r="C1922" t="n">
        <v>4</v>
      </c>
      <c r="D1922" t="inlineStr">
        <is>
          <t>BAF20</t>
        </is>
      </c>
      <c r="E1922" t="inlineStr">
        <is>
          <t>WF</t>
        </is>
      </c>
      <c r="F1922" t="n">
        <v>11.9</v>
      </c>
      <c r="G1922" t="n">
        <v>62</v>
      </c>
      <c r="H1922" t="n">
        <v>4</v>
      </c>
      <c r="I1922" t="inlineStr">
        <is>
          <t>L</t>
        </is>
      </c>
      <c r="J1922" t="inlineStr">
        <is>
          <t>S</t>
        </is>
      </c>
      <c r="K1922" t="inlineStr"/>
      <c r="L1922" t="inlineStr"/>
      <c r="M1922" s="30">
        <f>0.005454*F1922^2</f>
        <v/>
      </c>
      <c r="N1922" s="31">
        <f>IF(D1922="BAF20",20/M1922,100)</f>
        <v/>
      </c>
      <c r="O1922" s="31">
        <f>M1922*N1922</f>
        <v/>
      </c>
      <c r="P1922" s="32">
        <f>69.0*N1922</f>
        <v/>
      </c>
    </row>
    <row r="1923">
      <c r="A1923" t="inlineStr">
        <is>
          <t>U7-09</t>
        </is>
      </c>
      <c r="B1923" t="n">
        <v>7</v>
      </c>
      <c r="C1923" t="n">
        <v>5</v>
      </c>
      <c r="D1923" t="inlineStr">
        <is>
          <t>BAF20</t>
        </is>
      </c>
      <c r="E1923" t="inlineStr">
        <is>
          <t>IC</t>
        </is>
      </c>
      <c r="F1923" t="n">
        <v>19.9</v>
      </c>
      <c r="G1923" t="n">
        <v>71</v>
      </c>
      <c r="H1923" t="n">
        <v>11</v>
      </c>
      <c r="I1923" t="inlineStr">
        <is>
          <t>L</t>
        </is>
      </c>
      <c r="J1923" t="inlineStr">
        <is>
          <t>I</t>
        </is>
      </c>
      <c r="K1923" t="inlineStr"/>
      <c r="L1923" t="inlineStr"/>
      <c r="M1923" s="30">
        <f>0.005454*F1923^2</f>
        <v/>
      </c>
      <c r="N1923" s="31">
        <f>IF(D1923="BAF20",20/M1923,100)</f>
        <v/>
      </c>
      <c r="O1923" s="31">
        <f>M1923*N1923</f>
        <v/>
      </c>
      <c r="P1923" s="32">
        <f>242.0*N1923</f>
        <v/>
      </c>
    </row>
    <row r="1924">
      <c r="A1924" t="inlineStr">
        <is>
          <t>U7-09</t>
        </is>
      </c>
      <c r="B1924" t="n">
        <v>7</v>
      </c>
      <c r="C1924" t="n">
        <v>6</v>
      </c>
      <c r="D1924" t="inlineStr">
        <is>
          <t>BAF20</t>
        </is>
      </c>
      <c r="E1924" t="inlineStr">
        <is>
          <t>WF</t>
        </is>
      </c>
      <c r="F1924" t="n">
        <v>15.1</v>
      </c>
      <c r="G1924" t="n">
        <v>70</v>
      </c>
      <c r="H1924" t="n">
        <v>8</v>
      </c>
      <c r="I1924" t="inlineStr">
        <is>
          <t>L</t>
        </is>
      </c>
      <c r="J1924" t="inlineStr">
        <is>
          <t>S</t>
        </is>
      </c>
      <c r="K1924" t="inlineStr"/>
      <c r="L1924" t="inlineStr"/>
      <c r="M1924" s="30">
        <f>0.005454*F1924^2</f>
        <v/>
      </c>
      <c r="N1924" s="31">
        <f>IF(D1924="BAF20",20/M1924,100)</f>
        <v/>
      </c>
      <c r="O1924" s="31">
        <f>M1924*N1924</f>
        <v/>
      </c>
      <c r="P1924" s="32">
        <f>128.9*N1924</f>
        <v/>
      </c>
    </row>
    <row r="1925">
      <c r="A1925" t="inlineStr">
        <is>
          <t>U7-09</t>
        </is>
      </c>
      <c r="B1925" t="n">
        <v>7</v>
      </c>
      <c r="C1925" t="n">
        <v>7</v>
      </c>
      <c r="D1925" t="inlineStr">
        <is>
          <t>BAF20</t>
        </is>
      </c>
      <c r="E1925" t="inlineStr">
        <is>
          <t>PP</t>
        </is>
      </c>
      <c r="F1925" t="n">
        <v>12</v>
      </c>
      <c r="G1925" t="n">
        <v>58</v>
      </c>
      <c r="H1925" t="n">
        <v>14</v>
      </c>
      <c r="I1925" t="inlineStr">
        <is>
          <t>L</t>
        </is>
      </c>
      <c r="J1925" t="inlineStr">
        <is>
          <t>S</t>
        </is>
      </c>
      <c r="K1925" t="inlineStr"/>
      <c r="L1925" t="inlineStr"/>
      <c r="M1925" s="30">
        <f>0.005454*F1925^2</f>
        <v/>
      </c>
      <c r="N1925" s="31">
        <f>IF(D1925="BAF20",20/M1925,100)</f>
        <v/>
      </c>
      <c r="O1925" s="31">
        <f>M1925*N1925</f>
        <v/>
      </c>
      <c r="P1925" s="32">
        <f>58.9*N1925</f>
        <v/>
      </c>
    </row>
    <row r="1926">
      <c r="A1926" t="inlineStr">
        <is>
          <t>U7-09</t>
        </is>
      </c>
      <c r="B1926" t="n">
        <v>7</v>
      </c>
      <c r="C1926" t="n">
        <v>8</v>
      </c>
      <c r="D1926" t="inlineStr">
        <is>
          <t>BAF20</t>
        </is>
      </c>
      <c r="E1926" t="inlineStr">
        <is>
          <t>IC</t>
        </is>
      </c>
      <c r="F1926" t="n">
        <v>36.3</v>
      </c>
      <c r="G1926" t="n">
        <v>100</v>
      </c>
      <c r="H1926" t="n">
        <v>3</v>
      </c>
      <c r="I1926" t="inlineStr">
        <is>
          <t>L</t>
        </is>
      </c>
      <c r="J1926" t="inlineStr">
        <is>
          <t>D</t>
        </is>
      </c>
      <c r="K1926" t="inlineStr"/>
      <c r="L1926" t="inlineStr"/>
      <c r="M1926" s="30">
        <f>0.005454*F1926^2</f>
        <v/>
      </c>
      <c r="N1926" s="31">
        <f>IF(D1926="BAF20",20/M1926,100)</f>
        <v/>
      </c>
      <c r="O1926" s="31">
        <f>M1926*N1926</f>
        <v/>
      </c>
      <c r="P1926" s="32">
        <f>1625.0*N1926</f>
        <v/>
      </c>
    </row>
    <row r="1927">
      <c r="A1927" t="inlineStr">
        <is>
          <t>U7-09</t>
        </is>
      </c>
      <c r="B1927" t="n">
        <v>7</v>
      </c>
      <c r="C1927" t="n">
        <v>9</v>
      </c>
      <c r="D1927" t="inlineStr">
        <is>
          <t>BAF20</t>
        </is>
      </c>
      <c r="E1927" t="inlineStr">
        <is>
          <t>DF</t>
        </is>
      </c>
      <c r="F1927" t="n">
        <v>22.5</v>
      </c>
      <c r="G1927" t="n">
        <v>86</v>
      </c>
      <c r="H1927" t="n">
        <v>4</v>
      </c>
      <c r="I1927" t="inlineStr">
        <is>
          <t>L</t>
        </is>
      </c>
      <c r="J1927" t="inlineStr">
        <is>
          <t>I</t>
        </is>
      </c>
      <c r="K1927" t="inlineStr"/>
      <c r="L1927" t="inlineStr"/>
      <c r="M1927" s="30">
        <f>0.005454*F1927^2</f>
        <v/>
      </c>
      <c r="N1927" s="31">
        <f>IF(D1927="BAF20",20/M1927,100)</f>
        <v/>
      </c>
      <c r="O1927" s="31">
        <f>M1927*N1927</f>
        <v/>
      </c>
      <c r="P1927" s="32">
        <f>424.4*N1927</f>
        <v/>
      </c>
    </row>
    <row r="1928">
      <c r="A1928" t="inlineStr">
        <is>
          <t>U7-09</t>
        </is>
      </c>
      <c r="B1928" t="n">
        <v>7</v>
      </c>
      <c r="C1928" t="n">
        <v>10</v>
      </c>
      <c r="D1928" t="inlineStr">
        <is>
          <t>BAF20</t>
        </is>
      </c>
      <c r="E1928" t="inlineStr">
        <is>
          <t>BO</t>
        </is>
      </c>
      <c r="F1928" t="n">
        <v>23.7</v>
      </c>
      <c r="G1928" t="n">
        <v>69</v>
      </c>
      <c r="H1928" t="n">
        <v>16</v>
      </c>
      <c r="I1928" t="inlineStr">
        <is>
          <t>L</t>
        </is>
      </c>
      <c r="J1928" t="inlineStr">
        <is>
          <t>I</t>
        </is>
      </c>
      <c r="K1928" t="inlineStr"/>
      <c r="L1928" t="inlineStr"/>
      <c r="M1928" s="30">
        <f>0.005454*F1928^2</f>
        <v/>
      </c>
      <c r="N1928" s="31">
        <f>IF(D1928="BAF20",20/M1928,100)</f>
        <v/>
      </c>
      <c r="O1928" s="31">
        <f>M1928*N1928</f>
        <v/>
      </c>
      <c r="P1928" s="32">
        <f>305.6*N1928</f>
        <v/>
      </c>
    </row>
    <row r="1929">
      <c r="A1929" t="inlineStr">
        <is>
          <t>U7-09</t>
        </is>
      </c>
      <c r="B1929" t="n">
        <v>7</v>
      </c>
      <c r="C1929" t="n">
        <v>11</v>
      </c>
      <c r="D1929" t="inlineStr">
        <is>
          <t>BAF20</t>
        </is>
      </c>
      <c r="E1929" t="inlineStr">
        <is>
          <t>DF</t>
        </is>
      </c>
      <c r="F1929" t="n">
        <v>15.8</v>
      </c>
      <c r="G1929" t="n">
        <v>73</v>
      </c>
      <c r="H1929" t="n">
        <v>6</v>
      </c>
      <c r="I1929" t="inlineStr">
        <is>
          <t>L</t>
        </is>
      </c>
      <c r="J1929" t="inlineStr">
        <is>
          <t>S</t>
        </is>
      </c>
      <c r="K1929" t="inlineStr">
        <is>
          <t>Y</t>
        </is>
      </c>
      <c r="L1929" t="inlineStr"/>
      <c r="M1929" s="30">
        <f>0.005454*F1929^2</f>
        <v/>
      </c>
      <c r="N1929" s="31">
        <f>IF(D1929="BAF20",20/M1929,100)</f>
        <v/>
      </c>
      <c r="O1929" s="31">
        <f>M1929*N1929</f>
        <v/>
      </c>
      <c r="P1929" s="32">
        <f>152.6*N1929</f>
        <v/>
      </c>
    </row>
    <row r="1930">
      <c r="A1930" t="inlineStr">
        <is>
          <t>U7-09</t>
        </is>
      </c>
      <c r="B1930" t="n">
        <v>7</v>
      </c>
      <c r="C1930" t="n">
        <v>12</v>
      </c>
      <c r="D1930" t="inlineStr">
        <is>
          <t>BAF20</t>
        </is>
      </c>
      <c r="E1930" t="inlineStr">
        <is>
          <t>DF</t>
        </is>
      </c>
      <c r="F1930" t="n">
        <v>35.1</v>
      </c>
      <c r="G1930" t="n">
        <v>132</v>
      </c>
      <c r="H1930" t="n">
        <v>0</v>
      </c>
      <c r="I1930" t="inlineStr">
        <is>
          <t>L</t>
        </is>
      </c>
      <c r="J1930" t="inlineStr">
        <is>
          <t>D</t>
        </is>
      </c>
      <c r="K1930" t="inlineStr"/>
      <c r="L1930" t="inlineStr"/>
      <c r="M1930" s="30">
        <f>0.005454*F1930^2</f>
        <v/>
      </c>
      <c r="N1930" s="31">
        <f>IF(D1930="BAF20",20/M1930,100)</f>
        <v/>
      </c>
      <c r="O1930" s="31">
        <f>M1930*N1930</f>
        <v/>
      </c>
      <c r="P1930" s="32">
        <f>2031.4*N1930</f>
        <v/>
      </c>
    </row>
    <row r="1931">
      <c r="A1931" t="inlineStr">
        <is>
          <t>U7-09</t>
        </is>
      </c>
      <c r="B1931" t="n">
        <v>7</v>
      </c>
      <c r="C1931" t="n">
        <v>13</v>
      </c>
      <c r="D1931" t="inlineStr">
        <is>
          <t>BAF20</t>
        </is>
      </c>
      <c r="E1931" t="inlineStr">
        <is>
          <t>DF</t>
        </is>
      </c>
      <c r="F1931" t="n">
        <v>14.4</v>
      </c>
      <c r="G1931" t="n">
        <v>79</v>
      </c>
      <c r="H1931" t="n">
        <v>6</v>
      </c>
      <c r="I1931" t="inlineStr">
        <is>
          <t>L</t>
        </is>
      </c>
      <c r="J1931" t="inlineStr">
        <is>
          <t>S</t>
        </is>
      </c>
      <c r="K1931" t="inlineStr"/>
      <c r="L1931" t="inlineStr"/>
      <c r="M1931" s="30">
        <f>0.005454*F1931^2</f>
        <v/>
      </c>
      <c r="N1931" s="31">
        <f>IF(D1931="BAF20",20/M1931,100)</f>
        <v/>
      </c>
      <c r="O1931" s="31">
        <f>M1931*N1931</f>
        <v/>
      </c>
      <c r="P1931" s="32">
        <f>133.2*N1931</f>
        <v/>
      </c>
    </row>
    <row r="1932">
      <c r="A1932" t="inlineStr">
        <is>
          <t>U7-09</t>
        </is>
      </c>
      <c r="B1932" t="n">
        <v>7</v>
      </c>
      <c r="C1932" t="n">
        <v>14</v>
      </c>
      <c r="D1932" t="inlineStr">
        <is>
          <t>BAF20</t>
        </is>
      </c>
      <c r="E1932" t="inlineStr">
        <is>
          <t>PP</t>
        </is>
      </c>
      <c r="F1932" t="n">
        <v>36</v>
      </c>
      <c r="G1932" t="n">
        <v>119</v>
      </c>
      <c r="H1932" t="n">
        <v>1</v>
      </c>
      <c r="I1932" t="inlineStr">
        <is>
          <t>L</t>
        </is>
      </c>
      <c r="J1932" t="inlineStr">
        <is>
          <t>D</t>
        </is>
      </c>
      <c r="K1932" t="inlineStr">
        <is>
          <t>Y</t>
        </is>
      </c>
      <c r="L1932" t="inlineStr"/>
      <c r="M1932" s="30">
        <f>0.005454*F1932^2</f>
        <v/>
      </c>
      <c r="N1932" s="31">
        <f>IF(D1932="BAF20",20/M1932,100)</f>
        <v/>
      </c>
      <c r="O1932" s="31">
        <f>M1932*N1932</f>
        <v/>
      </c>
      <c r="P1932" s="32">
        <f>1932.7*N1932</f>
        <v/>
      </c>
    </row>
    <row r="1933">
      <c r="A1933" t="inlineStr">
        <is>
          <t>U7-09</t>
        </is>
      </c>
      <c r="B1933" t="n">
        <v>7</v>
      </c>
      <c r="C1933" t="n">
        <v>15</v>
      </c>
      <c r="D1933" t="inlineStr">
        <is>
          <t>FIX100</t>
        </is>
      </c>
      <c r="E1933" t="inlineStr">
        <is>
          <t>PP</t>
        </is>
      </c>
      <c r="F1933" t="n">
        <v>4.6</v>
      </c>
      <c r="G1933" t="n">
        <v>30</v>
      </c>
      <c r="H1933" t="n">
        <v>0</v>
      </c>
      <c r="I1933" t="inlineStr">
        <is>
          <t>L</t>
        </is>
      </c>
      <c r="J1933" t="inlineStr">
        <is>
          <t>S</t>
        </is>
      </c>
      <c r="K1933" t="inlineStr"/>
      <c r="L1933" t="inlineStr"/>
      <c r="M1933" s="30">
        <f>0.005454*F1933^2</f>
        <v/>
      </c>
      <c r="N1933" s="31">
        <f>IF(D1933="BAF20",20/M1933,100)</f>
        <v/>
      </c>
      <c r="O1933" s="31">
        <f>M1933*N1933</f>
        <v/>
      </c>
      <c r="P1933" s="32">
        <f>0.0*N1933</f>
        <v/>
      </c>
    </row>
    <row r="1934">
      <c r="A1934" t="inlineStr">
        <is>
          <t>U7-09</t>
        </is>
      </c>
      <c r="B1934" t="n">
        <v>7</v>
      </c>
      <c r="C1934" t="n">
        <v>16</v>
      </c>
      <c r="D1934" t="inlineStr">
        <is>
          <t>FIX100</t>
        </is>
      </c>
      <c r="E1934" t="inlineStr">
        <is>
          <t>PP</t>
        </is>
      </c>
      <c r="F1934" t="n">
        <v>4.8</v>
      </c>
      <c r="G1934" t="n">
        <v>27</v>
      </c>
      <c r="H1934" t="n">
        <v>0</v>
      </c>
      <c r="I1934" t="inlineStr">
        <is>
          <t>L</t>
        </is>
      </c>
      <c r="J1934" t="inlineStr">
        <is>
          <t>S</t>
        </is>
      </c>
      <c r="K1934" t="inlineStr"/>
      <c r="L1934" t="inlineStr"/>
      <c r="M1934" s="30">
        <f>0.005454*F1934^2</f>
        <v/>
      </c>
      <c r="N1934" s="31">
        <f>IF(D1934="BAF20",20/M1934,100)</f>
        <v/>
      </c>
      <c r="O1934" s="31">
        <f>M1934*N1934</f>
        <v/>
      </c>
      <c r="P1934" s="32">
        <f>0.0*N1934</f>
        <v/>
      </c>
    </row>
    <row r="1935">
      <c r="A1935" t="inlineStr">
        <is>
          <t>U7-10</t>
        </is>
      </c>
      <c r="B1935" t="n">
        <v>7</v>
      </c>
      <c r="C1935" t="n">
        <v>1</v>
      </c>
      <c r="D1935" t="inlineStr">
        <is>
          <t>BAF20</t>
        </is>
      </c>
      <c r="E1935" t="inlineStr">
        <is>
          <t>PP</t>
        </is>
      </c>
      <c r="F1935" t="n">
        <v>39.4</v>
      </c>
      <c r="G1935" t="n">
        <v>135</v>
      </c>
      <c r="H1935" t="n">
        <v>6</v>
      </c>
      <c r="I1935" t="inlineStr">
        <is>
          <t>L</t>
        </is>
      </c>
      <c r="J1935" t="inlineStr">
        <is>
          <t>D</t>
        </is>
      </c>
      <c r="K1935" t="inlineStr"/>
      <c r="L1935" t="inlineStr"/>
      <c r="M1935" s="30">
        <f>0.005454*F1935^2</f>
        <v/>
      </c>
      <c r="N1935" s="31">
        <f>IF(D1935="BAF20",20/M1935,100)</f>
        <v/>
      </c>
      <c r="O1935" s="31">
        <f>M1935*N1935</f>
        <v/>
      </c>
      <c r="P1935" s="32">
        <f>2518.0*N1935</f>
        <v/>
      </c>
    </row>
    <row r="1936">
      <c r="A1936" t="inlineStr">
        <is>
          <t>U7-10</t>
        </is>
      </c>
      <c r="B1936" t="n">
        <v>7</v>
      </c>
      <c r="C1936" t="n">
        <v>2</v>
      </c>
      <c r="D1936" t="inlineStr">
        <is>
          <t>BAF20</t>
        </is>
      </c>
      <c r="E1936" t="inlineStr">
        <is>
          <t>BO</t>
        </is>
      </c>
      <c r="F1936" t="n">
        <v>5</v>
      </c>
      <c r="G1936" t="n">
        <v>24</v>
      </c>
      <c r="H1936" t="n">
        <v>38</v>
      </c>
      <c r="I1936" t="inlineStr">
        <is>
          <t>L</t>
        </is>
      </c>
      <c r="J1936" t="inlineStr">
        <is>
          <t>S</t>
        </is>
      </c>
      <c r="K1936" t="inlineStr"/>
      <c r="L1936" t="inlineStr"/>
      <c r="M1936" s="30">
        <f>0.005454*F1936^2</f>
        <v/>
      </c>
      <c r="N1936" s="31">
        <f>IF(D1936="BAF20",20/M1936,100)</f>
        <v/>
      </c>
      <c r="O1936" s="31">
        <f>M1936*N1936</f>
        <v/>
      </c>
      <c r="P1936" s="32">
        <f>0.0*N1936</f>
        <v/>
      </c>
    </row>
    <row r="1937">
      <c r="A1937" t="inlineStr">
        <is>
          <t>U7-10</t>
        </is>
      </c>
      <c r="B1937" t="n">
        <v>7</v>
      </c>
      <c r="C1937" t="n">
        <v>3</v>
      </c>
      <c r="D1937" t="inlineStr">
        <is>
          <t>BAF20</t>
        </is>
      </c>
      <c r="E1937" t="inlineStr">
        <is>
          <t>IC</t>
        </is>
      </c>
      <c r="F1937" t="n">
        <v>35.1</v>
      </c>
      <c r="G1937" t="n">
        <v>104</v>
      </c>
      <c r="H1937" t="n">
        <v>2</v>
      </c>
      <c r="I1937" t="inlineStr">
        <is>
          <t>L</t>
        </is>
      </c>
      <c r="J1937" t="inlineStr">
        <is>
          <t>D</t>
        </is>
      </c>
      <c r="K1937" t="inlineStr">
        <is>
          <t>Y</t>
        </is>
      </c>
      <c r="L1937" t="inlineStr"/>
      <c r="M1937" s="30">
        <f>0.005454*F1937^2</f>
        <v/>
      </c>
      <c r="N1937" s="31">
        <f>IF(D1937="BAF20",20/M1937,100)</f>
        <v/>
      </c>
      <c r="O1937" s="31">
        <f>M1937*N1937</f>
        <v/>
      </c>
      <c r="P1937" s="32">
        <f>1568.5*N1937</f>
        <v/>
      </c>
    </row>
    <row r="1938">
      <c r="A1938" t="inlineStr">
        <is>
          <t>U7-10</t>
        </is>
      </c>
      <c r="B1938" t="n">
        <v>7</v>
      </c>
      <c r="C1938" t="n">
        <v>4</v>
      </c>
      <c r="D1938" t="inlineStr">
        <is>
          <t>BAF20</t>
        </is>
      </c>
      <c r="E1938" t="inlineStr">
        <is>
          <t>DF</t>
        </is>
      </c>
      <c r="F1938" t="n">
        <v>34.7</v>
      </c>
      <c r="G1938" t="n">
        <v>115</v>
      </c>
      <c r="H1938" t="n">
        <v>4</v>
      </c>
      <c r="I1938" t="inlineStr">
        <is>
          <t>L</t>
        </is>
      </c>
      <c r="J1938" t="inlineStr">
        <is>
          <t>D</t>
        </is>
      </c>
      <c r="K1938" t="inlineStr"/>
      <c r="L1938" t="inlineStr"/>
      <c r="M1938" s="30">
        <f>0.005454*F1938^2</f>
        <v/>
      </c>
      <c r="N1938" s="31">
        <f>IF(D1938="BAF20",20/M1938,100)</f>
        <v/>
      </c>
      <c r="O1938" s="31">
        <f>M1938*N1938</f>
        <v/>
      </c>
      <c r="P1938" s="32">
        <f>1650.6*N1938</f>
        <v/>
      </c>
    </row>
    <row r="1939">
      <c r="A1939" t="inlineStr">
        <is>
          <t>U7-10</t>
        </is>
      </c>
      <c r="B1939" t="n">
        <v>7</v>
      </c>
      <c r="C1939" t="n">
        <v>5</v>
      </c>
      <c r="D1939" t="inlineStr">
        <is>
          <t>BAF20</t>
        </is>
      </c>
      <c r="E1939" t="inlineStr">
        <is>
          <t>WF</t>
        </is>
      </c>
      <c r="F1939" t="n">
        <v>47.6</v>
      </c>
      <c r="G1939" t="n">
        <v>154</v>
      </c>
      <c r="H1939" t="n">
        <v>1</v>
      </c>
      <c r="I1939" t="inlineStr">
        <is>
          <t>L</t>
        </is>
      </c>
      <c r="J1939" t="inlineStr">
        <is>
          <t>D</t>
        </is>
      </c>
      <c r="K1939" t="inlineStr">
        <is>
          <t>Y</t>
        </is>
      </c>
      <c r="L1939" t="inlineStr"/>
      <c r="M1939" s="30">
        <f>0.005454*F1939^2</f>
        <v/>
      </c>
      <c r="N1939" s="31">
        <f>IF(D1939="BAF20",20/M1939,100)</f>
        <v/>
      </c>
      <c r="O1939" s="31">
        <f>M1939*N1939</f>
        <v/>
      </c>
      <c r="P1939" s="32">
        <f>4415.4*N1939</f>
        <v/>
      </c>
    </row>
    <row r="1940">
      <c r="A1940" t="inlineStr">
        <is>
          <t>U7-10</t>
        </is>
      </c>
      <c r="B1940" t="n">
        <v>7</v>
      </c>
      <c r="C1940" t="n">
        <v>6</v>
      </c>
      <c r="D1940" t="inlineStr">
        <is>
          <t>BAF20</t>
        </is>
      </c>
      <c r="E1940" t="inlineStr">
        <is>
          <t>IC</t>
        </is>
      </c>
      <c r="F1940" t="n">
        <v>20.4</v>
      </c>
      <c r="G1940" t="n">
        <v>69</v>
      </c>
      <c r="H1940" t="n">
        <v>10</v>
      </c>
      <c r="I1940" t="inlineStr">
        <is>
          <t>L</t>
        </is>
      </c>
      <c r="J1940" t="inlineStr">
        <is>
          <t>I</t>
        </is>
      </c>
      <c r="K1940" t="inlineStr">
        <is>
          <t>Y</t>
        </is>
      </c>
      <c r="L1940" t="inlineStr"/>
      <c r="M1940" s="30">
        <f>0.005454*F1940^2</f>
        <v/>
      </c>
      <c r="N1940" s="31">
        <f>IF(D1940="BAF20",20/M1940,100)</f>
        <v/>
      </c>
      <c r="O1940" s="31">
        <f>M1940*N1940</f>
        <v/>
      </c>
      <c r="P1940" s="32">
        <f>252.3*N1940</f>
        <v/>
      </c>
    </row>
    <row r="1941">
      <c r="A1941" t="inlineStr">
        <is>
          <t>U7-10</t>
        </is>
      </c>
      <c r="B1941" t="n">
        <v>7</v>
      </c>
      <c r="C1941" t="n">
        <v>7</v>
      </c>
      <c r="D1941" t="inlineStr">
        <is>
          <t>BAF20</t>
        </is>
      </c>
      <c r="E1941" t="inlineStr">
        <is>
          <t>DF</t>
        </is>
      </c>
      <c r="F1941" t="n">
        <v>48.8</v>
      </c>
      <c r="G1941" t="n">
        <v>141</v>
      </c>
      <c r="H1941" t="n">
        <v>4</v>
      </c>
      <c r="I1941" t="inlineStr">
        <is>
          <t>L</t>
        </is>
      </c>
      <c r="J1941" t="inlineStr">
        <is>
          <t>D</t>
        </is>
      </c>
      <c r="K1941" t="inlineStr"/>
      <c r="L1941" t="inlineStr"/>
      <c r="M1941" s="30">
        <f>0.005454*F1941^2</f>
        <v/>
      </c>
      <c r="N1941" s="31">
        <f>IF(D1941="BAF20",20/M1941,100)</f>
        <v/>
      </c>
      <c r="O1941" s="31">
        <f>M1941*N1941</f>
        <v/>
      </c>
      <c r="P1941" s="32">
        <f>4120.3*N1941</f>
        <v/>
      </c>
    </row>
    <row r="1942">
      <c r="A1942" t="inlineStr">
        <is>
          <t>U7-10</t>
        </is>
      </c>
      <c r="B1942" t="n">
        <v>7</v>
      </c>
      <c r="C1942" t="n">
        <v>8</v>
      </c>
      <c r="D1942" t="inlineStr">
        <is>
          <t>BAF20</t>
        </is>
      </c>
      <c r="E1942" t="inlineStr">
        <is>
          <t>WF</t>
        </is>
      </c>
      <c r="F1942" t="n">
        <v>56.8</v>
      </c>
      <c r="G1942" t="n">
        <v>161</v>
      </c>
      <c r="H1942" t="n">
        <v>0</v>
      </c>
      <c r="I1942" t="inlineStr">
        <is>
          <t>L</t>
        </is>
      </c>
      <c r="J1942" t="inlineStr">
        <is>
          <t>D</t>
        </is>
      </c>
      <c r="K1942" t="inlineStr"/>
      <c r="L1942" t="inlineStr"/>
      <c r="M1942" s="30">
        <f>0.005454*F1942^2</f>
        <v/>
      </c>
      <c r="N1942" s="31">
        <f>IF(D1942="BAF20",20/M1942,100)</f>
        <v/>
      </c>
      <c r="O1942" s="31">
        <f>M1942*N1942</f>
        <v/>
      </c>
      <c r="P1942" s="32">
        <f>6639.3*N1942</f>
        <v/>
      </c>
    </row>
    <row r="1943">
      <c r="A1943" t="inlineStr">
        <is>
          <t>U7-11</t>
        </is>
      </c>
      <c r="B1943" t="n">
        <v>7</v>
      </c>
      <c r="C1943" t="n">
        <v>1</v>
      </c>
      <c r="D1943" t="inlineStr">
        <is>
          <t>BAF20</t>
        </is>
      </c>
      <c r="E1943" t="inlineStr">
        <is>
          <t>PP</t>
        </is>
      </c>
      <c r="F1943" t="n">
        <v>34.9</v>
      </c>
      <c r="G1943" t="n">
        <v>126</v>
      </c>
      <c r="H1943" t="n">
        <v>9</v>
      </c>
      <c r="I1943" t="inlineStr">
        <is>
          <t>L</t>
        </is>
      </c>
      <c r="J1943" t="inlineStr">
        <is>
          <t>D</t>
        </is>
      </c>
      <c r="K1943" t="inlineStr"/>
      <c r="L1943" t="inlineStr"/>
      <c r="M1943" s="30">
        <f>0.005454*F1943^2</f>
        <v/>
      </c>
      <c r="N1943" s="31">
        <f>IF(D1943="BAF20",20/M1943,100)</f>
        <v/>
      </c>
      <c r="O1943" s="31">
        <f>M1943*N1943</f>
        <v/>
      </c>
      <c r="P1943" s="32">
        <f>1739.3*N1943</f>
        <v/>
      </c>
    </row>
    <row r="1944">
      <c r="A1944" t="inlineStr">
        <is>
          <t>U7-11</t>
        </is>
      </c>
      <c r="B1944" t="n">
        <v>7</v>
      </c>
      <c r="C1944" t="n">
        <v>2</v>
      </c>
      <c r="D1944" t="inlineStr">
        <is>
          <t>BAF20</t>
        </is>
      </c>
      <c r="E1944" t="inlineStr">
        <is>
          <t>WF</t>
        </is>
      </c>
      <c r="F1944" t="n">
        <v>38.7</v>
      </c>
      <c r="G1944" t="n">
        <v>123</v>
      </c>
      <c r="H1944" t="n">
        <v>11</v>
      </c>
      <c r="I1944" t="inlineStr">
        <is>
          <t>L</t>
        </is>
      </c>
      <c r="J1944" t="inlineStr">
        <is>
          <t>D</t>
        </is>
      </c>
      <c r="K1944" t="inlineStr">
        <is>
          <t>Y</t>
        </is>
      </c>
      <c r="L1944" t="inlineStr"/>
      <c r="M1944" s="30">
        <f>0.005454*F1944^2</f>
        <v/>
      </c>
      <c r="N1944" s="31">
        <f>IF(D1944="BAF20",20/M1944,100)</f>
        <v/>
      </c>
      <c r="O1944" s="31">
        <f>M1944*N1944</f>
        <v/>
      </c>
      <c r="P1944" s="32">
        <f>2095.6*N1944</f>
        <v/>
      </c>
    </row>
    <row r="1945">
      <c r="A1945" t="inlineStr">
        <is>
          <t>U7-11</t>
        </is>
      </c>
      <c r="B1945" t="n">
        <v>7</v>
      </c>
      <c r="C1945" t="n">
        <v>3</v>
      </c>
      <c r="D1945" t="inlineStr">
        <is>
          <t>BAF20</t>
        </is>
      </c>
      <c r="E1945" t="inlineStr">
        <is>
          <t>WF</t>
        </is>
      </c>
      <c r="F1945" t="n">
        <v>19.8</v>
      </c>
      <c r="G1945" t="n">
        <v>93</v>
      </c>
      <c r="H1945" t="n">
        <v>12</v>
      </c>
      <c r="I1945" t="inlineStr">
        <is>
          <t>L</t>
        </is>
      </c>
      <c r="J1945" t="inlineStr">
        <is>
          <t>I</t>
        </is>
      </c>
      <c r="K1945" t="inlineStr"/>
      <c r="L1945" t="inlineStr"/>
      <c r="M1945" s="30">
        <f>0.005454*F1945^2</f>
        <v/>
      </c>
      <c r="N1945" s="31">
        <f>IF(D1945="BAF20",20/M1945,100)</f>
        <v/>
      </c>
      <c r="O1945" s="31">
        <f>M1945*N1945</f>
        <v/>
      </c>
      <c r="P1945" s="32">
        <f>309.7*N1945</f>
        <v/>
      </c>
    </row>
    <row r="1946">
      <c r="A1946" t="inlineStr">
        <is>
          <t>U7-11</t>
        </is>
      </c>
      <c r="B1946" t="n">
        <v>7</v>
      </c>
      <c r="C1946" t="n">
        <v>4</v>
      </c>
      <c r="D1946" t="inlineStr">
        <is>
          <t>BAF20</t>
        </is>
      </c>
      <c r="E1946" t="inlineStr">
        <is>
          <t>IC</t>
        </is>
      </c>
      <c r="F1946" t="n">
        <v>13.5</v>
      </c>
      <c r="G1946" t="n">
        <v>46</v>
      </c>
      <c r="H1946" t="n">
        <v>6</v>
      </c>
      <c r="I1946" t="inlineStr">
        <is>
          <t>L</t>
        </is>
      </c>
      <c r="J1946" t="inlineStr">
        <is>
          <t>S</t>
        </is>
      </c>
      <c r="K1946" t="inlineStr">
        <is>
          <t>Y</t>
        </is>
      </c>
      <c r="L1946" t="inlineStr"/>
      <c r="M1946" s="30">
        <f>0.005454*F1946^2</f>
        <v/>
      </c>
      <c r="N1946" s="31">
        <f>IF(D1946="BAF20",20/M1946,100)</f>
        <v/>
      </c>
      <c r="O1946" s="31">
        <f>M1946*N1946</f>
        <v/>
      </c>
      <c r="P1946" s="32">
        <f>66.9*N1946</f>
        <v/>
      </c>
    </row>
    <row r="1947">
      <c r="A1947" t="inlineStr">
        <is>
          <t>U7-11</t>
        </is>
      </c>
      <c r="B1947" t="n">
        <v>7</v>
      </c>
      <c r="C1947" t="n">
        <v>5</v>
      </c>
      <c r="D1947" t="inlineStr">
        <is>
          <t>BAF20</t>
        </is>
      </c>
      <c r="E1947" t="inlineStr">
        <is>
          <t>SP</t>
        </is>
      </c>
      <c r="F1947" t="n">
        <v>10.5</v>
      </c>
      <c r="G1947" t="n">
        <v>56</v>
      </c>
      <c r="H1947" t="n">
        <v>3</v>
      </c>
      <c r="I1947" t="inlineStr">
        <is>
          <t>L</t>
        </is>
      </c>
      <c r="J1947" t="inlineStr">
        <is>
          <t>S</t>
        </is>
      </c>
      <c r="K1947" t="inlineStr"/>
      <c r="L1947" t="inlineStr"/>
      <c r="M1947" s="30">
        <f>0.005454*F1947^2</f>
        <v/>
      </c>
      <c r="N1947" s="31">
        <f>IF(D1947="BAF20",20/M1947,100)</f>
        <v/>
      </c>
      <c r="O1947" s="31">
        <f>M1947*N1947</f>
        <v/>
      </c>
      <c r="P1947" s="32">
        <f>47.5*N1947</f>
        <v/>
      </c>
    </row>
    <row r="1948">
      <c r="A1948" t="inlineStr">
        <is>
          <t>U7-11</t>
        </is>
      </c>
      <c r="B1948" t="n">
        <v>7</v>
      </c>
      <c r="C1948" t="n">
        <v>6</v>
      </c>
      <c r="D1948" t="inlineStr">
        <is>
          <t>BAF20</t>
        </is>
      </c>
      <c r="E1948" t="inlineStr">
        <is>
          <t>WF</t>
        </is>
      </c>
      <c r="F1948" t="n">
        <v>18.9</v>
      </c>
      <c r="G1948" t="n">
        <v>85</v>
      </c>
      <c r="H1948" t="n">
        <v>3</v>
      </c>
      <c r="I1948" t="inlineStr">
        <is>
          <t>L</t>
        </is>
      </c>
      <c r="J1948" t="inlineStr">
        <is>
          <t>I</t>
        </is>
      </c>
      <c r="K1948" t="inlineStr">
        <is>
          <t>Y</t>
        </is>
      </c>
      <c r="L1948" t="inlineStr"/>
      <c r="M1948" s="30">
        <f>0.005454*F1948^2</f>
        <v/>
      </c>
      <c r="N1948" s="31">
        <f>IF(D1948="BAF20",20/M1948,100)</f>
        <v/>
      </c>
      <c r="O1948" s="31">
        <f>M1948*N1948</f>
        <v/>
      </c>
      <c r="P1948" s="32">
        <f>279.4*N1948</f>
        <v/>
      </c>
    </row>
    <row r="1949">
      <c r="A1949" t="inlineStr">
        <is>
          <t>U7-11</t>
        </is>
      </c>
      <c r="B1949" t="n">
        <v>7</v>
      </c>
      <c r="C1949" t="n">
        <v>7</v>
      </c>
      <c r="D1949" t="inlineStr">
        <is>
          <t>BAF20</t>
        </is>
      </c>
      <c r="E1949" t="inlineStr">
        <is>
          <t>WF</t>
        </is>
      </c>
      <c r="F1949" t="n">
        <v>17</v>
      </c>
      <c r="G1949" t="n">
        <v>85</v>
      </c>
      <c r="H1949" t="n">
        <v>17</v>
      </c>
      <c r="I1949" t="inlineStr">
        <is>
          <t>L</t>
        </is>
      </c>
      <c r="J1949" t="inlineStr">
        <is>
          <t>S</t>
        </is>
      </c>
      <c r="K1949" t="inlineStr"/>
      <c r="L1949" t="inlineStr"/>
      <c r="M1949" s="30">
        <f>0.005454*F1949^2</f>
        <v/>
      </c>
      <c r="N1949" s="31">
        <f>IF(D1949="BAF20",20/M1949,100)</f>
        <v/>
      </c>
      <c r="O1949" s="31">
        <f>M1949*N1949</f>
        <v/>
      </c>
      <c r="P1949" s="32">
        <f>186.2*N1949</f>
        <v/>
      </c>
    </row>
    <row r="1950">
      <c r="A1950" t="inlineStr">
        <is>
          <t>U7-11</t>
        </is>
      </c>
      <c r="B1950" t="n">
        <v>7</v>
      </c>
      <c r="C1950" t="n">
        <v>8</v>
      </c>
      <c r="D1950" t="inlineStr">
        <is>
          <t>FIX100</t>
        </is>
      </c>
      <c r="E1950" t="inlineStr">
        <is>
          <t>BO</t>
        </is>
      </c>
      <c r="F1950" t="n">
        <v>4.7</v>
      </c>
      <c r="G1950" t="n">
        <v>29</v>
      </c>
      <c r="H1950" t="n">
        <v>0</v>
      </c>
      <c r="I1950" t="inlineStr">
        <is>
          <t>L</t>
        </is>
      </c>
      <c r="J1950" t="inlineStr">
        <is>
          <t>S</t>
        </is>
      </c>
      <c r="K1950" t="inlineStr"/>
      <c r="L1950" t="inlineStr"/>
      <c r="M1950" s="30">
        <f>0.005454*F1950^2</f>
        <v/>
      </c>
      <c r="N1950" s="31">
        <f>IF(D1950="BAF20",20/M1950,100)</f>
        <v/>
      </c>
      <c r="O1950" s="31">
        <f>M1950*N1950</f>
        <v/>
      </c>
      <c r="P1950" s="32">
        <f>0.0*N1950</f>
        <v/>
      </c>
    </row>
    <row r="1951">
      <c r="A1951" t="inlineStr">
        <is>
          <t>U7-12</t>
        </is>
      </c>
      <c r="B1951" t="n">
        <v>7</v>
      </c>
      <c r="C1951" t="n">
        <v>1</v>
      </c>
      <c r="D1951" t="inlineStr">
        <is>
          <t>BAF20</t>
        </is>
      </c>
      <c r="E1951" t="inlineStr">
        <is>
          <t>WF</t>
        </is>
      </c>
      <c r="F1951" t="n">
        <v>18.9</v>
      </c>
      <c r="G1951" t="n">
        <v>86</v>
      </c>
      <c r="H1951" t="n">
        <v>5</v>
      </c>
      <c r="I1951" t="inlineStr">
        <is>
          <t>L</t>
        </is>
      </c>
      <c r="J1951" t="inlineStr">
        <is>
          <t>I</t>
        </is>
      </c>
      <c r="K1951" t="inlineStr">
        <is>
          <t>Y</t>
        </is>
      </c>
      <c r="L1951" t="inlineStr"/>
      <c r="M1951" s="30">
        <f>0.005454*F1951^2</f>
        <v/>
      </c>
      <c r="N1951" s="31">
        <f>IF(D1951="BAF20",20/M1951,100)</f>
        <v/>
      </c>
      <c r="O1951" s="31">
        <f>M1951*N1951</f>
        <v/>
      </c>
      <c r="P1951" s="32">
        <f>276.8*N1951</f>
        <v/>
      </c>
    </row>
    <row r="1952">
      <c r="A1952" t="inlineStr">
        <is>
          <t>U7-12</t>
        </is>
      </c>
      <c r="B1952" t="n">
        <v>7</v>
      </c>
      <c r="C1952" t="n">
        <v>2</v>
      </c>
      <c r="D1952" t="inlineStr">
        <is>
          <t>BAF20</t>
        </is>
      </c>
      <c r="E1952" t="inlineStr">
        <is>
          <t>DF</t>
        </is>
      </c>
      <c r="F1952" t="n">
        <v>25.3</v>
      </c>
      <c r="G1952" t="n">
        <v>103</v>
      </c>
      <c r="H1952" t="n">
        <v>1</v>
      </c>
      <c r="I1952" t="inlineStr">
        <is>
          <t>L</t>
        </is>
      </c>
      <c r="J1952" t="inlineStr">
        <is>
          <t>C</t>
        </is>
      </c>
      <c r="K1952" t="inlineStr"/>
      <c r="L1952" t="inlineStr"/>
      <c r="M1952" s="30">
        <f>0.005454*F1952^2</f>
        <v/>
      </c>
      <c r="N1952" s="31">
        <f>IF(D1952="BAF20",20/M1952,100)</f>
        <v/>
      </c>
      <c r="O1952" s="31">
        <f>M1952*N1952</f>
        <v/>
      </c>
      <c r="P1952" s="32">
        <f>696.6*N1952</f>
        <v/>
      </c>
    </row>
    <row r="1953">
      <c r="A1953" t="inlineStr">
        <is>
          <t>U7-12</t>
        </is>
      </c>
      <c r="B1953" t="n">
        <v>7</v>
      </c>
      <c r="C1953" t="n">
        <v>3</v>
      </c>
      <c r="D1953" t="inlineStr">
        <is>
          <t>BAF20</t>
        </is>
      </c>
      <c r="E1953" t="inlineStr">
        <is>
          <t>SP</t>
        </is>
      </c>
      <c r="F1953" t="n">
        <v>23.5</v>
      </c>
      <c r="G1953" t="n">
        <v>97</v>
      </c>
      <c r="H1953" t="n">
        <v>5</v>
      </c>
      <c r="I1953" t="inlineStr">
        <is>
          <t>L</t>
        </is>
      </c>
      <c r="J1953" t="inlineStr">
        <is>
          <t>I</t>
        </is>
      </c>
      <c r="K1953" t="inlineStr"/>
      <c r="L1953" t="inlineStr"/>
      <c r="M1953" s="30">
        <f>0.005454*F1953^2</f>
        <v/>
      </c>
      <c r="N1953" s="31">
        <f>IF(D1953="BAF20",20/M1953,100)</f>
        <v/>
      </c>
      <c r="O1953" s="31">
        <f>M1953*N1953</f>
        <v/>
      </c>
      <c r="P1953" s="32">
        <f>526.1*N1953</f>
        <v/>
      </c>
    </row>
    <row r="1954">
      <c r="A1954" t="inlineStr">
        <is>
          <t>U7-12</t>
        </is>
      </c>
      <c r="B1954" t="n">
        <v>7</v>
      </c>
      <c r="C1954" t="n">
        <v>4</v>
      </c>
      <c r="D1954" t="inlineStr">
        <is>
          <t>BAF20</t>
        </is>
      </c>
      <c r="E1954" t="inlineStr">
        <is>
          <t>DF</t>
        </is>
      </c>
      <c r="F1954" t="n">
        <v>21</v>
      </c>
      <c r="G1954" t="n">
        <v>96</v>
      </c>
      <c r="H1954" t="n">
        <v>5</v>
      </c>
      <c r="I1954" t="inlineStr">
        <is>
          <t>L</t>
        </is>
      </c>
      <c r="J1954" t="inlineStr">
        <is>
          <t>I</t>
        </is>
      </c>
      <c r="K1954" t="inlineStr"/>
      <c r="L1954" t="inlineStr"/>
      <c r="M1954" s="30">
        <f>0.005454*F1954^2</f>
        <v/>
      </c>
      <c r="N1954" s="31">
        <f>IF(D1954="BAF20",20/M1954,100)</f>
        <v/>
      </c>
      <c r="O1954" s="31">
        <f>M1954*N1954</f>
        <v/>
      </c>
      <c r="P1954" s="32">
        <f>397.2*N1954</f>
        <v/>
      </c>
    </row>
    <row r="1955">
      <c r="A1955" t="inlineStr">
        <is>
          <t>U7-12</t>
        </is>
      </c>
      <c r="B1955" t="n">
        <v>7</v>
      </c>
      <c r="C1955" t="n">
        <v>5</v>
      </c>
      <c r="D1955" t="inlineStr">
        <is>
          <t>BAF20</t>
        </is>
      </c>
      <c r="E1955" t="inlineStr">
        <is>
          <t>BO</t>
        </is>
      </c>
      <c r="F1955" t="n">
        <v>17.4</v>
      </c>
      <c r="G1955" t="n">
        <v>51</v>
      </c>
      <c r="H1955" t="n">
        <v>41</v>
      </c>
      <c r="I1955" t="inlineStr">
        <is>
          <t>L</t>
        </is>
      </c>
      <c r="J1955" t="inlineStr">
        <is>
          <t>S</t>
        </is>
      </c>
      <c r="K1955" t="inlineStr"/>
      <c r="L1955" t="inlineStr"/>
      <c r="M1955" s="30">
        <f>0.005454*F1955^2</f>
        <v/>
      </c>
      <c r="N1955" s="31">
        <f>IF(D1955="BAF20",20/M1955,100)</f>
        <v/>
      </c>
      <c r="O1955" s="31">
        <f>M1955*N1955</f>
        <v/>
      </c>
      <c r="P1955" s="32">
        <f>75.9*N1955</f>
        <v/>
      </c>
    </row>
    <row r="1956">
      <c r="A1956" t="inlineStr">
        <is>
          <t>U7-12</t>
        </is>
      </c>
      <c r="B1956" t="n">
        <v>7</v>
      </c>
      <c r="C1956" t="n">
        <v>6</v>
      </c>
      <c r="D1956" t="inlineStr">
        <is>
          <t>BAF20</t>
        </is>
      </c>
      <c r="E1956" t="inlineStr">
        <is>
          <t>PP</t>
        </is>
      </c>
      <c r="F1956" t="n">
        <v>15.2</v>
      </c>
      <c r="G1956" t="n">
        <v>76</v>
      </c>
      <c r="H1956" t="n">
        <v>4</v>
      </c>
      <c r="I1956" t="inlineStr">
        <is>
          <t>L</t>
        </is>
      </c>
      <c r="J1956" t="inlineStr">
        <is>
          <t>S</t>
        </is>
      </c>
      <c r="K1956" t="inlineStr"/>
      <c r="L1956" t="inlineStr"/>
      <c r="M1956" s="30">
        <f>0.005454*F1956^2</f>
        <v/>
      </c>
      <c r="N1956" s="31">
        <f>IF(D1956="BAF20",20/M1956,100)</f>
        <v/>
      </c>
      <c r="O1956" s="31">
        <f>M1956*N1956</f>
        <v/>
      </c>
      <c r="P1956" s="32">
        <f>148.3*N1956</f>
        <v/>
      </c>
    </row>
    <row r="1957">
      <c r="A1957" t="inlineStr">
        <is>
          <t>U7-12</t>
        </is>
      </c>
      <c r="B1957" t="n">
        <v>7</v>
      </c>
      <c r="C1957" t="n">
        <v>7</v>
      </c>
      <c r="D1957" t="inlineStr">
        <is>
          <t>BAF20</t>
        </is>
      </c>
      <c r="E1957" t="inlineStr">
        <is>
          <t>PP</t>
        </is>
      </c>
      <c r="F1957" t="n">
        <v>6.4</v>
      </c>
      <c r="G1957" t="n">
        <v>31</v>
      </c>
      <c r="H1957" t="n">
        <v>1</v>
      </c>
      <c r="I1957" t="inlineStr">
        <is>
          <t>L</t>
        </is>
      </c>
      <c r="J1957" t="inlineStr">
        <is>
          <t>S</t>
        </is>
      </c>
      <c r="K1957" t="inlineStr"/>
      <c r="L1957" t="inlineStr"/>
      <c r="M1957" s="30">
        <f>0.005454*F1957^2</f>
        <v/>
      </c>
      <c r="N1957" s="31">
        <f>IF(D1957="BAF20",20/M1957,100)</f>
        <v/>
      </c>
      <c r="O1957" s="31">
        <f>M1957*N1957</f>
        <v/>
      </c>
      <c r="P1957" s="32">
        <f>0.0*N1957</f>
        <v/>
      </c>
    </row>
    <row r="1958">
      <c r="A1958" t="inlineStr">
        <is>
          <t>U7-12</t>
        </is>
      </c>
      <c r="B1958" t="n">
        <v>7</v>
      </c>
      <c r="C1958" t="n">
        <v>8</v>
      </c>
      <c r="D1958" t="inlineStr">
        <is>
          <t>BAF20</t>
        </is>
      </c>
      <c r="E1958" t="inlineStr">
        <is>
          <t>DF</t>
        </is>
      </c>
      <c r="F1958" t="n">
        <v>21.7</v>
      </c>
      <c r="G1958" t="n">
        <v>105</v>
      </c>
      <c r="H1958" t="n">
        <v>5</v>
      </c>
      <c r="I1958" t="inlineStr">
        <is>
          <t>L</t>
        </is>
      </c>
      <c r="J1958" t="inlineStr">
        <is>
          <t>I</t>
        </is>
      </c>
      <c r="K1958" t="inlineStr"/>
      <c r="L1958" t="inlineStr"/>
      <c r="M1958" s="30">
        <f>0.005454*F1958^2</f>
        <v/>
      </c>
      <c r="N1958" s="31">
        <f>IF(D1958="BAF20",20/M1958,100)</f>
        <v/>
      </c>
      <c r="O1958" s="31">
        <f>M1958*N1958</f>
        <v/>
      </c>
      <c r="P1958" s="32">
        <f>469.9*N1958</f>
        <v/>
      </c>
    </row>
    <row r="1959">
      <c r="A1959" t="inlineStr">
        <is>
          <t>U7-12</t>
        </is>
      </c>
      <c r="B1959" t="n">
        <v>7</v>
      </c>
      <c r="C1959" t="n">
        <v>9</v>
      </c>
      <c r="D1959" t="inlineStr">
        <is>
          <t>BAF20</t>
        </is>
      </c>
      <c r="E1959" t="inlineStr">
        <is>
          <t>PP</t>
        </is>
      </c>
      <c r="F1959" t="n">
        <v>32.5</v>
      </c>
      <c r="G1959" t="n">
        <v>135</v>
      </c>
      <c r="H1959" t="n">
        <v>1</v>
      </c>
      <c r="I1959" t="inlineStr">
        <is>
          <t>L</t>
        </is>
      </c>
      <c r="J1959" t="inlineStr">
        <is>
          <t>C</t>
        </is>
      </c>
      <c r="K1959" t="inlineStr"/>
      <c r="L1959" t="inlineStr"/>
      <c r="M1959" s="30">
        <f>0.005454*F1959^2</f>
        <v/>
      </c>
      <c r="N1959" s="31">
        <f>IF(D1959="BAF20",20/M1959,100)</f>
        <v/>
      </c>
      <c r="O1959" s="31">
        <f>M1959*N1959</f>
        <v/>
      </c>
      <c r="P1959" s="32">
        <f>1695.3*N1959</f>
        <v/>
      </c>
    </row>
    <row r="1960">
      <c r="A1960" t="inlineStr">
        <is>
          <t>U7-12</t>
        </is>
      </c>
      <c r="B1960" t="n">
        <v>7</v>
      </c>
      <c r="C1960" t="n">
        <v>10</v>
      </c>
      <c r="D1960" t="inlineStr">
        <is>
          <t>BAF20</t>
        </is>
      </c>
      <c r="E1960" t="inlineStr">
        <is>
          <t>WF</t>
        </is>
      </c>
      <c r="F1960" t="n">
        <v>23.4</v>
      </c>
      <c r="G1960" t="n">
        <v>103</v>
      </c>
      <c r="H1960" t="n">
        <v>14</v>
      </c>
      <c r="I1960" t="inlineStr">
        <is>
          <t>L</t>
        </is>
      </c>
      <c r="J1960" t="inlineStr">
        <is>
          <t>I</t>
        </is>
      </c>
      <c r="K1960" t="inlineStr">
        <is>
          <t>Y</t>
        </is>
      </c>
      <c r="L1960" t="inlineStr"/>
      <c r="M1960" s="30">
        <f>0.005454*F1960^2</f>
        <v/>
      </c>
      <c r="N1960" s="31">
        <f>IF(D1960="BAF20",20/M1960,100)</f>
        <v/>
      </c>
      <c r="O1960" s="31">
        <f>M1960*N1960</f>
        <v/>
      </c>
      <c r="P1960" s="32">
        <f>500.6*N1960</f>
        <v/>
      </c>
    </row>
    <row r="1961">
      <c r="A1961" t="inlineStr">
        <is>
          <t>U7-12</t>
        </is>
      </c>
      <c r="B1961" t="n">
        <v>7</v>
      </c>
      <c r="C1961" t="n">
        <v>11</v>
      </c>
      <c r="D1961" t="inlineStr">
        <is>
          <t>BAF20</t>
        </is>
      </c>
      <c r="E1961" t="inlineStr">
        <is>
          <t>WF</t>
        </is>
      </c>
      <c r="F1961" t="n">
        <v>21.8</v>
      </c>
      <c r="G1961" t="n">
        <v>86</v>
      </c>
      <c r="H1961" t="n">
        <v>18</v>
      </c>
      <c r="I1961" t="inlineStr">
        <is>
          <t>L</t>
        </is>
      </c>
      <c r="J1961" t="inlineStr">
        <is>
          <t>I</t>
        </is>
      </c>
      <c r="K1961" t="inlineStr">
        <is>
          <t>Y</t>
        </is>
      </c>
      <c r="L1961" t="inlineStr"/>
      <c r="M1961" s="30">
        <f>0.005454*F1961^2</f>
        <v/>
      </c>
      <c r="N1961" s="31">
        <f>IF(D1961="BAF20",20/M1961,100)</f>
        <v/>
      </c>
      <c r="O1961" s="31">
        <f>M1961*N1961</f>
        <v/>
      </c>
      <c r="P1961" s="32">
        <f>335.9*N1961</f>
        <v/>
      </c>
    </row>
    <row r="1962">
      <c r="A1962" t="inlineStr">
        <is>
          <t>U7-12</t>
        </is>
      </c>
      <c r="B1962" t="n">
        <v>7</v>
      </c>
      <c r="C1962" t="n">
        <v>12</v>
      </c>
      <c r="D1962" t="inlineStr">
        <is>
          <t>FIX100</t>
        </is>
      </c>
      <c r="E1962" t="inlineStr">
        <is>
          <t>WF</t>
        </is>
      </c>
      <c r="F1962" t="n">
        <v>3.6</v>
      </c>
      <c r="G1962" t="n">
        <v>22</v>
      </c>
      <c r="H1962" t="n">
        <v>0</v>
      </c>
      <c r="I1962" t="inlineStr">
        <is>
          <t>L</t>
        </is>
      </c>
      <c r="J1962" t="inlineStr">
        <is>
          <t>S</t>
        </is>
      </c>
      <c r="K1962" t="inlineStr"/>
      <c r="L1962" t="inlineStr"/>
      <c r="M1962" s="30">
        <f>0.005454*F1962^2</f>
        <v/>
      </c>
      <c r="N1962" s="31">
        <f>IF(D1962="BAF20",20/M1962,100)</f>
        <v/>
      </c>
      <c r="O1962" s="31">
        <f>M1962*N1962</f>
        <v/>
      </c>
      <c r="P1962" s="32">
        <f>0.0*N1962</f>
        <v/>
      </c>
    </row>
    <row r="1963">
      <c r="A1963" t="inlineStr">
        <is>
          <t>U7-13</t>
        </is>
      </c>
      <c r="B1963" t="n">
        <v>7</v>
      </c>
      <c r="C1963" t="n">
        <v>1</v>
      </c>
      <c r="D1963" t="inlineStr">
        <is>
          <t>BAF20</t>
        </is>
      </c>
      <c r="E1963" t="inlineStr">
        <is>
          <t>WF</t>
        </is>
      </c>
      <c r="F1963" t="n">
        <v>33.6</v>
      </c>
      <c r="G1963" t="n">
        <v>143</v>
      </c>
      <c r="H1963" t="n">
        <v>2</v>
      </c>
      <c r="I1963" t="inlineStr">
        <is>
          <t>L</t>
        </is>
      </c>
      <c r="J1963" t="inlineStr">
        <is>
          <t>D</t>
        </is>
      </c>
      <c r="K1963" t="inlineStr">
        <is>
          <t>Y</t>
        </is>
      </c>
      <c r="L1963" t="inlineStr"/>
      <c r="M1963" s="30">
        <f>0.005454*F1963^2</f>
        <v/>
      </c>
      <c r="N1963" s="31">
        <f>IF(D1963="BAF20",20/M1963,100)</f>
        <v/>
      </c>
      <c r="O1963" s="31">
        <f>M1963*N1963</f>
        <v/>
      </c>
      <c r="P1963" s="32">
        <f>1932.2*N1963</f>
        <v/>
      </c>
    </row>
    <row r="1964">
      <c r="A1964" t="inlineStr">
        <is>
          <t>U7-13</t>
        </is>
      </c>
      <c r="B1964" t="n">
        <v>7</v>
      </c>
      <c r="C1964" t="n">
        <v>2</v>
      </c>
      <c r="D1964" t="inlineStr">
        <is>
          <t>BAF20</t>
        </is>
      </c>
      <c r="E1964" t="inlineStr">
        <is>
          <t>DF</t>
        </is>
      </c>
      <c r="F1964" t="n">
        <v>24.1</v>
      </c>
      <c r="G1964" t="n">
        <v>107</v>
      </c>
      <c r="H1964" t="n">
        <v>6</v>
      </c>
      <c r="I1964" t="inlineStr">
        <is>
          <t>L</t>
        </is>
      </c>
      <c r="J1964" t="inlineStr">
        <is>
          <t>I</t>
        </is>
      </c>
      <c r="K1964" t="inlineStr"/>
      <c r="L1964" t="inlineStr"/>
      <c r="M1964" s="30">
        <f>0.005454*F1964^2</f>
        <v/>
      </c>
      <c r="N1964" s="31">
        <f>IF(D1964="BAF20",20/M1964,100)</f>
        <v/>
      </c>
      <c r="O1964" s="31">
        <f>M1964*N1964</f>
        <v/>
      </c>
      <c r="P1964" s="32">
        <f>610.5*N1964</f>
        <v/>
      </c>
    </row>
    <row r="1965">
      <c r="A1965" t="inlineStr">
        <is>
          <t>U7-13</t>
        </is>
      </c>
      <c r="B1965" t="n">
        <v>7</v>
      </c>
      <c r="C1965" t="n">
        <v>3</v>
      </c>
      <c r="D1965" t="inlineStr">
        <is>
          <t>BAF20</t>
        </is>
      </c>
      <c r="E1965" t="inlineStr">
        <is>
          <t>DF</t>
        </is>
      </c>
      <c r="F1965" t="n">
        <v>27.8</v>
      </c>
      <c r="G1965" t="n">
        <v>110</v>
      </c>
      <c r="H1965" t="n">
        <v>7</v>
      </c>
      <c r="I1965" t="inlineStr">
        <is>
          <t>L</t>
        </is>
      </c>
      <c r="J1965" t="inlineStr">
        <is>
          <t>C</t>
        </is>
      </c>
      <c r="K1965" t="inlineStr">
        <is>
          <t>Y</t>
        </is>
      </c>
      <c r="L1965" t="inlineStr"/>
      <c r="M1965" s="30">
        <f>0.005454*F1965^2</f>
        <v/>
      </c>
      <c r="N1965" s="31">
        <f>IF(D1965="BAF20",20/M1965,100)</f>
        <v/>
      </c>
      <c r="O1965" s="31">
        <f>M1965*N1965</f>
        <v/>
      </c>
      <c r="P1965" s="32">
        <f>880.5*N1965</f>
        <v/>
      </c>
    </row>
    <row r="1966">
      <c r="A1966" t="inlineStr">
        <is>
          <t>U7-13</t>
        </is>
      </c>
      <c r="B1966" t="n">
        <v>7</v>
      </c>
      <c r="C1966" t="n">
        <v>4</v>
      </c>
      <c r="D1966" t="inlineStr">
        <is>
          <t>BAF20</t>
        </is>
      </c>
      <c r="E1966" t="inlineStr">
        <is>
          <t>WF</t>
        </is>
      </c>
      <c r="F1966" t="n">
        <v>38.5</v>
      </c>
      <c r="G1966" t="n">
        <v>126</v>
      </c>
      <c r="H1966" t="n">
        <v>6</v>
      </c>
      <c r="I1966" t="inlineStr">
        <is>
          <t>L</t>
        </is>
      </c>
      <c r="J1966" t="inlineStr">
        <is>
          <t>D</t>
        </is>
      </c>
      <c r="K1966" t="inlineStr">
        <is>
          <t>Y</t>
        </is>
      </c>
      <c r="L1966" t="inlineStr"/>
      <c r="M1966" s="30">
        <f>0.005454*F1966^2</f>
        <v/>
      </c>
      <c r="N1966" s="31">
        <f>IF(D1966="BAF20",20/M1966,100)</f>
        <v/>
      </c>
      <c r="O1966" s="31">
        <f>M1966*N1966</f>
        <v/>
      </c>
      <c r="P1966" s="32">
        <f>2244.0*N1966</f>
        <v/>
      </c>
    </row>
    <row r="1967">
      <c r="A1967" t="inlineStr">
        <is>
          <t>U7-13</t>
        </is>
      </c>
      <c r="B1967" t="n">
        <v>7</v>
      </c>
      <c r="C1967" t="n">
        <v>5</v>
      </c>
      <c r="D1967" t="inlineStr">
        <is>
          <t>BAF20</t>
        </is>
      </c>
      <c r="E1967" t="inlineStr">
        <is>
          <t>DF</t>
        </is>
      </c>
      <c r="F1967" t="n">
        <v>33.9</v>
      </c>
      <c r="G1967" t="n">
        <v>121</v>
      </c>
      <c r="H1967" t="n">
        <v>5</v>
      </c>
      <c r="I1967" t="inlineStr">
        <is>
          <t>L</t>
        </is>
      </c>
      <c r="J1967" t="inlineStr">
        <is>
          <t>D</t>
        </is>
      </c>
      <c r="K1967" t="inlineStr"/>
      <c r="L1967" t="inlineStr"/>
      <c r="M1967" s="30">
        <f>0.005454*F1967^2</f>
        <v/>
      </c>
      <c r="N1967" s="31">
        <f>IF(D1967="BAF20",20/M1967,100)</f>
        <v/>
      </c>
      <c r="O1967" s="31">
        <f>M1967*N1967</f>
        <v/>
      </c>
      <c r="P1967" s="32">
        <f>1620.7*N1967</f>
        <v/>
      </c>
    </row>
    <row r="1968">
      <c r="A1968" t="inlineStr">
        <is>
          <t>U7-13</t>
        </is>
      </c>
      <c r="B1968" t="n">
        <v>7</v>
      </c>
      <c r="C1968" t="n">
        <v>6</v>
      </c>
      <c r="D1968" t="inlineStr">
        <is>
          <t>BAF20</t>
        </is>
      </c>
      <c r="E1968" t="inlineStr">
        <is>
          <t>WF</t>
        </is>
      </c>
      <c r="F1968" t="n">
        <v>7.3</v>
      </c>
      <c r="G1968" t="n">
        <v>41</v>
      </c>
      <c r="H1968" t="n">
        <v>6</v>
      </c>
      <c r="I1968" t="inlineStr">
        <is>
          <t>L</t>
        </is>
      </c>
      <c r="J1968" t="inlineStr">
        <is>
          <t>S</t>
        </is>
      </c>
      <c r="K1968" t="inlineStr"/>
      <c r="L1968" t="inlineStr"/>
      <c r="M1968" s="30">
        <f>0.005454*F1968^2</f>
        <v/>
      </c>
      <c r="N1968" s="31">
        <f>IF(D1968="BAF20",20/M1968,100)</f>
        <v/>
      </c>
      <c r="O1968" s="31">
        <f>M1968*N1968</f>
        <v/>
      </c>
      <c r="P1968" s="32">
        <f>0.0*N1968</f>
        <v/>
      </c>
    </row>
    <row r="1969">
      <c r="A1969" t="inlineStr">
        <is>
          <t>U7-13</t>
        </is>
      </c>
      <c r="B1969" t="n">
        <v>7</v>
      </c>
      <c r="C1969" t="n">
        <v>7</v>
      </c>
      <c r="D1969" t="inlineStr">
        <is>
          <t>BAF20</t>
        </is>
      </c>
      <c r="E1969" t="inlineStr">
        <is>
          <t>WF</t>
        </is>
      </c>
      <c r="F1969" t="n">
        <v>11.7</v>
      </c>
      <c r="G1969" t="n">
        <v>64</v>
      </c>
      <c r="H1969" t="n">
        <v>8</v>
      </c>
      <c r="I1969" t="inlineStr">
        <is>
          <t>L</t>
        </is>
      </c>
      <c r="J1969" t="inlineStr">
        <is>
          <t>S</t>
        </is>
      </c>
      <c r="K1969" t="inlineStr"/>
      <c r="L1969" t="inlineStr"/>
      <c r="M1969" s="30">
        <f>0.005454*F1969^2</f>
        <v/>
      </c>
      <c r="N1969" s="31">
        <f>IF(D1969="BAF20",20/M1969,100)</f>
        <v/>
      </c>
      <c r="O1969" s="31">
        <f>M1969*N1969</f>
        <v/>
      </c>
      <c r="P1969" s="32">
        <f>65.7*N1969</f>
        <v/>
      </c>
    </row>
    <row r="1970">
      <c r="A1970" t="inlineStr">
        <is>
          <t>U7-13</t>
        </is>
      </c>
      <c r="B1970" t="n">
        <v>7</v>
      </c>
      <c r="C1970" t="n">
        <v>8</v>
      </c>
      <c r="D1970" t="inlineStr">
        <is>
          <t>BAF20</t>
        </is>
      </c>
      <c r="E1970" t="inlineStr">
        <is>
          <t>WF</t>
        </is>
      </c>
      <c r="F1970" t="n">
        <v>15.5</v>
      </c>
      <c r="G1970" t="n">
        <v>73</v>
      </c>
      <c r="H1970" t="n">
        <v>25</v>
      </c>
      <c r="I1970" t="inlineStr">
        <is>
          <t>L</t>
        </is>
      </c>
      <c r="J1970" t="inlineStr">
        <is>
          <t>S</t>
        </is>
      </c>
      <c r="K1970" t="inlineStr"/>
      <c r="L1970" t="inlineStr"/>
      <c r="M1970" s="30">
        <f>0.005454*F1970^2</f>
        <v/>
      </c>
      <c r="N1970" s="31">
        <f>IF(D1970="BAF20",20/M1970,100)</f>
        <v/>
      </c>
      <c r="O1970" s="31">
        <f>M1970*N1970</f>
        <v/>
      </c>
      <c r="P1970" s="32">
        <f>116.5*N1970</f>
        <v/>
      </c>
    </row>
    <row r="1971">
      <c r="A1971" t="inlineStr">
        <is>
          <t>U7-13</t>
        </is>
      </c>
      <c r="B1971" t="n">
        <v>7</v>
      </c>
      <c r="C1971" t="n">
        <v>9</v>
      </c>
      <c r="D1971" t="inlineStr">
        <is>
          <t>BAF20</t>
        </is>
      </c>
      <c r="E1971" t="inlineStr">
        <is>
          <t>DF</t>
        </is>
      </c>
      <c r="F1971" t="n">
        <v>19.5</v>
      </c>
      <c r="G1971" t="n">
        <v>98</v>
      </c>
      <c r="H1971" t="n">
        <v>8</v>
      </c>
      <c r="I1971" t="inlineStr">
        <is>
          <t>L</t>
        </is>
      </c>
      <c r="J1971" t="inlineStr">
        <is>
          <t>I</t>
        </is>
      </c>
      <c r="K1971" t="inlineStr"/>
      <c r="L1971" t="inlineStr"/>
      <c r="M1971" s="30">
        <f>0.005454*F1971^2</f>
        <v/>
      </c>
      <c r="N1971" s="31">
        <f>IF(D1971="BAF20",20/M1971,100)</f>
        <v/>
      </c>
      <c r="O1971" s="31">
        <f>M1971*N1971</f>
        <v/>
      </c>
      <c r="P1971" s="32">
        <f>329.0*N1971</f>
        <v/>
      </c>
    </row>
    <row r="1972">
      <c r="A1972" t="inlineStr">
        <is>
          <t>U7-13</t>
        </is>
      </c>
      <c r="B1972" t="n">
        <v>7</v>
      </c>
      <c r="C1972" t="n">
        <v>10</v>
      </c>
      <c r="D1972" t="inlineStr">
        <is>
          <t>BAF20</t>
        </is>
      </c>
      <c r="E1972" t="inlineStr">
        <is>
          <t>WF</t>
        </is>
      </c>
      <c r="F1972" t="n">
        <v>11.6</v>
      </c>
      <c r="G1972" t="n">
        <v>60</v>
      </c>
      <c r="H1972" t="n">
        <v>11</v>
      </c>
      <c r="I1972" t="inlineStr">
        <is>
          <t>L</t>
        </is>
      </c>
      <c r="J1972" t="inlineStr">
        <is>
          <t>S</t>
        </is>
      </c>
      <c r="K1972" t="inlineStr"/>
      <c r="L1972" t="inlineStr"/>
      <c r="M1972" s="30">
        <f>0.005454*F1972^2</f>
        <v/>
      </c>
      <c r="N1972" s="31">
        <f>IF(D1972="BAF20",20/M1972,100)</f>
        <v/>
      </c>
      <c r="O1972" s="31">
        <f>M1972*N1972</f>
        <v/>
      </c>
      <c r="P1972" s="32">
        <f>58.4*N1972</f>
        <v/>
      </c>
    </row>
    <row r="1973">
      <c r="A1973" t="inlineStr">
        <is>
          <t>U7-13</t>
        </is>
      </c>
      <c r="B1973" t="n">
        <v>7</v>
      </c>
      <c r="C1973" t="n">
        <v>11</v>
      </c>
      <c r="D1973" t="inlineStr">
        <is>
          <t>BAF20</t>
        </is>
      </c>
      <c r="E1973" t="inlineStr">
        <is>
          <t>WF</t>
        </is>
      </c>
      <c r="F1973" t="n">
        <v>18.5</v>
      </c>
      <c r="G1973" t="n">
        <v>92</v>
      </c>
      <c r="H1973" t="n">
        <v>12</v>
      </c>
      <c r="I1973" t="inlineStr">
        <is>
          <t>L</t>
        </is>
      </c>
      <c r="J1973" t="inlineStr">
        <is>
          <t>I</t>
        </is>
      </c>
      <c r="K1973" t="inlineStr">
        <is>
          <t>Y</t>
        </is>
      </c>
      <c r="L1973" t="inlineStr"/>
      <c r="M1973" s="30">
        <f>0.005454*F1973^2</f>
        <v/>
      </c>
      <c r="N1973" s="31">
        <f>IF(D1973="BAF20",20/M1973,100)</f>
        <v/>
      </c>
      <c r="O1973" s="31">
        <f>M1973*N1973</f>
        <v/>
      </c>
      <c r="P1973" s="32">
        <f>260.8*N1973</f>
        <v/>
      </c>
    </row>
    <row r="1974">
      <c r="A1974" t="inlineStr">
        <is>
          <t>U7-13</t>
        </is>
      </c>
      <c r="B1974" t="n">
        <v>7</v>
      </c>
      <c r="C1974" t="n">
        <v>12</v>
      </c>
      <c r="D1974" t="inlineStr">
        <is>
          <t>BAF20</t>
        </is>
      </c>
      <c r="E1974" t="inlineStr">
        <is>
          <t>IC</t>
        </is>
      </c>
      <c r="F1974" t="n">
        <v>8.300000000000001</v>
      </c>
      <c r="G1974" t="n">
        <v>40</v>
      </c>
      <c r="H1974" t="n">
        <v>11</v>
      </c>
      <c r="I1974" t="inlineStr">
        <is>
          <t>L</t>
        </is>
      </c>
      <c r="J1974" t="inlineStr">
        <is>
          <t>S</t>
        </is>
      </c>
      <c r="K1974" t="inlineStr"/>
      <c r="L1974" t="inlineStr"/>
      <c r="M1974" s="30">
        <f>0.005454*F1974^2</f>
        <v/>
      </c>
      <c r="N1974" s="31">
        <f>IF(D1974="BAF20",20/M1974,100)</f>
        <v/>
      </c>
      <c r="O1974" s="31">
        <f>M1974*N1974</f>
        <v/>
      </c>
      <c r="P1974" s="32">
        <f>0.0*N1974</f>
        <v/>
      </c>
    </row>
    <row r="1975">
      <c r="A1975" t="inlineStr">
        <is>
          <t>U7-13</t>
        </is>
      </c>
      <c r="B1975" t="n">
        <v>7</v>
      </c>
      <c r="C1975" t="n">
        <v>13</v>
      </c>
      <c r="D1975" t="inlineStr">
        <is>
          <t>BAF20</t>
        </is>
      </c>
      <c r="E1975" t="inlineStr">
        <is>
          <t>WF</t>
        </is>
      </c>
      <c r="F1975" t="n">
        <v>9.800000000000001</v>
      </c>
      <c r="G1975" t="n">
        <v>56</v>
      </c>
      <c r="H1975" t="n">
        <v>13</v>
      </c>
      <c r="I1975" t="inlineStr">
        <is>
          <t>L</t>
        </is>
      </c>
      <c r="J1975" t="inlineStr">
        <is>
          <t>S</t>
        </is>
      </c>
      <c r="K1975" t="inlineStr"/>
      <c r="L1975" t="inlineStr"/>
      <c r="M1975" s="30">
        <f>0.005454*F1975^2</f>
        <v/>
      </c>
      <c r="N1975" s="31">
        <f>IF(D1975="BAF20",20/M1975,100)</f>
        <v/>
      </c>
      <c r="O1975" s="31">
        <f>M1975*N1975</f>
        <v/>
      </c>
      <c r="P1975" s="32">
        <f>0.0*N1975</f>
        <v/>
      </c>
    </row>
    <row r="1976">
      <c r="A1976" t="inlineStr">
        <is>
          <t>U7-13</t>
        </is>
      </c>
      <c r="B1976" t="n">
        <v>7</v>
      </c>
      <c r="C1976" t="n">
        <v>14</v>
      </c>
      <c r="D1976" t="inlineStr">
        <is>
          <t>BAF20</t>
        </is>
      </c>
      <c r="E1976" t="inlineStr">
        <is>
          <t>PP</t>
        </is>
      </c>
      <c r="F1976" t="n">
        <v>24.2</v>
      </c>
      <c r="G1976" t="n">
        <v>101</v>
      </c>
      <c r="H1976" t="n">
        <v>7</v>
      </c>
      <c r="I1976" t="inlineStr">
        <is>
          <t>L</t>
        </is>
      </c>
      <c r="J1976" t="inlineStr">
        <is>
          <t>I</t>
        </is>
      </c>
      <c r="K1976" t="inlineStr"/>
      <c r="L1976" t="inlineStr"/>
      <c r="M1976" s="30">
        <f>0.005454*F1976^2</f>
        <v/>
      </c>
      <c r="N1976" s="31">
        <f>IF(D1976="BAF20",20/M1976,100)</f>
        <v/>
      </c>
      <c r="O1976" s="31">
        <f>M1976*N1976</f>
        <v/>
      </c>
      <c r="P1976" s="32">
        <f>575.9*N1976</f>
        <v/>
      </c>
    </row>
    <row r="1977">
      <c r="A1977" t="inlineStr">
        <is>
          <t>U7-13</t>
        </is>
      </c>
      <c r="B1977" t="n">
        <v>7</v>
      </c>
      <c r="C1977" t="n">
        <v>15</v>
      </c>
      <c r="D1977" t="inlineStr">
        <is>
          <t>BAF20</t>
        </is>
      </c>
      <c r="E1977" t="inlineStr">
        <is>
          <t>SP</t>
        </is>
      </c>
      <c r="F1977" t="n">
        <v>14.8</v>
      </c>
      <c r="G1977" t="n">
        <v>76</v>
      </c>
      <c r="H1977" t="n">
        <v>0</v>
      </c>
      <c r="I1977" t="inlineStr">
        <is>
          <t>L</t>
        </is>
      </c>
      <c r="J1977" t="inlineStr">
        <is>
          <t>S</t>
        </is>
      </c>
      <c r="K1977" t="inlineStr"/>
      <c r="L1977" t="inlineStr"/>
      <c r="M1977" s="30">
        <f>0.005454*F1977^2</f>
        <v/>
      </c>
      <c r="N1977" s="31">
        <f>IF(D1977="BAF20",20/M1977,100)</f>
        <v/>
      </c>
      <c r="O1977" s="31">
        <f>M1977*N1977</f>
        <v/>
      </c>
      <c r="P1977" s="32">
        <f>145.2*N1977</f>
        <v/>
      </c>
    </row>
    <row r="1978">
      <c r="A1978" t="inlineStr">
        <is>
          <t>U7-13</t>
        </is>
      </c>
      <c r="B1978" t="n">
        <v>7</v>
      </c>
      <c r="C1978" t="n">
        <v>16</v>
      </c>
      <c r="D1978" t="inlineStr">
        <is>
          <t>BAF20</t>
        </is>
      </c>
      <c r="E1978" t="inlineStr">
        <is>
          <t>SP</t>
        </is>
      </c>
      <c r="F1978" t="n">
        <v>41.7</v>
      </c>
      <c r="G1978" t="n">
        <v>158</v>
      </c>
      <c r="H1978" t="n">
        <v>4</v>
      </c>
      <c r="I1978" t="inlineStr">
        <is>
          <t>L</t>
        </is>
      </c>
      <c r="J1978" t="inlineStr">
        <is>
          <t>D</t>
        </is>
      </c>
      <c r="K1978" t="inlineStr"/>
      <c r="L1978" t="inlineStr"/>
      <c r="M1978" s="30">
        <f>0.005454*F1978^2</f>
        <v/>
      </c>
      <c r="N1978" s="31">
        <f>IF(D1978="BAF20",20/M1978,100)</f>
        <v/>
      </c>
      <c r="O1978" s="31">
        <f>M1978*N1978</f>
        <v/>
      </c>
      <c r="P1978" s="32">
        <f>3371.3*N1978</f>
        <v/>
      </c>
    </row>
    <row r="1979">
      <c r="A1979" t="inlineStr">
        <is>
          <t>U7-13</t>
        </is>
      </c>
      <c r="B1979" t="n">
        <v>7</v>
      </c>
      <c r="C1979" t="n">
        <v>17</v>
      </c>
      <c r="D1979" t="inlineStr">
        <is>
          <t>BAF20</t>
        </is>
      </c>
      <c r="E1979" t="inlineStr">
        <is>
          <t>DF</t>
        </is>
      </c>
      <c r="F1979" t="n">
        <v>12.4</v>
      </c>
      <c r="G1979" t="n">
        <v>60</v>
      </c>
      <c r="H1979" t="n">
        <v>2</v>
      </c>
      <c r="I1979" t="inlineStr">
        <is>
          <t>L</t>
        </is>
      </c>
      <c r="J1979" t="inlineStr">
        <is>
          <t>S</t>
        </is>
      </c>
      <c r="K1979" t="inlineStr"/>
      <c r="L1979" t="inlineStr"/>
      <c r="M1979" s="30">
        <f>0.005454*F1979^2</f>
        <v/>
      </c>
      <c r="N1979" s="31">
        <f>IF(D1979="BAF20",20/M1979,100)</f>
        <v/>
      </c>
      <c r="O1979" s="31">
        <f>M1979*N1979</f>
        <v/>
      </c>
      <c r="P1979" s="32">
        <f>74.9*N1979</f>
        <v/>
      </c>
    </row>
    <row r="1980">
      <c r="A1980" t="inlineStr">
        <is>
          <t>U7-13</t>
        </is>
      </c>
      <c r="B1980" t="n">
        <v>7</v>
      </c>
      <c r="C1980" t="n">
        <v>18</v>
      </c>
      <c r="D1980" t="inlineStr">
        <is>
          <t>BAF20</t>
        </is>
      </c>
      <c r="E1980" t="inlineStr">
        <is>
          <t>WF</t>
        </is>
      </c>
      <c r="F1980" t="n">
        <v>36.7</v>
      </c>
      <c r="G1980" t="n">
        <v>118</v>
      </c>
      <c r="H1980" t="n">
        <v>2</v>
      </c>
      <c r="I1980" t="inlineStr">
        <is>
          <t>L</t>
        </is>
      </c>
      <c r="J1980" t="inlineStr">
        <is>
          <t>D</t>
        </is>
      </c>
      <c r="K1980" t="inlineStr">
        <is>
          <t>Y</t>
        </is>
      </c>
      <c r="L1980" t="inlineStr"/>
      <c r="M1980" s="30">
        <f>0.005454*F1980^2</f>
        <v/>
      </c>
      <c r="N1980" s="31">
        <f>IF(D1980="BAF20",20/M1980,100)</f>
        <v/>
      </c>
      <c r="O1980" s="31">
        <f>M1980*N1980</f>
        <v/>
      </c>
      <c r="P1980" s="32">
        <f>1990.9*N1980</f>
        <v/>
      </c>
    </row>
    <row r="1981">
      <c r="A1981" t="inlineStr">
        <is>
          <t>U7-13</t>
        </is>
      </c>
      <c r="B1981" t="n">
        <v>7</v>
      </c>
      <c r="C1981" t="n">
        <v>19</v>
      </c>
      <c r="D1981" t="inlineStr">
        <is>
          <t>BAF20</t>
        </is>
      </c>
      <c r="E1981" t="inlineStr">
        <is>
          <t>BO</t>
        </is>
      </c>
      <c r="F1981" t="n">
        <v>21.8</v>
      </c>
      <c r="G1981" t="n">
        <v>62</v>
      </c>
      <c r="H1981" t="n">
        <v>17</v>
      </c>
      <c r="I1981" t="inlineStr">
        <is>
          <t>L</t>
        </is>
      </c>
      <c r="J1981" t="inlineStr">
        <is>
          <t>I</t>
        </is>
      </c>
      <c r="K1981" t="inlineStr"/>
      <c r="L1981" t="inlineStr"/>
      <c r="M1981" s="30">
        <f>0.005454*F1981^2</f>
        <v/>
      </c>
      <c r="N1981" s="31">
        <f>IF(D1981="BAF20",20/M1981,100)</f>
        <v/>
      </c>
      <c r="O1981" s="31">
        <f>M1981*N1981</f>
        <v/>
      </c>
      <c r="P1981" s="32">
        <f>221.8*N1981</f>
        <v/>
      </c>
    </row>
    <row r="1982">
      <c r="A1982" t="inlineStr">
        <is>
          <t>U7-13</t>
        </is>
      </c>
      <c r="B1982" t="n">
        <v>7</v>
      </c>
      <c r="C1982" t="n">
        <v>20</v>
      </c>
      <c r="D1982" t="inlineStr">
        <is>
          <t>BAF20</t>
        </is>
      </c>
      <c r="E1982" t="inlineStr">
        <is>
          <t>BO</t>
        </is>
      </c>
      <c r="F1982" t="n">
        <v>15.8</v>
      </c>
      <c r="G1982" t="n">
        <v>57</v>
      </c>
      <c r="H1982" t="n">
        <v>9</v>
      </c>
      <c r="I1982" t="inlineStr">
        <is>
          <t>L</t>
        </is>
      </c>
      <c r="J1982" t="inlineStr">
        <is>
          <t>S</t>
        </is>
      </c>
      <c r="K1982" t="inlineStr"/>
      <c r="L1982" t="inlineStr"/>
      <c r="M1982" s="30">
        <f>0.005454*F1982^2</f>
        <v/>
      </c>
      <c r="N1982" s="31">
        <f>IF(D1982="BAF20",20/M1982,100)</f>
        <v/>
      </c>
      <c r="O1982" s="31">
        <f>M1982*N1982</f>
        <v/>
      </c>
      <c r="P1982" s="32">
        <f>104.4*N1982</f>
        <v/>
      </c>
    </row>
    <row r="1983">
      <c r="A1983" t="inlineStr">
        <is>
          <t>U7-13</t>
        </is>
      </c>
      <c r="B1983" t="n">
        <v>7</v>
      </c>
      <c r="C1983" t="n">
        <v>21</v>
      </c>
      <c r="D1983" t="inlineStr">
        <is>
          <t>BAF20</t>
        </is>
      </c>
      <c r="E1983" t="inlineStr">
        <is>
          <t>DF</t>
        </is>
      </c>
      <c r="F1983" t="n">
        <v>38.4</v>
      </c>
      <c r="G1983" t="n">
        <v>127</v>
      </c>
      <c r="H1983" t="n">
        <v>1</v>
      </c>
      <c r="I1983" t="inlineStr">
        <is>
          <t>L</t>
        </is>
      </c>
      <c r="J1983" t="inlineStr">
        <is>
          <t>D</t>
        </is>
      </c>
      <c r="K1983" t="inlineStr"/>
      <c r="L1983" t="inlineStr"/>
      <c r="M1983" s="30">
        <f>0.005454*F1983^2</f>
        <v/>
      </c>
      <c r="N1983" s="31">
        <f>IF(D1983="BAF20",20/M1983,100)</f>
        <v/>
      </c>
      <c r="O1983" s="31">
        <f>M1983*N1983</f>
        <v/>
      </c>
      <c r="P1983" s="32">
        <f>2369.7*N1983</f>
        <v/>
      </c>
    </row>
    <row r="1984">
      <c r="A1984" t="inlineStr">
        <is>
          <t>U7-13</t>
        </is>
      </c>
      <c r="B1984" t="n">
        <v>7</v>
      </c>
      <c r="C1984" t="n">
        <v>22</v>
      </c>
      <c r="D1984" t="inlineStr">
        <is>
          <t>BAF20</t>
        </is>
      </c>
      <c r="E1984" t="inlineStr">
        <is>
          <t>IC</t>
        </is>
      </c>
      <c r="F1984" t="n">
        <v>6.6</v>
      </c>
      <c r="G1984" t="n">
        <v>28</v>
      </c>
      <c r="H1984" t="n">
        <v>9</v>
      </c>
      <c r="I1984" t="inlineStr">
        <is>
          <t>L</t>
        </is>
      </c>
      <c r="J1984" t="inlineStr">
        <is>
          <t>S</t>
        </is>
      </c>
      <c r="K1984" t="inlineStr"/>
      <c r="L1984" t="inlineStr"/>
      <c r="M1984" s="30">
        <f>0.005454*F1984^2</f>
        <v/>
      </c>
      <c r="N1984" s="31">
        <f>IF(D1984="BAF20",20/M1984,100)</f>
        <v/>
      </c>
      <c r="O1984" s="31">
        <f>M1984*N1984</f>
        <v/>
      </c>
      <c r="P1984" s="32">
        <f>0.0*N1984</f>
        <v/>
      </c>
    </row>
    <row r="1985">
      <c r="A1985" t="inlineStr">
        <is>
          <t>U7-13</t>
        </is>
      </c>
      <c r="B1985" t="n">
        <v>7</v>
      </c>
      <c r="C1985" t="n">
        <v>23</v>
      </c>
      <c r="D1985" t="inlineStr">
        <is>
          <t>BAF20</t>
        </is>
      </c>
      <c r="E1985" t="inlineStr">
        <is>
          <t>DF</t>
        </is>
      </c>
      <c r="F1985" t="n">
        <v>6.3</v>
      </c>
      <c r="G1985" t="n">
        <v>33</v>
      </c>
      <c r="H1985" t="n">
        <v>1</v>
      </c>
      <c r="I1985" t="inlineStr">
        <is>
          <t>L</t>
        </is>
      </c>
      <c r="J1985" t="inlineStr">
        <is>
          <t>S</t>
        </is>
      </c>
      <c r="K1985" t="inlineStr"/>
      <c r="L1985" t="inlineStr"/>
      <c r="M1985" s="30">
        <f>0.005454*F1985^2</f>
        <v/>
      </c>
      <c r="N1985" s="31">
        <f>IF(D1985="BAF20",20/M1985,100)</f>
        <v/>
      </c>
      <c r="O1985" s="31">
        <f>M1985*N1985</f>
        <v/>
      </c>
      <c r="P1985" s="32">
        <f>0.0*N1985</f>
        <v/>
      </c>
    </row>
    <row r="1986">
      <c r="A1986" t="inlineStr">
        <is>
          <t>U7-13</t>
        </is>
      </c>
      <c r="B1986" t="n">
        <v>7</v>
      </c>
      <c r="C1986" t="n">
        <v>24</v>
      </c>
      <c r="D1986" t="inlineStr">
        <is>
          <t>BAF20</t>
        </is>
      </c>
      <c r="E1986" t="inlineStr">
        <is>
          <t>PP</t>
        </is>
      </c>
      <c r="F1986" t="n">
        <v>19.6</v>
      </c>
      <c r="G1986" t="n">
        <v>88</v>
      </c>
      <c r="H1986" t="n">
        <v>1</v>
      </c>
      <c r="I1986" t="inlineStr">
        <is>
          <t>L</t>
        </is>
      </c>
      <c r="J1986" t="inlineStr">
        <is>
          <t>I</t>
        </is>
      </c>
      <c r="K1986" t="inlineStr"/>
      <c r="L1986" t="inlineStr"/>
      <c r="M1986" s="30">
        <f>0.005454*F1986^2</f>
        <v/>
      </c>
      <c r="N1986" s="31">
        <f>IF(D1986="BAF20",20/M1986,100)</f>
        <v/>
      </c>
      <c r="O1986" s="31">
        <f>M1986*N1986</f>
        <v/>
      </c>
      <c r="P1986" s="32">
        <f>321.8*N1986</f>
        <v/>
      </c>
    </row>
    <row r="1987">
      <c r="A1987" t="inlineStr">
        <is>
          <t>U7-14</t>
        </is>
      </c>
      <c r="B1987" t="n">
        <v>7</v>
      </c>
      <c r="C1987" t="n">
        <v>1</v>
      </c>
      <c r="D1987" t="inlineStr">
        <is>
          <t>BAF20</t>
        </is>
      </c>
      <c r="E1987" t="inlineStr">
        <is>
          <t>WF</t>
        </is>
      </c>
      <c r="F1987" t="n">
        <v>9.699999999999999</v>
      </c>
      <c r="G1987" t="n">
        <v>51</v>
      </c>
      <c r="H1987" t="n">
        <v>8</v>
      </c>
      <c r="I1987" t="inlineStr">
        <is>
          <t>L</t>
        </is>
      </c>
      <c r="J1987" t="inlineStr">
        <is>
          <t>S</t>
        </is>
      </c>
      <c r="K1987" t="inlineStr"/>
      <c r="L1987" t="inlineStr"/>
      <c r="M1987" s="30">
        <f>0.005454*F1987^2</f>
        <v/>
      </c>
      <c r="N1987" s="31">
        <f>IF(D1987="BAF20",20/M1987,100)</f>
        <v/>
      </c>
      <c r="O1987" s="31">
        <f>M1987*N1987</f>
        <v/>
      </c>
      <c r="P1987" s="32">
        <f>0.0*N1987</f>
        <v/>
      </c>
    </row>
    <row r="1988">
      <c r="A1988" t="inlineStr">
        <is>
          <t>U7-14</t>
        </is>
      </c>
      <c r="B1988" t="n">
        <v>7</v>
      </c>
      <c r="C1988" t="n">
        <v>2</v>
      </c>
      <c r="D1988" t="inlineStr">
        <is>
          <t>BAF20</t>
        </is>
      </c>
      <c r="E1988" t="inlineStr">
        <is>
          <t>SP</t>
        </is>
      </c>
      <c r="F1988" t="n">
        <v>11.6</v>
      </c>
      <c r="G1988" t="n">
        <v>58</v>
      </c>
      <c r="H1988" t="n">
        <v>25</v>
      </c>
      <c r="I1988" t="inlineStr">
        <is>
          <t>L</t>
        </is>
      </c>
      <c r="J1988" t="inlineStr">
        <is>
          <t>S</t>
        </is>
      </c>
      <c r="K1988" t="inlineStr"/>
      <c r="L1988" t="inlineStr"/>
      <c r="M1988" s="30">
        <f>0.005454*F1988^2</f>
        <v/>
      </c>
      <c r="N1988" s="31">
        <f>IF(D1988="BAF20",20/M1988,100)</f>
        <v/>
      </c>
      <c r="O1988" s="31">
        <f>M1988*N1988</f>
        <v/>
      </c>
      <c r="P1988" s="32">
        <f>47.6*N1988</f>
        <v/>
      </c>
    </row>
    <row r="1989">
      <c r="A1989" t="inlineStr">
        <is>
          <t>U7-14</t>
        </is>
      </c>
      <c r="B1989" t="n">
        <v>7</v>
      </c>
      <c r="C1989" t="n">
        <v>3</v>
      </c>
      <c r="D1989" t="inlineStr">
        <is>
          <t>BAF20</t>
        </is>
      </c>
      <c r="E1989" t="inlineStr">
        <is>
          <t>WF</t>
        </is>
      </c>
      <c r="F1989" t="n">
        <v>14</v>
      </c>
      <c r="G1989" t="n">
        <v>70</v>
      </c>
      <c r="H1989" t="n">
        <v>14</v>
      </c>
      <c r="I1989" t="inlineStr">
        <is>
          <t>L</t>
        </is>
      </c>
      <c r="J1989" t="inlineStr">
        <is>
          <t>S</t>
        </is>
      </c>
      <c r="K1989" t="inlineStr"/>
      <c r="L1989" t="inlineStr"/>
      <c r="M1989" s="30">
        <f>0.005454*F1989^2</f>
        <v/>
      </c>
      <c r="N1989" s="31">
        <f>IF(D1989="BAF20",20/M1989,100)</f>
        <v/>
      </c>
      <c r="O1989" s="31">
        <f>M1989*N1989</f>
        <v/>
      </c>
      <c r="P1989" s="32">
        <f>101.2*N1989</f>
        <v/>
      </c>
    </row>
    <row r="1990">
      <c r="A1990" t="inlineStr">
        <is>
          <t>U7-14</t>
        </is>
      </c>
      <c r="B1990" t="n">
        <v>7</v>
      </c>
      <c r="C1990" t="n">
        <v>4</v>
      </c>
      <c r="D1990" t="inlineStr">
        <is>
          <t>BAF20</t>
        </is>
      </c>
      <c r="E1990" t="inlineStr">
        <is>
          <t>WF</t>
        </is>
      </c>
      <c r="F1990" t="n">
        <v>24.5</v>
      </c>
      <c r="G1990" t="n">
        <v>101</v>
      </c>
      <c r="H1990" t="n">
        <v>1</v>
      </c>
      <c r="I1990" t="inlineStr">
        <is>
          <t>L</t>
        </is>
      </c>
      <c r="J1990" t="inlineStr">
        <is>
          <t>I</t>
        </is>
      </c>
      <c r="K1990" t="inlineStr"/>
      <c r="L1990" t="inlineStr"/>
      <c r="M1990" s="30">
        <f>0.005454*F1990^2</f>
        <v/>
      </c>
      <c r="N1990" s="31">
        <f>IF(D1990="BAF20",20/M1990,100)</f>
        <v/>
      </c>
      <c r="O1990" s="31">
        <f>M1990*N1990</f>
        <v/>
      </c>
      <c r="P1990" s="32">
        <f>631.7*N1990</f>
        <v/>
      </c>
    </row>
    <row r="1991">
      <c r="A1991" t="inlineStr">
        <is>
          <t>U7-14</t>
        </is>
      </c>
      <c r="B1991" t="n">
        <v>7</v>
      </c>
      <c r="C1991" t="n">
        <v>5</v>
      </c>
      <c r="D1991" t="inlineStr">
        <is>
          <t>BAF20</t>
        </is>
      </c>
      <c r="E1991" t="inlineStr">
        <is>
          <t>DF</t>
        </is>
      </c>
      <c r="F1991" t="n">
        <v>21.3</v>
      </c>
      <c r="G1991" t="n">
        <v>105</v>
      </c>
      <c r="H1991" t="n">
        <v>1</v>
      </c>
      <c r="I1991" t="inlineStr">
        <is>
          <t>L</t>
        </is>
      </c>
      <c r="J1991" t="inlineStr">
        <is>
          <t>I</t>
        </is>
      </c>
      <c r="K1991" t="inlineStr">
        <is>
          <t>Y</t>
        </is>
      </c>
      <c r="L1991" t="inlineStr"/>
      <c r="M1991" s="30">
        <f>0.005454*F1991^2</f>
        <v/>
      </c>
      <c r="N1991" s="31">
        <f>IF(D1991="BAF20",20/M1991,100)</f>
        <v/>
      </c>
      <c r="O1991" s="31">
        <f>M1991*N1991</f>
        <v/>
      </c>
      <c r="P1991" s="32">
        <f>468.3*N1991</f>
        <v/>
      </c>
    </row>
    <row r="1992">
      <c r="A1992" t="inlineStr">
        <is>
          <t>U7-14</t>
        </is>
      </c>
      <c r="B1992" t="n">
        <v>7</v>
      </c>
      <c r="C1992" t="n">
        <v>6</v>
      </c>
      <c r="D1992" t="inlineStr">
        <is>
          <t>BAF20</t>
        </is>
      </c>
      <c r="E1992" t="inlineStr">
        <is>
          <t>DF</t>
        </is>
      </c>
      <c r="F1992" t="n">
        <v>36.5</v>
      </c>
      <c r="G1992" t="n">
        <v>139</v>
      </c>
      <c r="H1992" t="n">
        <v>4</v>
      </c>
      <c r="I1992" t="inlineStr">
        <is>
          <t>L</t>
        </is>
      </c>
      <c r="J1992" t="inlineStr">
        <is>
          <t>D</t>
        </is>
      </c>
      <c r="K1992" t="inlineStr"/>
      <c r="L1992" t="inlineStr"/>
      <c r="M1992" s="30">
        <f>0.005454*F1992^2</f>
        <v/>
      </c>
      <c r="N1992" s="31">
        <f>IF(D1992="BAF20",20/M1992,100)</f>
        <v/>
      </c>
      <c r="O1992" s="31">
        <f>M1992*N1992</f>
        <v/>
      </c>
      <c r="P1992" s="32">
        <f>2266.8*N1992</f>
        <v/>
      </c>
    </row>
    <row r="1993">
      <c r="A1993" t="inlineStr">
        <is>
          <t>U7-14</t>
        </is>
      </c>
      <c r="B1993" t="n">
        <v>7</v>
      </c>
      <c r="C1993" t="n">
        <v>7</v>
      </c>
      <c r="D1993" t="inlineStr">
        <is>
          <t>BAF20</t>
        </is>
      </c>
      <c r="E1993" t="inlineStr">
        <is>
          <t>WF</t>
        </is>
      </c>
      <c r="F1993" t="n">
        <v>17.5</v>
      </c>
      <c r="G1993" t="n">
        <v>76</v>
      </c>
      <c r="H1993" t="n">
        <v>11</v>
      </c>
      <c r="I1993" t="inlineStr">
        <is>
          <t>L</t>
        </is>
      </c>
      <c r="J1993" t="inlineStr">
        <is>
          <t>S</t>
        </is>
      </c>
      <c r="K1993" t="inlineStr"/>
      <c r="L1993" t="inlineStr"/>
      <c r="M1993" s="30">
        <f>0.005454*F1993^2</f>
        <v/>
      </c>
      <c r="N1993" s="31">
        <f>IF(D1993="BAF20",20/M1993,100)</f>
        <v/>
      </c>
      <c r="O1993" s="31">
        <f>M1993*N1993</f>
        <v/>
      </c>
      <c r="P1993" s="32">
        <f>191.1*N1993</f>
        <v/>
      </c>
    </row>
    <row r="1994">
      <c r="A1994" t="inlineStr">
        <is>
          <t>U7-14</t>
        </is>
      </c>
      <c r="B1994" t="n">
        <v>7</v>
      </c>
      <c r="C1994" t="n">
        <v>8</v>
      </c>
      <c r="D1994" t="inlineStr">
        <is>
          <t>BAF20</t>
        </is>
      </c>
      <c r="E1994" t="inlineStr">
        <is>
          <t>WF</t>
        </is>
      </c>
      <c r="F1994" t="n">
        <v>44.7</v>
      </c>
      <c r="G1994" t="n">
        <v>142</v>
      </c>
      <c r="H1994" t="n">
        <v>6</v>
      </c>
      <c r="I1994" t="inlineStr">
        <is>
          <t>L</t>
        </is>
      </c>
      <c r="J1994" t="inlineStr">
        <is>
          <t>D</t>
        </is>
      </c>
      <c r="K1994" t="inlineStr">
        <is>
          <t>Y</t>
        </is>
      </c>
      <c r="L1994" t="inlineStr"/>
      <c r="M1994" s="30">
        <f>0.005454*F1994^2</f>
        <v/>
      </c>
      <c r="N1994" s="31">
        <f>IF(D1994="BAF20",20/M1994,100)</f>
        <v/>
      </c>
      <c r="O1994" s="31">
        <f>M1994*N1994</f>
        <v/>
      </c>
      <c r="P1994" s="32">
        <f>3409.0*N1994</f>
        <v/>
      </c>
    </row>
    <row r="1995">
      <c r="A1995" t="inlineStr">
        <is>
          <t>U7-14</t>
        </is>
      </c>
      <c r="B1995" t="n">
        <v>7</v>
      </c>
      <c r="C1995" t="n">
        <v>9</v>
      </c>
      <c r="D1995" t="inlineStr">
        <is>
          <t>BAF20</t>
        </is>
      </c>
      <c r="E1995" t="inlineStr">
        <is>
          <t>WF</t>
        </is>
      </c>
      <c r="F1995" t="n">
        <v>12.9</v>
      </c>
      <c r="G1995" t="n">
        <v>66</v>
      </c>
      <c r="H1995" t="n">
        <v>4</v>
      </c>
      <c r="I1995" t="inlineStr">
        <is>
          <t>L</t>
        </is>
      </c>
      <c r="J1995" t="inlineStr">
        <is>
          <t>S</t>
        </is>
      </c>
      <c r="K1995" t="inlineStr">
        <is>
          <t>Y</t>
        </is>
      </c>
      <c r="L1995" t="inlineStr"/>
      <c r="M1995" s="30">
        <f>0.005454*F1995^2</f>
        <v/>
      </c>
      <c r="N1995" s="31">
        <f>IF(D1995="BAF20",20/M1995,100)</f>
        <v/>
      </c>
      <c r="O1995" s="31">
        <f>M1995*N1995</f>
        <v/>
      </c>
      <c r="P1995" s="32">
        <f>88.3*N1995</f>
        <v/>
      </c>
    </row>
    <row r="1996">
      <c r="A1996" t="inlineStr">
        <is>
          <t>U7-14</t>
        </is>
      </c>
      <c r="B1996" t="n">
        <v>7</v>
      </c>
      <c r="C1996" t="n">
        <v>10</v>
      </c>
      <c r="D1996" t="inlineStr">
        <is>
          <t>BAF20</t>
        </is>
      </c>
      <c r="E1996" t="inlineStr">
        <is>
          <t>PP</t>
        </is>
      </c>
      <c r="F1996" t="n">
        <v>35.6</v>
      </c>
      <c r="G1996" t="n">
        <v>126</v>
      </c>
      <c r="H1996" t="n">
        <v>6</v>
      </c>
      <c r="I1996" t="inlineStr">
        <is>
          <t>L</t>
        </is>
      </c>
      <c r="J1996" t="inlineStr">
        <is>
          <t>D</t>
        </is>
      </c>
      <c r="K1996" t="inlineStr"/>
      <c r="L1996" t="inlineStr"/>
      <c r="M1996" s="30">
        <f>0.005454*F1996^2</f>
        <v/>
      </c>
      <c r="N1996" s="31">
        <f>IF(D1996="BAF20",20/M1996,100)</f>
        <v/>
      </c>
      <c r="O1996" s="31">
        <f>M1996*N1996</f>
        <v/>
      </c>
      <c r="P1996" s="32">
        <f>1888.9*N1996</f>
        <v/>
      </c>
    </row>
    <row r="1997">
      <c r="A1997" t="inlineStr">
        <is>
          <t>U7-14</t>
        </is>
      </c>
      <c r="B1997" t="n">
        <v>7</v>
      </c>
      <c r="C1997" t="n">
        <v>11</v>
      </c>
      <c r="D1997" t="inlineStr">
        <is>
          <t>BAF20</t>
        </is>
      </c>
      <c r="E1997" t="inlineStr">
        <is>
          <t>PP</t>
        </is>
      </c>
      <c r="F1997" t="n">
        <v>47</v>
      </c>
      <c r="G1997" t="n">
        <v>134</v>
      </c>
      <c r="H1997" t="n">
        <v>4</v>
      </c>
      <c r="I1997" t="inlineStr">
        <is>
          <t>L</t>
        </is>
      </c>
      <c r="J1997" t="inlineStr">
        <is>
          <t>D</t>
        </is>
      </c>
      <c r="K1997" t="inlineStr"/>
      <c r="L1997" t="inlineStr"/>
      <c r="M1997" s="30">
        <f>0.005454*F1997^2</f>
        <v/>
      </c>
      <c r="N1997" s="31">
        <f>IF(D1997="BAF20",20/M1997,100)</f>
        <v/>
      </c>
      <c r="O1997" s="31">
        <f>M1997*N1997</f>
        <v/>
      </c>
      <c r="P1997" s="32">
        <f>3632.2*N1997</f>
        <v/>
      </c>
    </row>
    <row r="1998">
      <c r="A1998" t="inlineStr">
        <is>
          <t>U7-14</t>
        </is>
      </c>
      <c r="B1998" t="n">
        <v>7</v>
      </c>
      <c r="C1998" t="n">
        <v>12</v>
      </c>
      <c r="D1998" t="inlineStr">
        <is>
          <t>BAF20</t>
        </is>
      </c>
      <c r="E1998" t="inlineStr">
        <is>
          <t>SP</t>
        </is>
      </c>
      <c r="F1998" t="n">
        <v>15.5</v>
      </c>
      <c r="G1998" t="n">
        <v>74</v>
      </c>
      <c r="H1998" t="n">
        <v>3</v>
      </c>
      <c r="I1998" t="inlineStr">
        <is>
          <t>L</t>
        </is>
      </c>
      <c r="J1998" t="inlineStr">
        <is>
          <t>S</t>
        </is>
      </c>
      <c r="K1998" t="inlineStr"/>
      <c r="L1998" t="inlineStr"/>
      <c r="M1998" s="30">
        <f>0.005454*F1998^2</f>
        <v/>
      </c>
      <c r="N1998" s="31">
        <f>IF(D1998="BAF20",20/M1998,100)</f>
        <v/>
      </c>
      <c r="O1998" s="31">
        <f>M1998*N1998</f>
        <v/>
      </c>
      <c r="P1998" s="32">
        <f>152.7*N1998</f>
        <v/>
      </c>
    </row>
    <row r="1999">
      <c r="A1999" t="inlineStr">
        <is>
          <t>U7-14</t>
        </is>
      </c>
      <c r="B1999" t="n">
        <v>7</v>
      </c>
      <c r="C1999" t="n">
        <v>13</v>
      </c>
      <c r="D1999" t="inlineStr">
        <is>
          <t>BAF20</t>
        </is>
      </c>
      <c r="E1999" t="inlineStr">
        <is>
          <t>BO</t>
        </is>
      </c>
      <c r="F1999" t="n">
        <v>12.5</v>
      </c>
      <c r="G1999" t="n">
        <v>42</v>
      </c>
      <c r="H1999" t="n">
        <v>43</v>
      </c>
      <c r="I1999" t="inlineStr">
        <is>
          <t>L</t>
        </is>
      </c>
      <c r="J1999" t="inlineStr">
        <is>
          <t>S</t>
        </is>
      </c>
      <c r="K1999" t="inlineStr"/>
      <c r="L1999" t="inlineStr"/>
      <c r="M1999" s="30">
        <f>0.005454*F1999^2</f>
        <v/>
      </c>
      <c r="N1999" s="31">
        <f>IF(D1999="BAF20",20/M1999,100)</f>
        <v/>
      </c>
      <c r="O1999" s="31">
        <f>M1999*N1999</f>
        <v/>
      </c>
      <c r="P1999" s="32">
        <f>28.1*N1999</f>
        <v/>
      </c>
    </row>
    <row r="2000">
      <c r="A2000" t="inlineStr">
        <is>
          <t>U7-14</t>
        </is>
      </c>
      <c r="B2000" t="n">
        <v>7</v>
      </c>
      <c r="C2000" t="n">
        <v>14</v>
      </c>
      <c r="D2000" t="inlineStr">
        <is>
          <t>BAF20</t>
        </is>
      </c>
      <c r="E2000" t="inlineStr">
        <is>
          <t>WF</t>
        </is>
      </c>
      <c r="F2000" t="n">
        <v>34.6</v>
      </c>
      <c r="G2000" t="n">
        <v>134</v>
      </c>
      <c r="H2000" t="n">
        <v>6</v>
      </c>
      <c r="I2000" t="inlineStr">
        <is>
          <t>L</t>
        </is>
      </c>
      <c r="J2000" t="inlineStr">
        <is>
          <t>D</t>
        </is>
      </c>
      <c r="K2000" t="inlineStr"/>
      <c r="L2000" t="inlineStr"/>
      <c r="M2000" s="30">
        <f>0.005454*F2000^2</f>
        <v/>
      </c>
      <c r="N2000" s="31">
        <f>IF(D2000="BAF20",20/M2000,100)</f>
        <v/>
      </c>
      <c r="O2000" s="31">
        <f>M2000*N2000</f>
        <v/>
      </c>
      <c r="P2000" s="32">
        <f>1869.6*N2000</f>
        <v/>
      </c>
    </row>
    <row r="2001">
      <c r="A2001" t="inlineStr">
        <is>
          <t>U7-15</t>
        </is>
      </c>
      <c r="B2001" t="n">
        <v>7</v>
      </c>
      <c r="C2001" t="n">
        <v>1</v>
      </c>
      <c r="D2001" t="inlineStr">
        <is>
          <t>BAF20</t>
        </is>
      </c>
      <c r="E2001" t="inlineStr">
        <is>
          <t>PP</t>
        </is>
      </c>
      <c r="F2001" t="n">
        <v>25</v>
      </c>
      <c r="G2001" t="n">
        <v>111</v>
      </c>
      <c r="H2001" t="n">
        <v>0</v>
      </c>
      <c r="I2001" t="inlineStr">
        <is>
          <t>L</t>
        </is>
      </c>
      <c r="J2001" t="inlineStr">
        <is>
          <t>I</t>
        </is>
      </c>
      <c r="K2001" t="inlineStr"/>
      <c r="L2001" t="inlineStr"/>
      <c r="M2001" s="30">
        <f>0.005454*F2001^2</f>
        <v/>
      </c>
      <c r="N2001" s="31">
        <f>IF(D2001="BAF20",20/M2001,100)</f>
        <v/>
      </c>
      <c r="O2001" s="31">
        <f>M2001*N2001</f>
        <v/>
      </c>
      <c r="P2001" s="32">
        <f>736.6*N2001</f>
        <v/>
      </c>
    </row>
    <row r="2002">
      <c r="A2002" t="inlineStr">
        <is>
          <t>U7-15</t>
        </is>
      </c>
      <c r="B2002" t="n">
        <v>7</v>
      </c>
      <c r="C2002" t="n">
        <v>2</v>
      </c>
      <c r="D2002" t="inlineStr">
        <is>
          <t>BAF20</t>
        </is>
      </c>
      <c r="E2002" t="inlineStr">
        <is>
          <t>WF</t>
        </is>
      </c>
      <c r="F2002" t="n">
        <v>20</v>
      </c>
      <c r="G2002" t="n">
        <v>80</v>
      </c>
      <c r="H2002" t="n">
        <v>13</v>
      </c>
      <c r="I2002" t="inlineStr">
        <is>
          <t>L</t>
        </is>
      </c>
      <c r="J2002" t="inlineStr">
        <is>
          <t>I</t>
        </is>
      </c>
      <c r="K2002" t="inlineStr"/>
      <c r="L2002" t="inlineStr"/>
      <c r="M2002" s="30">
        <f>0.005454*F2002^2</f>
        <v/>
      </c>
      <c r="N2002" s="31">
        <f>IF(D2002="BAF20",20/M2002,100)</f>
        <v/>
      </c>
      <c r="O2002" s="31">
        <f>M2002*N2002</f>
        <v/>
      </c>
      <c r="P2002" s="32">
        <f>269.8*N2002</f>
        <v/>
      </c>
    </row>
    <row r="2003">
      <c r="A2003" t="inlineStr">
        <is>
          <t>U7-15</t>
        </is>
      </c>
      <c r="B2003" t="n">
        <v>7</v>
      </c>
      <c r="C2003" t="n">
        <v>3</v>
      </c>
      <c r="D2003" t="inlineStr">
        <is>
          <t>BAF20</t>
        </is>
      </c>
      <c r="E2003" t="inlineStr">
        <is>
          <t>DF</t>
        </is>
      </c>
      <c r="F2003" t="n">
        <v>50.7</v>
      </c>
      <c r="G2003" t="n">
        <v>154</v>
      </c>
      <c r="H2003" t="n">
        <v>4</v>
      </c>
      <c r="I2003" t="inlineStr">
        <is>
          <t>L</t>
        </is>
      </c>
      <c r="J2003" t="inlineStr">
        <is>
          <t>D</t>
        </is>
      </c>
      <c r="K2003" t="inlineStr"/>
      <c r="L2003" t="inlineStr"/>
      <c r="M2003" s="30">
        <f>0.005454*F2003^2</f>
        <v/>
      </c>
      <c r="N2003" s="31">
        <f>IF(D2003="BAF20",20/M2003,100)</f>
        <v/>
      </c>
      <c r="O2003" s="31">
        <f>M2003*N2003</f>
        <v/>
      </c>
      <c r="P2003" s="32">
        <f>4857.4*N2003</f>
        <v/>
      </c>
    </row>
    <row r="2004">
      <c r="A2004" t="inlineStr">
        <is>
          <t>U7-15</t>
        </is>
      </c>
      <c r="B2004" t="n">
        <v>7</v>
      </c>
      <c r="C2004" t="n">
        <v>4</v>
      </c>
      <c r="D2004" t="inlineStr">
        <is>
          <t>BAF20</t>
        </is>
      </c>
      <c r="E2004" t="inlineStr">
        <is>
          <t>DF</t>
        </is>
      </c>
      <c r="F2004" t="n">
        <v>12.5</v>
      </c>
      <c r="G2004" t="n">
        <v>61</v>
      </c>
      <c r="H2004" t="n">
        <v>2</v>
      </c>
      <c r="I2004" t="inlineStr">
        <is>
          <t>L</t>
        </is>
      </c>
      <c r="J2004" t="inlineStr">
        <is>
          <t>S</t>
        </is>
      </c>
      <c r="K2004" t="inlineStr"/>
      <c r="L2004" t="inlineStr"/>
      <c r="M2004" s="30">
        <f>0.005454*F2004^2</f>
        <v/>
      </c>
      <c r="N2004" s="31">
        <f>IF(D2004="BAF20",20/M2004,100)</f>
        <v/>
      </c>
      <c r="O2004" s="31">
        <f>M2004*N2004</f>
        <v/>
      </c>
      <c r="P2004" s="32">
        <f>77.5*N2004</f>
        <v/>
      </c>
    </row>
    <row r="2005">
      <c r="A2005" t="inlineStr">
        <is>
          <t>U7-15</t>
        </is>
      </c>
      <c r="B2005" t="n">
        <v>7</v>
      </c>
      <c r="C2005" t="n">
        <v>5</v>
      </c>
      <c r="D2005" t="inlineStr">
        <is>
          <t>BAF20</t>
        </is>
      </c>
      <c r="E2005" t="inlineStr">
        <is>
          <t>DF</t>
        </is>
      </c>
      <c r="F2005" t="n">
        <v>6.6</v>
      </c>
      <c r="G2005" t="n">
        <v>37</v>
      </c>
      <c r="H2005" t="n">
        <v>5</v>
      </c>
      <c r="I2005" t="inlineStr">
        <is>
          <t>L</t>
        </is>
      </c>
      <c r="J2005" t="inlineStr">
        <is>
          <t>S</t>
        </is>
      </c>
      <c r="K2005" t="inlineStr"/>
      <c r="L2005" t="inlineStr"/>
      <c r="M2005" s="30">
        <f>0.005454*F2005^2</f>
        <v/>
      </c>
      <c r="N2005" s="31">
        <f>IF(D2005="BAF20",20/M2005,100)</f>
        <v/>
      </c>
      <c r="O2005" s="31">
        <f>M2005*N2005</f>
        <v/>
      </c>
      <c r="P2005" s="32">
        <f>0.0*N2005</f>
        <v/>
      </c>
    </row>
    <row r="2006">
      <c r="A2006" t="inlineStr">
        <is>
          <t>U7-15</t>
        </is>
      </c>
      <c r="B2006" t="n">
        <v>7</v>
      </c>
      <c r="C2006" t="n">
        <v>6</v>
      </c>
      <c r="D2006" t="inlineStr">
        <is>
          <t>BAF20</t>
        </is>
      </c>
      <c r="E2006" t="inlineStr">
        <is>
          <t>DF</t>
        </is>
      </c>
      <c r="F2006" t="n">
        <v>15.4</v>
      </c>
      <c r="G2006" t="n">
        <v>66</v>
      </c>
      <c r="H2006" t="n">
        <v>0</v>
      </c>
      <c r="I2006" t="inlineStr">
        <is>
          <t>L</t>
        </is>
      </c>
      <c r="J2006" t="inlineStr">
        <is>
          <t>S</t>
        </is>
      </c>
      <c r="K2006" t="inlineStr">
        <is>
          <t>Y</t>
        </is>
      </c>
      <c r="L2006" t="inlineStr"/>
      <c r="M2006" s="30">
        <f>0.005454*F2006^2</f>
        <v/>
      </c>
      <c r="N2006" s="31">
        <f>IF(D2006="BAF20",20/M2006,100)</f>
        <v/>
      </c>
      <c r="O2006" s="31">
        <f>M2006*N2006</f>
        <v/>
      </c>
      <c r="P2006" s="32">
        <f>138.3*N2006</f>
        <v/>
      </c>
    </row>
    <row r="2007">
      <c r="A2007" t="inlineStr">
        <is>
          <t>U7-15</t>
        </is>
      </c>
      <c r="B2007" t="n">
        <v>7</v>
      </c>
      <c r="C2007" t="n">
        <v>7</v>
      </c>
      <c r="D2007" t="inlineStr">
        <is>
          <t>BAF20</t>
        </is>
      </c>
      <c r="E2007" t="inlineStr">
        <is>
          <t>BO</t>
        </is>
      </c>
      <c r="F2007" t="n">
        <v>7.7</v>
      </c>
      <c r="G2007" t="n">
        <v>30</v>
      </c>
      <c r="H2007" t="n">
        <v>18</v>
      </c>
      <c r="I2007" t="inlineStr">
        <is>
          <t>L</t>
        </is>
      </c>
      <c r="J2007" t="inlineStr">
        <is>
          <t>S</t>
        </is>
      </c>
      <c r="K2007" t="inlineStr"/>
      <c r="L2007" t="inlineStr"/>
      <c r="M2007" s="30">
        <f>0.005454*F2007^2</f>
        <v/>
      </c>
      <c r="N2007" s="31">
        <f>IF(D2007="BAF20",20/M2007,100)</f>
        <v/>
      </c>
      <c r="O2007" s="31">
        <f>M2007*N2007</f>
        <v/>
      </c>
      <c r="P2007" s="32">
        <f>0.0*N2007</f>
        <v/>
      </c>
    </row>
    <row r="2008">
      <c r="A2008" t="inlineStr">
        <is>
          <t>U7-15</t>
        </is>
      </c>
      <c r="B2008" t="n">
        <v>7</v>
      </c>
      <c r="C2008" t="n">
        <v>8</v>
      </c>
      <c r="D2008" t="inlineStr">
        <is>
          <t>FIX100</t>
        </is>
      </c>
      <c r="E2008" t="inlineStr">
        <is>
          <t>WF</t>
        </is>
      </c>
      <c r="F2008" t="n">
        <v>4.2</v>
      </c>
      <c r="G2008" t="n">
        <v>25</v>
      </c>
      <c r="H2008" t="n">
        <v>0</v>
      </c>
      <c r="I2008" t="inlineStr">
        <is>
          <t>L</t>
        </is>
      </c>
      <c r="J2008" t="inlineStr">
        <is>
          <t>S</t>
        </is>
      </c>
      <c r="K2008" t="inlineStr"/>
      <c r="L2008" t="inlineStr"/>
      <c r="M2008" s="30">
        <f>0.005454*F2008^2</f>
        <v/>
      </c>
      <c r="N2008" s="31">
        <f>IF(D2008="BAF20",20/M2008,100)</f>
        <v/>
      </c>
      <c r="O2008" s="31">
        <f>M2008*N2008</f>
        <v/>
      </c>
      <c r="P2008" s="32">
        <f>0.0*N2008</f>
        <v/>
      </c>
    </row>
    <row r="2009">
      <c r="A2009" t="inlineStr">
        <is>
          <t>U7-16</t>
        </is>
      </c>
      <c r="B2009" t="n">
        <v>7</v>
      </c>
      <c r="C2009" t="n">
        <v>1</v>
      </c>
      <c r="D2009" t="inlineStr">
        <is>
          <t>BAF20</t>
        </is>
      </c>
      <c r="E2009" t="inlineStr">
        <is>
          <t>WF</t>
        </is>
      </c>
      <c r="F2009" t="n">
        <v>20.3</v>
      </c>
      <c r="G2009" t="n">
        <v>91</v>
      </c>
      <c r="H2009" t="n">
        <v>1</v>
      </c>
      <c r="I2009" t="inlineStr">
        <is>
          <t>L</t>
        </is>
      </c>
      <c r="J2009" t="inlineStr">
        <is>
          <t>I</t>
        </is>
      </c>
      <c r="K2009" t="inlineStr"/>
      <c r="L2009" t="inlineStr"/>
      <c r="M2009" s="30">
        <f>0.005454*F2009^2</f>
        <v/>
      </c>
      <c r="N2009" s="31">
        <f>IF(D2009="BAF20",20/M2009,100)</f>
        <v/>
      </c>
      <c r="O2009" s="31">
        <f>M2009*N2009</f>
        <v/>
      </c>
      <c r="P2009" s="32">
        <f>361.8*N2009</f>
        <v/>
      </c>
    </row>
    <row r="2010">
      <c r="A2010" t="inlineStr">
        <is>
          <t>U7-16</t>
        </is>
      </c>
      <c r="B2010" t="n">
        <v>7</v>
      </c>
      <c r="C2010" t="n">
        <v>2</v>
      </c>
      <c r="D2010" t="inlineStr">
        <is>
          <t>BAF20</t>
        </is>
      </c>
      <c r="E2010" t="inlineStr">
        <is>
          <t>WF</t>
        </is>
      </c>
      <c r="F2010" t="n">
        <v>25.5</v>
      </c>
      <c r="G2010" t="n">
        <v>119</v>
      </c>
      <c r="H2010" t="n">
        <v>9</v>
      </c>
      <c r="I2010" t="inlineStr">
        <is>
          <t>L</t>
        </is>
      </c>
      <c r="J2010" t="inlineStr">
        <is>
          <t>C</t>
        </is>
      </c>
      <c r="K2010" t="inlineStr"/>
      <c r="L2010" t="inlineStr"/>
      <c r="M2010" s="30">
        <f>0.005454*F2010^2</f>
        <v/>
      </c>
      <c r="N2010" s="31">
        <f>IF(D2010="BAF20",20/M2010,100)</f>
        <v/>
      </c>
      <c r="O2010" s="31">
        <f>M2010*N2010</f>
        <v/>
      </c>
      <c r="P2010" s="32">
        <f>754.2*N2010</f>
        <v/>
      </c>
    </row>
    <row r="2011">
      <c r="A2011" t="inlineStr">
        <is>
          <t>U7-16</t>
        </is>
      </c>
      <c r="B2011" t="n">
        <v>7</v>
      </c>
      <c r="C2011" t="n">
        <v>3</v>
      </c>
      <c r="D2011" t="inlineStr">
        <is>
          <t>BAF20</t>
        </is>
      </c>
      <c r="E2011" t="inlineStr">
        <is>
          <t>BO</t>
        </is>
      </c>
      <c r="F2011" t="n">
        <v>10.2</v>
      </c>
      <c r="G2011" t="n">
        <v>42</v>
      </c>
      <c r="H2011" t="n">
        <v>25</v>
      </c>
      <c r="I2011" t="inlineStr">
        <is>
          <t>L</t>
        </is>
      </c>
      <c r="J2011" t="inlineStr">
        <is>
          <t>S</t>
        </is>
      </c>
      <c r="K2011" t="inlineStr"/>
      <c r="L2011" t="inlineStr"/>
      <c r="M2011" s="30">
        <f>0.005454*F2011^2</f>
        <v/>
      </c>
      <c r="N2011" s="31">
        <f>IF(D2011="BAF20",20/M2011,100)</f>
        <v/>
      </c>
      <c r="O2011" s="31">
        <f>M2011*N2011</f>
        <v/>
      </c>
      <c r="P2011" s="32">
        <f>23.3*N2011</f>
        <v/>
      </c>
    </row>
    <row r="2012">
      <c r="A2012" t="inlineStr">
        <is>
          <t>U7-16</t>
        </is>
      </c>
      <c r="B2012" t="n">
        <v>7</v>
      </c>
      <c r="C2012" t="n">
        <v>4</v>
      </c>
      <c r="D2012" t="inlineStr">
        <is>
          <t>BAF20</t>
        </is>
      </c>
      <c r="E2012" t="inlineStr">
        <is>
          <t>BO</t>
        </is>
      </c>
      <c r="F2012" t="n">
        <v>34.4</v>
      </c>
      <c r="G2012" t="n">
        <v>70</v>
      </c>
      <c r="H2012" t="n">
        <v>30</v>
      </c>
      <c r="I2012" t="inlineStr">
        <is>
          <t>L</t>
        </is>
      </c>
      <c r="J2012" t="inlineStr">
        <is>
          <t>D</t>
        </is>
      </c>
      <c r="K2012" t="inlineStr"/>
      <c r="L2012" t="inlineStr"/>
      <c r="M2012" s="30">
        <f>0.005454*F2012^2</f>
        <v/>
      </c>
      <c r="N2012" s="31">
        <f>IF(D2012="BAF20",20/M2012,100)</f>
        <v/>
      </c>
      <c r="O2012" s="31">
        <f>M2012*N2012</f>
        <v/>
      </c>
      <c r="P2012" s="32">
        <f>648.5*N2012</f>
        <v/>
      </c>
    </row>
    <row r="2013">
      <c r="A2013" t="inlineStr">
        <is>
          <t>U7-16</t>
        </is>
      </c>
      <c r="B2013" t="n">
        <v>7</v>
      </c>
      <c r="C2013" t="n">
        <v>5</v>
      </c>
      <c r="D2013" t="inlineStr">
        <is>
          <t>BAF20</t>
        </is>
      </c>
      <c r="E2013" t="inlineStr">
        <is>
          <t>IC</t>
        </is>
      </c>
      <c r="F2013" t="n">
        <v>29.4</v>
      </c>
      <c r="G2013" t="n">
        <v>92</v>
      </c>
      <c r="H2013" t="n">
        <v>10</v>
      </c>
      <c r="I2013" t="inlineStr">
        <is>
          <t>L</t>
        </is>
      </c>
      <c r="J2013" t="inlineStr">
        <is>
          <t>C</t>
        </is>
      </c>
      <c r="K2013" t="inlineStr">
        <is>
          <t>Y</t>
        </is>
      </c>
      <c r="L2013" t="inlineStr"/>
      <c r="M2013" s="30">
        <f>0.005454*F2013^2</f>
        <v/>
      </c>
      <c r="N2013" s="31">
        <f>IF(D2013="BAF20",20/M2013,100)</f>
        <v/>
      </c>
      <c r="O2013" s="31">
        <f>M2013*N2013</f>
        <v/>
      </c>
      <c r="P2013" s="32">
        <f>818.3*N2013</f>
        <v/>
      </c>
    </row>
    <row r="2014">
      <c r="A2014" t="inlineStr">
        <is>
          <t>U7-16</t>
        </is>
      </c>
      <c r="B2014" t="n">
        <v>7</v>
      </c>
      <c r="C2014" t="n">
        <v>6</v>
      </c>
      <c r="D2014" t="inlineStr">
        <is>
          <t>BAF20</t>
        </is>
      </c>
      <c r="E2014" t="inlineStr">
        <is>
          <t>PP</t>
        </is>
      </c>
      <c r="F2014" t="n">
        <v>10.7</v>
      </c>
      <c r="G2014" t="n">
        <v>58</v>
      </c>
      <c r="H2014" t="n">
        <v>5</v>
      </c>
      <c r="I2014" t="inlineStr">
        <is>
          <t>L</t>
        </is>
      </c>
      <c r="J2014" t="inlineStr">
        <is>
          <t>S</t>
        </is>
      </c>
      <c r="K2014" t="inlineStr"/>
      <c r="L2014" t="inlineStr"/>
      <c r="M2014" s="30">
        <f>0.005454*F2014^2</f>
        <v/>
      </c>
      <c r="N2014" s="31">
        <f>IF(D2014="BAF20",20/M2014,100)</f>
        <v/>
      </c>
      <c r="O2014" s="31">
        <f>M2014*N2014</f>
        <v/>
      </c>
      <c r="P2014" s="32">
        <f>50.2*N2014</f>
        <v/>
      </c>
    </row>
    <row r="2015">
      <c r="A2015" t="inlineStr">
        <is>
          <t>U7-16</t>
        </is>
      </c>
      <c r="B2015" t="n">
        <v>7</v>
      </c>
      <c r="C2015" t="n">
        <v>7</v>
      </c>
      <c r="D2015" t="inlineStr">
        <is>
          <t>BAF20</t>
        </is>
      </c>
      <c r="E2015" t="inlineStr">
        <is>
          <t>DF</t>
        </is>
      </c>
      <c r="F2015" t="n">
        <v>25.2</v>
      </c>
      <c r="G2015" t="n">
        <v>106</v>
      </c>
      <c r="H2015" t="n">
        <v>3</v>
      </c>
      <c r="I2015" t="inlineStr">
        <is>
          <t>L</t>
        </is>
      </c>
      <c r="J2015" t="inlineStr">
        <is>
          <t>C</t>
        </is>
      </c>
      <c r="K2015" t="inlineStr">
        <is>
          <t>Y</t>
        </is>
      </c>
      <c r="L2015" t="inlineStr"/>
      <c r="M2015" s="30">
        <f>0.005454*F2015^2</f>
        <v/>
      </c>
      <c r="N2015" s="31">
        <f>IF(D2015="BAF20",20/M2015,100)</f>
        <v/>
      </c>
      <c r="O2015" s="31">
        <f>M2015*N2015</f>
        <v/>
      </c>
      <c r="P2015" s="32">
        <f>695.7*N2015</f>
        <v/>
      </c>
    </row>
    <row r="2016">
      <c r="A2016" t="inlineStr">
        <is>
          <t>U7-16</t>
        </is>
      </c>
      <c r="B2016" t="n">
        <v>7</v>
      </c>
      <c r="C2016" t="n">
        <v>8</v>
      </c>
      <c r="D2016" t="inlineStr">
        <is>
          <t>BAF20</t>
        </is>
      </c>
      <c r="E2016" t="inlineStr">
        <is>
          <t>PP</t>
        </is>
      </c>
      <c r="F2016" t="n">
        <v>26.6</v>
      </c>
      <c r="G2016" t="n">
        <v>103</v>
      </c>
      <c r="H2016" t="n">
        <v>3</v>
      </c>
      <c r="I2016" t="inlineStr">
        <is>
          <t>L</t>
        </is>
      </c>
      <c r="J2016" t="inlineStr">
        <is>
          <t>C</t>
        </is>
      </c>
      <c r="K2016" t="inlineStr"/>
      <c r="L2016" t="inlineStr"/>
      <c r="M2016" s="30">
        <f>0.005454*F2016^2</f>
        <v/>
      </c>
      <c r="N2016" s="31">
        <f>IF(D2016="BAF20",20/M2016,100)</f>
        <v/>
      </c>
      <c r="O2016" s="31">
        <f>M2016*N2016</f>
        <v/>
      </c>
      <c r="P2016" s="32">
        <f>771.5*N2016</f>
        <v/>
      </c>
    </row>
    <row r="2017">
      <c r="A2017" t="inlineStr">
        <is>
          <t>U7-16</t>
        </is>
      </c>
      <c r="B2017" t="n">
        <v>7</v>
      </c>
      <c r="C2017" t="n">
        <v>9</v>
      </c>
      <c r="D2017" t="inlineStr">
        <is>
          <t>BAF20</t>
        </is>
      </c>
      <c r="E2017" t="inlineStr">
        <is>
          <t>DF</t>
        </is>
      </c>
      <c r="F2017" t="n">
        <v>29.8</v>
      </c>
      <c r="G2017" t="n">
        <v>118</v>
      </c>
      <c r="H2017" t="n">
        <v>7</v>
      </c>
      <c r="I2017" t="inlineStr">
        <is>
          <t>L</t>
        </is>
      </c>
      <c r="J2017" t="inlineStr">
        <is>
          <t>C</t>
        </is>
      </c>
      <c r="K2017" t="inlineStr"/>
      <c r="L2017" t="inlineStr"/>
      <c r="M2017" s="30">
        <f>0.005454*F2017^2</f>
        <v/>
      </c>
      <c r="N2017" s="31">
        <f>IF(D2017="BAF20",20/M2017,100)</f>
        <v/>
      </c>
      <c r="O2017" s="31">
        <f>M2017*N2017</f>
        <v/>
      </c>
      <c r="P2017" s="32">
        <f>1121.5*N2017</f>
        <v/>
      </c>
    </row>
    <row r="2018">
      <c r="A2018" t="inlineStr">
        <is>
          <t>U7-16</t>
        </is>
      </c>
      <c r="B2018" t="n">
        <v>7</v>
      </c>
      <c r="C2018" t="n">
        <v>10</v>
      </c>
      <c r="D2018" t="inlineStr">
        <is>
          <t>BAF20</t>
        </is>
      </c>
      <c r="E2018" t="inlineStr">
        <is>
          <t>DF</t>
        </is>
      </c>
      <c r="F2018" t="n">
        <v>31.5</v>
      </c>
      <c r="G2018" t="n">
        <v>120</v>
      </c>
      <c r="H2018" t="n">
        <v>2</v>
      </c>
      <c r="I2018" t="inlineStr">
        <is>
          <t>L</t>
        </is>
      </c>
      <c r="J2018" t="inlineStr">
        <is>
          <t>C</t>
        </is>
      </c>
      <c r="K2018" t="inlineStr"/>
      <c r="L2018" t="inlineStr"/>
      <c r="M2018" s="30">
        <f>0.005454*F2018^2</f>
        <v/>
      </c>
      <c r="N2018" s="31">
        <f>IF(D2018="BAF20",20/M2018,100)</f>
        <v/>
      </c>
      <c r="O2018" s="31">
        <f>M2018*N2018</f>
        <v/>
      </c>
      <c r="P2018" s="32">
        <f>1379.6*N2018</f>
        <v/>
      </c>
    </row>
    <row r="2019">
      <c r="A2019" t="inlineStr">
        <is>
          <t>U7-16</t>
        </is>
      </c>
      <c r="B2019" t="n">
        <v>7</v>
      </c>
      <c r="C2019" t="n">
        <v>11</v>
      </c>
      <c r="D2019" t="inlineStr">
        <is>
          <t>BAF20</t>
        </is>
      </c>
      <c r="E2019" t="inlineStr">
        <is>
          <t>WF</t>
        </is>
      </c>
      <c r="F2019" t="n">
        <v>13.2</v>
      </c>
      <c r="G2019" t="n">
        <v>65</v>
      </c>
      <c r="H2019" t="n">
        <v>18</v>
      </c>
      <c r="I2019" t="inlineStr">
        <is>
          <t>L</t>
        </is>
      </c>
      <c r="J2019" t="inlineStr">
        <is>
          <t>S</t>
        </is>
      </c>
      <c r="K2019" t="inlineStr">
        <is>
          <t>Y</t>
        </is>
      </c>
      <c r="L2019" t="inlineStr"/>
      <c r="M2019" s="30">
        <f>0.005454*F2019^2</f>
        <v/>
      </c>
      <c r="N2019" s="31">
        <f>IF(D2019="BAF20",20/M2019,100)</f>
        <v/>
      </c>
      <c r="O2019" s="31">
        <f>M2019*N2019</f>
        <v/>
      </c>
      <c r="P2019" s="32">
        <f>78.3*N2019</f>
        <v/>
      </c>
    </row>
    <row r="2020">
      <c r="A2020" t="inlineStr">
        <is>
          <t>U7-16</t>
        </is>
      </c>
      <c r="B2020" t="n">
        <v>7</v>
      </c>
      <c r="C2020" t="n">
        <v>12</v>
      </c>
      <c r="D2020" t="inlineStr">
        <is>
          <t>BAF20</t>
        </is>
      </c>
      <c r="E2020" t="inlineStr">
        <is>
          <t>SP</t>
        </is>
      </c>
      <c r="F2020" t="n">
        <v>44.7</v>
      </c>
      <c r="G2020" t="n">
        <v>146</v>
      </c>
      <c r="H2020" t="n">
        <v>1</v>
      </c>
      <c r="I2020" t="inlineStr">
        <is>
          <t>L</t>
        </is>
      </c>
      <c r="J2020" t="inlineStr">
        <is>
          <t>D</t>
        </is>
      </c>
      <c r="K2020" t="inlineStr"/>
      <c r="L2020" t="inlineStr"/>
      <c r="M2020" s="30">
        <f>0.005454*F2020^2</f>
        <v/>
      </c>
      <c r="N2020" s="31">
        <f>IF(D2020="BAF20",20/M2020,100)</f>
        <v/>
      </c>
      <c r="O2020" s="31">
        <f>M2020*N2020</f>
        <v/>
      </c>
      <c r="P2020" s="32">
        <f>3691.5*N2020</f>
        <v/>
      </c>
    </row>
    <row r="2021">
      <c r="A2021" t="inlineStr">
        <is>
          <t>U7-16</t>
        </is>
      </c>
      <c r="B2021" t="n">
        <v>7</v>
      </c>
      <c r="C2021" t="n">
        <v>13</v>
      </c>
      <c r="D2021" t="inlineStr">
        <is>
          <t>FIX100</t>
        </is>
      </c>
      <c r="E2021" t="inlineStr">
        <is>
          <t>DF</t>
        </is>
      </c>
      <c r="F2021" t="n">
        <v>2.7</v>
      </c>
      <c r="G2021" t="n">
        <v>20</v>
      </c>
      <c r="H2021" t="n">
        <v>0</v>
      </c>
      <c r="I2021" t="inlineStr">
        <is>
          <t>L</t>
        </is>
      </c>
      <c r="J2021" t="inlineStr">
        <is>
          <t>S</t>
        </is>
      </c>
      <c r="K2021" t="inlineStr"/>
      <c r="L2021" t="inlineStr"/>
      <c r="M2021" s="30">
        <f>0.005454*F2021^2</f>
        <v/>
      </c>
      <c r="N2021" s="31">
        <f>IF(D2021="BAF20",20/M2021,100)</f>
        <v/>
      </c>
      <c r="O2021" s="31">
        <f>M2021*N2021</f>
        <v/>
      </c>
      <c r="P2021" s="32">
        <f>0.0*N2021</f>
        <v/>
      </c>
    </row>
  </sheetData>
  <autoFilter ref="A4:P20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10" customWidth="1" min="5" max="5"/>
    <col width="10" customWidth="1" min="6" max="6"/>
    <col width="12" customWidth="1" min="7" max="7"/>
    <col width="45" customWidth="1" min="8" max="8"/>
    <col width="50" customWidth="1" min="9" max="9"/>
  </cols>
  <sheetData>
    <row r="1">
      <c r="A1" s="1" t="inlineStr">
        <is>
          <t>Data quality flags</t>
        </is>
      </c>
    </row>
    <row r="2">
      <c r="A2" s="2" t="inlineStr">
        <is>
          <t>2019 records checked; 1 duplicate dropped, 1 excluded, 2 heights imputed from the H-D curve</t>
        </is>
      </c>
    </row>
    <row r="4">
      <c r="A4" s="4" t="inlineStr">
        <is>
          <t>Field-book row</t>
        </is>
      </c>
      <c r="B4" s="4" t="inlineStr">
        <is>
          <t>Plot</t>
        </is>
      </c>
      <c r="C4" s="4" t="inlineStr">
        <is>
          <t>Unit</t>
        </is>
      </c>
      <c r="D4" s="4" t="inlineStr">
        <is>
          <t>Tree</t>
        </is>
      </c>
      <c r="E4" s="4" t="inlineStr">
        <is>
          <t>Severity</t>
        </is>
      </c>
      <c r="F4" s="4" t="inlineStr">
        <is>
          <t>Field</t>
        </is>
      </c>
      <c r="G4" s="4" t="inlineStr">
        <is>
          <t>Recorded value</t>
        </is>
      </c>
      <c r="H4" s="4" t="inlineStr">
        <is>
          <t>Issue</t>
        </is>
      </c>
      <c r="I4" s="4" t="inlineStr">
        <is>
          <t>Action taken</t>
        </is>
      </c>
    </row>
    <row r="5">
      <c r="A5" s="6" t="n">
        <v>260</v>
      </c>
      <c r="B5" s="6" t="inlineStr">
        <is>
          <t>U1-19</t>
        </is>
      </c>
      <c r="C5" s="6" t="n">
        <v>1</v>
      </c>
      <c r="D5" s="6" t="n">
        <v>2</v>
      </c>
      <c r="E5" s="6" t="inlineStr">
        <is>
          <t>CRITICAL</t>
        </is>
      </c>
      <c r="F5" s="6" t="inlineStr">
        <is>
          <t>dbh</t>
        </is>
      </c>
      <c r="G5" s="6" t="n">
        <v>320</v>
      </c>
      <c r="H5" s="6" t="inlineStr">
        <is>
          <t>DBH 320.0 in outside 1-80 in</t>
        </is>
      </c>
      <c r="I5" s="6" t="inlineStr">
        <is>
          <t>Tree excluded from all metrics</t>
        </is>
      </c>
    </row>
    <row r="6">
      <c r="A6" s="13" t="n">
        <v>484</v>
      </c>
      <c r="B6" s="13" t="inlineStr">
        <is>
          <t>U1-34</t>
        </is>
      </c>
      <c r="C6" s="13" t="n">
        <v>1</v>
      </c>
      <c r="D6" s="13" t="n">
        <v>7</v>
      </c>
      <c r="E6" s="13" t="inlineStr">
        <is>
          <t>CRITICAL</t>
        </is>
      </c>
      <c r="F6" s="13" t="inlineStr">
        <is>
          <t>height_ft</t>
        </is>
      </c>
      <c r="G6" s="13" t="n">
        <v>265</v>
      </c>
      <c r="H6" s="13" t="inlineStr">
        <is>
          <t>Height 265 ft exceeds 250 ft</t>
        </is>
      </c>
      <c r="I6" s="13" t="inlineStr">
        <is>
          <t>Height replaced by H-D curve estimate</t>
        </is>
      </c>
    </row>
    <row r="7">
      <c r="A7" s="6" t="n">
        <v>553</v>
      </c>
      <c r="B7" s="6" t="inlineStr">
        <is>
          <t>U1-38</t>
        </is>
      </c>
      <c r="C7" s="6" t="n">
        <v>1</v>
      </c>
      <c r="D7" s="6" t="n">
        <v>7</v>
      </c>
      <c r="E7" s="6" t="inlineStr">
        <is>
          <t>CRITICAL</t>
        </is>
      </c>
      <c r="F7" s="6" t="inlineStr">
        <is>
          <t>species</t>
        </is>
      </c>
      <c r="G7" s="6" t="inlineStr">
        <is>
          <t>XX</t>
        </is>
      </c>
      <c r="H7" s="6" t="inlineStr">
        <is>
          <t>Species code 'XX' not in code list</t>
        </is>
      </c>
      <c r="I7" s="6" t="inlineStr">
        <is>
          <t>Set to UNK; kept in density metrics, excluded from species tables</t>
        </is>
      </c>
    </row>
    <row r="8">
      <c r="A8" s="13" t="n">
        <v>817</v>
      </c>
      <c r="B8" s="13" t="inlineStr">
        <is>
          <t>U2-14</t>
        </is>
      </c>
      <c r="C8" s="13" t="n">
        <v>2</v>
      </c>
      <c r="D8" s="13" t="n">
        <v>13</v>
      </c>
      <c r="E8" s="13" t="inlineStr">
        <is>
          <t>CRITICAL</t>
        </is>
      </c>
      <c r="F8" s="13" t="inlineStr">
        <is>
          <t>species</t>
        </is>
      </c>
      <c r="G8" s="13" t="n"/>
      <c r="H8" s="13" t="inlineStr">
        <is>
          <t>Species missing</t>
        </is>
      </c>
      <c r="I8" s="13" t="inlineStr">
        <is>
          <t>Set to UNK; kept in density metrics, excluded from species tables</t>
        </is>
      </c>
    </row>
    <row r="9">
      <c r="A9" s="6" t="n">
        <v>1979</v>
      </c>
      <c r="B9" s="6" t="inlineStr">
        <is>
          <t>U7-13</t>
        </is>
      </c>
      <c r="C9" s="6" t="n">
        <v>7</v>
      </c>
      <c r="D9" s="6" t="n">
        <v>18</v>
      </c>
      <c r="E9" s="6" t="inlineStr">
        <is>
          <t>CRITICAL</t>
        </is>
      </c>
      <c r="F9" s="6" t="inlineStr">
        <is>
          <t>(row)</t>
        </is>
      </c>
      <c r="G9" s="6" t="n"/>
      <c r="H9" s="6" t="inlineStr">
        <is>
          <t>Duplicate tree record</t>
        </is>
      </c>
      <c r="I9" s="6" t="inlineStr">
        <is>
          <t>Dropped duplicate</t>
        </is>
      </c>
    </row>
    <row r="10">
      <c r="A10" s="13" t="n">
        <v>1776</v>
      </c>
      <c r="B10" s="13" t="inlineStr">
        <is>
          <t>U6-07</t>
        </is>
      </c>
      <c r="C10" s="13" t="n">
        <v>6</v>
      </c>
      <c r="D10" s="13" t="n">
        <v>3</v>
      </c>
      <c r="E10" s="13" t="inlineStr">
        <is>
          <t>WARNING</t>
        </is>
      </c>
      <c r="F10" s="13" t="inlineStr">
        <is>
          <t>height_ft</t>
        </is>
      </c>
      <c r="G10" s="13" t="n">
        <v>18</v>
      </c>
      <c r="H10" s="13" t="inlineStr">
        <is>
          <t>Height 18 ft vs 75 ft expected for a 25.2 in BO</t>
        </is>
      </c>
      <c r="I10" s="13" t="inlineStr">
        <is>
          <t>Height replaced by H-D curve estimate</t>
        </is>
      </c>
    </row>
    <row r="13">
      <c r="A13" s="26" t="inlineStr">
        <is>
          <t>Height-diameter curves fitted to clean records: ln(H - 4.5) = a + b ln(DBH)</t>
        </is>
      </c>
    </row>
    <row r="14">
      <c r="A14" s="4" t="inlineStr">
        <is>
          <t>Species</t>
        </is>
      </c>
      <c r="B14" s="4" t="inlineStr">
        <is>
          <t>a</t>
        </is>
      </c>
      <c r="C14" s="4" t="inlineStr">
        <is>
          <t>b</t>
        </is>
      </c>
      <c r="D14" s="4" t="inlineStr">
        <is>
          <t>n trees</t>
        </is>
      </c>
    </row>
    <row r="15">
      <c r="A15" s="6" t="inlineStr">
        <is>
          <t>BO</t>
        </is>
      </c>
      <c r="B15" s="33" t="n">
        <v>1.472713741455969</v>
      </c>
      <c r="C15" s="33" t="n">
        <v>0.86354724646116</v>
      </c>
      <c r="D15" s="5" t="n">
        <v>243</v>
      </c>
    </row>
    <row r="16">
      <c r="A16" s="13" t="inlineStr">
        <is>
          <t>DF</t>
        </is>
      </c>
      <c r="B16" s="34" t="n">
        <v>1.799529453151962</v>
      </c>
      <c r="C16" s="34" t="n">
        <v>0.8803483781869316</v>
      </c>
      <c r="D16" s="12" t="n">
        <v>369</v>
      </c>
    </row>
    <row r="17">
      <c r="A17" s="6" t="inlineStr">
        <is>
          <t>IC</t>
        </is>
      </c>
      <c r="B17" s="33" t="n">
        <v>1.190905692572156</v>
      </c>
      <c r="C17" s="33" t="n">
        <v>1.014471782531474</v>
      </c>
      <c r="D17" s="5" t="n">
        <v>359</v>
      </c>
    </row>
    <row r="18">
      <c r="A18" s="13" t="inlineStr">
        <is>
          <t>PP</t>
        </is>
      </c>
      <c r="B18" s="34" t="n">
        <v>1.674757020283469</v>
      </c>
      <c r="C18" s="34" t="n">
        <v>0.9042650258185636</v>
      </c>
      <c r="D18" s="12" t="n">
        <v>537</v>
      </c>
    </row>
    <row r="19">
      <c r="A19" s="6" t="inlineStr">
        <is>
          <t>SP</t>
        </is>
      </c>
      <c r="B19" s="33" t="n">
        <v>1.780525616161541</v>
      </c>
      <c r="C19" s="33" t="n">
        <v>0.8798019092808183</v>
      </c>
      <c r="D19" s="5" t="n">
        <v>111</v>
      </c>
    </row>
    <row r="20">
      <c r="A20" s="13" t="inlineStr">
        <is>
          <t>WF</t>
        </is>
      </c>
      <c r="B20" s="34" t="n">
        <v>1.664930315719672</v>
      </c>
      <c r="C20" s="34" t="n">
        <v>0.9185872056021965</v>
      </c>
      <c r="D20" s="12" t="n">
        <v>395</v>
      </c>
    </row>
  </sheetData>
  <conditionalFormatting sqref="E5:E10">
    <cfRule type="cellIs" priority="1" operator="equal" dxfId="0">
      <formula>"CRITICAL"</formula>
    </cfRule>
    <cfRule type="cellIs" priority="2" operator="equal" dxfId="1">
      <formula>"WARNING"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Methods and assumptions</t>
        </is>
      </c>
    </row>
    <row r="3">
      <c r="A3" s="35" t="inlineStr">
        <is>
          <t>Data: a SIMULATED BAF 20 cruise on a 400 ft systematic grid over the seven harvest units of the North Fork Deer Creek demonstration THP. No trees were measured.</t>
        </is>
      </c>
    </row>
    <row r="4">
      <c r="A4" s="35" t="inlineStr">
        <is>
          <t>Plot design: variable-radius prism plot (BAF 20) for trees &gt;= 5.0 in DBH; 1/100-acre fixed-radius subplot for 1.0-4.9 in. Expansion: BAF / (0.005454 x DBH^2) for prism trees, 100 for subplot trees.</t>
        </is>
      </c>
    </row>
    <row r="5">
      <c r="A5" s="35" t="inlineStr">
        <is>
          <t>Stand values are the mean of per-acre plot values within each unit. Property totals are acre-weighted means of the unit values.</t>
        </is>
      </c>
    </row>
    <row r="6">
      <c r="A6" s="35" t="inlineStr">
        <is>
          <t>QMD = sqrt(BA / TPA / 0.005454). SDI = sum over trees of TPA x (DBH / 10)^1.6 (summation method, appropriate for uneven-aged stands).</t>
        </is>
      </c>
    </row>
    <row r="7">
      <c r="A7" s="35" t="inlineStr">
        <is>
          <t>Max SDI per species from the FVS Western Sierra Nevada variant (WF 710, DF 590, SP 600, PP/IC/BO 450), weighted by species basal-area share.</t>
        </is>
      </c>
    </row>
    <row r="8">
      <c r="A8" s="35" t="inlineStr">
        <is>
          <t>Volume: merchantable cubic volume = form factor (0.42 conifer, 0.38 oak) x tree basal area x total height x 0.9; Scribner board feet = cubic feet x ratio rising from 3.8 at 10 in DBH to 6.2 at 36 in+. Net volume deducts the recorded defect percent. These are transparent approximations; a production inventory would use regional taper/volume equations.</t>
        </is>
      </c>
    </row>
    <row r="9">
      <c r="A9" s="35" t="inlineStr">
        <is>
          <t>Sampling statistics: coefficient of variation and 95 % margin of error (t-distribution, n-1 df) on per-plot basal area and net volume; plots needed = (t x CV / E)^2.</t>
        </is>
      </c>
    </row>
    <row r="10">
      <c r="A10" s="35" t="inlineStr">
        <is>
          <t>Prescriptions: commercial thin units thinned from below to 40 % of max SDI with all sugar pine and black oak &gt;= 16 in retained; selection units marked by species-weighted random selection of trees &gt;= 12 in (about 40 % of white fir and incense-cedar basal area, 18 % of pine and Douglas-fir, no sugar pine or black oak).</t>
        </is>
      </c>
    </row>
    <row r="11">
      <c r="A11" s="35" t="inlineStr">
        <is>
          <t>QC: duplicate records dropped; DBH outside 1-80 in excluded; heights &gt; 250 ft or shorter than 2.5 x DBH replaced by a species height-diameter curve fitted to the clean data; missing or unknown species carried as UNK.</t>
        </is>
      </c>
    </row>
    <row r="12">
      <c r="A12" s="35" t="inlineStr">
        <is>
          <t>Software: Python 3.12 (pandas, numpy, scipy, geopandas, openpyxl) run through QGIS 3.44; maps in PyQGIS; report in ReportLab. Source: github.com/woodsy-will/forest-inventory-dashboard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2026-09-06T20:02:45Z</dcterms:created>
  <dcterms:modified xmlns:dcterms="http://purl.org/dc/terms/" xmlns:xsi="http://www.w3.org/2001/XMLSchema-instance" xsi:type="dcterms:W3CDTF">2026-09-06T20:02:46Z</dcterms:modified>
</cp:coreProperties>
</file>